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560" yWindow="3360" windowWidth="30240" windowHeight="18880" tabRatio="600" firstSheet="0" activeTab="1" autoFilterDateGrouping="1"/>
  </bookViews>
  <sheets>
    <sheet xmlns:r="http://schemas.openxmlformats.org/officeDocument/2006/relationships" name="unallocated" sheetId="1" state="visible" r:id="rId1"/>
    <sheet xmlns:r="http://schemas.openxmlformats.org/officeDocument/2006/relationships" name="unallocated (consequential)" sheetId="2" state="visible" r:id="rId2"/>
    <sheet xmlns:r="http://schemas.openxmlformats.org/officeDocument/2006/relationships" name="allocated (energy)" sheetId="3" state="visible" r:id="rId3"/>
    <sheet xmlns:r="http://schemas.openxmlformats.org/officeDocument/2006/relationships" name="allocated (exergy)" sheetId="4" state="visible" r:id="rId4"/>
    <sheet xmlns:r="http://schemas.openxmlformats.org/officeDocument/2006/relationships" name="allocated (economic)" sheetId="5" state="visible" r:id="rId5"/>
    <sheet xmlns:r="http://schemas.openxmlformats.org/officeDocument/2006/relationships" name="allocation keys" sheetId="6" state="visible" r:id="rId6"/>
  </sheets>
  <definedNames>
    <definedName name="_xlnm._FilterDatabase" localSheetId="0" hidden="1">'unallocated'!$A$1:$S$342</definedName>
    <definedName name="_xlnm._FilterDatabase" localSheetId="1" hidden="1">'unallocated (consequential)'!$A$1:$S$339</definedName>
    <definedName name="_xlnm._FilterDatabase" localSheetId="2" hidden="1">'allocated (energy)'!$A$1:$U$944</definedName>
    <definedName name="_xlnm._FilterDatabase" localSheetId="3" hidden="1">'allocated (exergy)'!$A$1:$U$942</definedName>
    <definedName name="_xlnm._FilterDatabase" localSheetId="4" hidden="1">'allocated (economic)'!$A$1:$U$942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7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1" fillId="0" borderId="0"/>
    <xf numFmtId="9" fontId="1" fillId="0" borderId="0"/>
    <xf numFmtId="0" fontId="5" fillId="0" borderId="0"/>
  </cellStyleXfs>
  <cellXfs count="32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11" fontId="0" fillId="0" borderId="0" pivotButton="0" quotePrefix="0" xfId="0"/>
    <xf numFmtId="0" fontId="4" fillId="0" borderId="0" pivotButton="0" quotePrefix="0" xfId="0"/>
    <xf numFmtId="9" fontId="0" fillId="0" borderId="0" pivotButton="0" quotePrefix="0" xfId="1"/>
    <xf numFmtId="9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0" borderId="0" pivotButton="0" quotePrefix="0" xfId="1"/>
    <xf numFmtId="9" fontId="0" fillId="0" borderId="5" pivotButton="0" quotePrefix="0" xfId="1"/>
    <xf numFmtId="9" fontId="0" fillId="0" borderId="7" pivotButton="0" quotePrefix="0" xfId="1"/>
    <xf numFmtId="9" fontId="0" fillId="0" borderId="8" pivotButton="0" quotePrefix="0" xfId="1"/>
    <xf numFmtId="9" fontId="0" fillId="0" borderId="7" pivotButton="0" quotePrefix="0" xfId="0"/>
    <xf numFmtId="9" fontId="0" fillId="0" borderId="4" pivotButton="0" quotePrefix="0" xfId="0"/>
    <xf numFmtId="9" fontId="0" fillId="0" borderId="6" pivotButton="0" quotePrefix="0" xfId="0"/>
    <xf numFmtId="0" fontId="5" fillId="0" borderId="0" pivotButton="0" quotePrefix="0" xfId="2"/>
    <xf numFmtId="9" fontId="0" fillId="0" borderId="4" pivotButton="0" quotePrefix="0" xfId="1"/>
    <xf numFmtId="9" fontId="0" fillId="0" borderId="6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</cellXfs>
  <cellStyles count="3">
    <cellStyle name="Normal" xfId="0" builtinId="0"/>
    <cellStyle name="Per cent" xfId="1" builtinId="5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Relationships xmlns="http://schemas.openxmlformats.org/package/2006/relationships"><Relationship Type="http://schemas.openxmlformats.org/officeDocument/2006/relationships/hyperlink" Target="https://zerowasteeurope.eu/wp-content/uploads/2021/10/ZWE_Delft_Oct21_Waste_Incineration_EUETS_Study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2"/>
  <sheetViews>
    <sheetView topLeftCell="A301" workbookViewId="0">
      <selection activeCell="G323" sqref="G323"/>
    </sheetView>
  </sheetViews>
  <sheetFormatPr baseColWidth="10" defaultRowHeight="16"/>
  <cols>
    <col width="26" customWidth="1" min="1" max="1"/>
    <col width="11.1640625" bestFit="1" customWidth="1" min="2" max="2"/>
    <col width="29.6640625" customWidth="1" min="7" max="7"/>
    <col width="31.5" customWidth="1" min="8" max="8"/>
    <col width="14.33203125" bestFit="1" customWidth="1" min="9" max="9"/>
    <col width="11.33203125" bestFit="1" customWidth="1" min="10" max="10"/>
    <col width="11.1640625" bestFit="1" customWidth="1" min="12" max="12"/>
  </cols>
  <sheetData>
    <row r="1">
      <c r="A1" s="1" t="inlineStr">
        <is>
          <t>skip</t>
        </is>
      </c>
      <c r="B1" s="1" t="n"/>
    </row>
    <row r="2">
      <c r="A2" s="1" t="n"/>
      <c r="B2" s="1" t="n"/>
    </row>
    <row r="3">
      <c r="A3" s="1" t="inlineStr">
        <is>
          <t>Activity</t>
        </is>
      </c>
      <c r="B3" s="1" t="inlineStr">
        <is>
          <t>municipal waste incineration, at incineration plant, with semi-dry air pollution control, without flue gas condensation, with electricity recovery only</t>
        </is>
      </c>
    </row>
    <row r="4">
      <c r="A4" t="inlineStr">
        <is>
          <t>location</t>
        </is>
      </c>
      <c r="B4" t="inlineStr">
        <is>
          <t>RER</t>
        </is>
      </c>
    </row>
    <row r="5">
      <c r="A5" t="inlineStr">
        <is>
          <t>production amount</t>
        </is>
      </c>
      <c r="B5" t="n">
        <v>1</v>
      </c>
    </row>
    <row r="6">
      <c r="A6" s="2" t="inlineStr">
        <is>
          <t>source</t>
        </is>
      </c>
      <c r="B6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">
      <c r="A7" t="inlineStr">
        <is>
          <t>reference product</t>
        </is>
      </c>
    </row>
    <row r="8">
      <c r="A8" t="inlineStr">
        <is>
          <t>type</t>
        </is>
      </c>
      <c r="B8" t="inlineStr">
        <is>
          <t>process</t>
        </is>
      </c>
    </row>
    <row r="9">
      <c r="A9" t="inlineStr">
        <is>
          <t>unit</t>
        </is>
      </c>
    </row>
    <row r="10">
      <c r="A10" t="inlineStr">
        <is>
          <t>comment</t>
        </is>
      </c>
      <c r="B10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No. Electricity production per ton MSWI incinerated: 739 kWh.</t>
        </is>
      </c>
    </row>
    <row r="11">
      <c r="A11" s="1" t="inlineStr">
        <is>
          <t>Exchanges</t>
        </is>
      </c>
    </row>
    <row r="12">
      <c r="A12" s="7" t="inlineStr">
        <is>
          <t>name</t>
        </is>
      </c>
      <c r="B12" s="7" t="inlineStr">
        <is>
          <t>amount</t>
        </is>
      </c>
      <c r="C12" s="7" t="inlineStr">
        <is>
          <t>location</t>
        </is>
      </c>
      <c r="D12" s="7" t="inlineStr">
        <is>
          <t>unit</t>
        </is>
      </c>
      <c r="E12" s="7" t="inlineStr">
        <is>
          <t>categories</t>
        </is>
      </c>
      <c r="F12" s="7" t="inlineStr">
        <is>
          <t>type</t>
        </is>
      </c>
      <c r="G12" s="7" t="inlineStr">
        <is>
          <t>reference product</t>
        </is>
      </c>
      <c r="H12" s="7" t="inlineStr">
        <is>
          <t>comment</t>
        </is>
      </c>
      <c r="I12" s="7" t="inlineStr">
        <is>
          <t>uncertainty type</t>
        </is>
      </c>
      <c r="J12" s="7" t="inlineStr">
        <is>
          <t>loc</t>
        </is>
      </c>
      <c r="K12" s="1" t="inlineStr">
        <is>
          <t>u1</t>
        </is>
      </c>
      <c r="L12" s="1" t="inlineStr">
        <is>
          <t>u2</t>
        </is>
      </c>
      <c r="M12" s="1" t="inlineStr">
        <is>
          <t>u3</t>
        </is>
      </c>
      <c r="N12" s="1" t="inlineStr">
        <is>
          <t>u4</t>
        </is>
      </c>
      <c r="O12" s="1" t="inlineStr">
        <is>
          <t>u5</t>
        </is>
      </c>
      <c r="P12" s="1" t="inlineStr">
        <is>
          <t>u6</t>
        </is>
      </c>
      <c r="Q12" s="1" t="inlineStr">
        <is>
          <t>ub</t>
        </is>
      </c>
      <c r="R12" s="1" t="inlineStr">
        <is>
          <t>scale</t>
        </is>
      </c>
      <c r="S12" s="1" t="inlineStr">
        <is>
          <t>negative</t>
        </is>
      </c>
    </row>
    <row r="13">
      <c r="A13" t="inlineStr">
        <is>
          <t>municipal waste incineration, at incineration plant, with semi-dry air pollution control, without flue gas condensation, with electricity recovery only</t>
        </is>
      </c>
      <c r="B13" t="n">
        <v>1000</v>
      </c>
      <c r="C13" t="inlineStr">
        <is>
          <t>RER</t>
        </is>
      </c>
      <c r="D13" t="inlineStr">
        <is>
          <t>kilogram</t>
        </is>
      </c>
      <c r="F13" t="inlineStr">
        <is>
          <t>production</t>
        </is>
      </c>
      <c r="G13" t="inlineStr">
        <is>
          <t>municipal solid waste</t>
        </is>
      </c>
      <c r="H13" t="inlineStr"/>
      <c r="I13" t="n">
        <v>0</v>
      </c>
      <c r="K13" s="5" t="n"/>
      <c r="L13" s="5" t="n"/>
      <c r="M13" s="5" t="n"/>
      <c r="N13" s="5" t="n"/>
      <c r="O13" s="5" t="n"/>
      <c r="P13" s="5" t="n"/>
    </row>
    <row r="14">
      <c r="A14" t="inlineStr">
        <is>
          <t>municipal waste incineration, at incineration plant, with semi-dry air pollution control, without flue gas condensation, with electricity recovery only</t>
        </is>
      </c>
      <c r="B14" s="6" t="n">
        <v>739</v>
      </c>
      <c r="C14" t="inlineStr">
        <is>
          <t>RER</t>
        </is>
      </c>
      <c r="D14" t="inlineStr">
        <is>
          <t>kilowatt hour</t>
        </is>
      </c>
      <c r="F14" t="inlineStr">
        <is>
          <t>production</t>
        </is>
      </c>
      <c r="G14" t="inlineStr">
        <is>
          <t>electricity, medium voltage</t>
        </is>
      </c>
      <c r="H14" t="inlineStr"/>
      <c r="I14" t="n">
        <v>0</v>
      </c>
      <c r="J14" s="3" t="n"/>
    </row>
    <row r="15">
      <c r="A15" t="inlineStr">
        <is>
          <t>municipal waste incineration, at incineration plant, with semi-dry air pollution control, without flue gas condensation, with electricity recovery only</t>
        </is>
      </c>
      <c r="B15" t="n">
        <v>0</v>
      </c>
      <c r="C15" t="inlineStr">
        <is>
          <t>RER</t>
        </is>
      </c>
      <c r="D15" t="inlineStr">
        <is>
          <t>megajoule</t>
        </is>
      </c>
      <c r="F15" t="inlineStr">
        <is>
          <t>production</t>
        </is>
      </c>
      <c r="G15" t="inlineStr">
        <is>
          <t>heat, district or industrial, other than natural gas</t>
        </is>
      </c>
      <c r="H15" t="inlineStr"/>
      <c r="I15" t="n">
        <v>0</v>
      </c>
      <c r="J15" s="3" t="n"/>
    </row>
    <row r="16">
      <c r="A16" t="inlineStr">
        <is>
          <t>market for diesel, low-sulfur</t>
        </is>
      </c>
      <c r="B16">
        <f>0.1*0.85</f>
        <v>8.5000000000000006E-2</v>
      </c>
      <c r="C16" t="inlineStr">
        <is>
          <t>Europe without Switzerland</t>
        </is>
      </c>
      <c r="D16" t="inlineStr">
        <is>
          <t>kilogram</t>
        </is>
      </c>
      <c r="F16" t="inlineStr">
        <is>
          <t>technosphere</t>
        </is>
      </c>
      <c r="G16" t="inlineStr">
        <is>
          <t>diesel, low-sulfur</t>
        </is>
      </c>
      <c r="H16" t="inlineStr">
        <is>
          <t>Diesel density: 0.85 kg/l</t>
        </is>
      </c>
      <c r="I16" t="n">
        <v>2</v>
      </c>
      <c r="J16" s="3">
        <f>LN(B16)</f>
        <v>-2.4651040224918206</v>
      </c>
      <c r="K16" t="n">
        <v>1</v>
      </c>
      <c r="L16" t="n">
        <v>1</v>
      </c>
      <c r="M16" t="n">
        <v>1</v>
      </c>
      <c r="N16" t="n">
        <v>1.02</v>
      </c>
      <c r="O16" t="n">
        <v>1.2</v>
      </c>
      <c r="P16" t="n">
        <v>1</v>
      </c>
      <c r="Q16" t="n">
        <v>1.05</v>
      </c>
      <c r="R16">
        <f>LN(SQRT(EXP(
SQRT(
+POWER(LN(K16),2)
+POWER(LN(L16),2)
+POWER(LN(M16),2)
+POWER(LN(N16),2)
+POWER(LN(O16),2)
+POWER(LN(P16),2)
+POWER(LN(Q16),2)
)
)))</f>
        <v>9.4886477223156879E-2</v>
      </c>
    </row>
    <row r="17">
      <c r="A17" t="inlineStr">
        <is>
          <t>market for activated carbon, granular</t>
        </is>
      </c>
      <c r="B17" t="n">
        <v>0.4</v>
      </c>
      <c r="C17" t="inlineStr">
        <is>
          <t>GLO</t>
        </is>
      </c>
      <c r="D17" t="inlineStr">
        <is>
          <t>kilogram</t>
        </is>
      </c>
      <c r="F17" t="inlineStr">
        <is>
          <t>technosphere</t>
        </is>
      </c>
      <c r="G17" t="inlineStr">
        <is>
          <t>activated carbon, granular</t>
        </is>
      </c>
      <c r="I17" t="n">
        <v>2</v>
      </c>
      <c r="J17" s="3">
        <f>LN(B17)</f>
        <v>-0.916290731874155</v>
      </c>
      <c r="K17" t="n">
        <v>1</v>
      </c>
      <c r="L17" t="n">
        <v>1</v>
      </c>
      <c r="M17" t="n">
        <v>1</v>
      </c>
      <c r="N17" t="n">
        <v>1.02</v>
      </c>
      <c r="O17" t="n">
        <v>1.2</v>
      </c>
      <c r="P17" t="n">
        <v>1</v>
      </c>
      <c r="Q17" t="n">
        <v>1.05</v>
      </c>
      <c r="R17">
        <f>LN(SQRT(EXP(
SQRT(
+POWER(LN(K17),2)
+POWER(LN(L17),2)
+POWER(LN(M17),2)
+POWER(LN(N17),2)
+POWER(LN(O17),2)
+POWER(LN(P17),2)
+POWER(LN(Q17),2)
)
)))</f>
        <v>9.4886477223156879E-2</v>
      </c>
    </row>
    <row r="18">
      <c r="A18" t="inlineStr">
        <is>
          <t>market for ammonia, anhydrous, liquid</t>
        </is>
      </c>
      <c r="B18">
        <f>4*24.5%</f>
        <v>0.98</v>
      </c>
      <c r="C18" t="inlineStr">
        <is>
          <t>RER</t>
        </is>
      </c>
      <c r="D18" t="inlineStr">
        <is>
          <t>kilogram</t>
        </is>
      </c>
      <c r="F18" t="inlineStr">
        <is>
          <t>technosphere</t>
        </is>
      </c>
      <c r="G18" t="inlineStr">
        <is>
          <t>ammonia, anhydrous, liquid</t>
        </is>
      </c>
      <c r="H18" t="inlineStr">
        <is>
          <t>100% liquid ammonia. In original publication, it is dilluated to 23.5% in water. We discount the original value by 75%.</t>
        </is>
      </c>
      <c r="I18" t="n">
        <v>2</v>
      </c>
      <c r="J18" s="3">
        <f>LN(B18)</f>
        <v>-2.0202707317519466E-2</v>
      </c>
      <c r="K18" t="n">
        <v>1</v>
      </c>
      <c r="L18" t="n">
        <v>1</v>
      </c>
      <c r="M18" t="n">
        <v>1</v>
      </c>
      <c r="N18" t="n">
        <v>1.02</v>
      </c>
      <c r="O18" t="n">
        <v>1.2</v>
      </c>
      <c r="P18" t="n">
        <v>1</v>
      </c>
      <c r="Q18" t="n">
        <v>1.05</v>
      </c>
      <c r="R18">
        <f>LN(SQRT(EXP(
SQRT(
+POWER(LN(K18),2)
+POWER(LN(L18),2)
+POWER(LN(M18),2)
+POWER(LN(N18),2)
+POWER(LN(O18),2)
+POWER(LN(P18),2)
+POWER(LN(Q18),2)
)
)))</f>
        <v>9.4886477223156879E-2</v>
      </c>
    </row>
    <row r="19">
      <c r="A19" t="inlineStr">
        <is>
          <t>market for tap water</t>
        </is>
      </c>
      <c r="B19">
        <f>4-B18</f>
        <v>3.02</v>
      </c>
      <c r="C19" t="inlineStr">
        <is>
          <t>Europe without Switzerland</t>
        </is>
      </c>
      <c r="D19" t="inlineStr">
        <is>
          <t>kilogram</t>
        </is>
      </c>
      <c r="F19" t="inlineStr">
        <is>
          <t>technosphere</t>
        </is>
      </c>
      <c r="H19" t="inlineStr">
        <is>
          <t>Used to dilute the ammonia.</t>
        </is>
      </c>
      <c r="I19" t="n">
        <v>2</v>
      </c>
      <c r="J19" s="3">
        <f>LN(B19)</f>
        <v>1.1052568313867783</v>
      </c>
      <c r="K19" t="n">
        <v>1</v>
      </c>
      <c r="L19" t="n">
        <v>1</v>
      </c>
      <c r="M19" t="n">
        <v>1</v>
      </c>
      <c r="N19" t="n">
        <v>1.02</v>
      </c>
      <c r="O19" t="n">
        <v>1.2</v>
      </c>
      <c r="P19" t="n">
        <v>1</v>
      </c>
      <c r="Q19" t="n">
        <v>1.05</v>
      </c>
      <c r="R19">
        <f>LN(SQRT(EXP(
SQRT(
+POWER(LN(K19),2)
+POWER(LN(L19),2)
+POWER(LN(M19),2)
+POWER(LN(N19),2)
+POWER(LN(O19),2)
+POWER(LN(P19),2)
+POWER(LN(Q19),2)
)
)))</f>
        <v>9.4886477223156879E-2</v>
      </c>
    </row>
    <row r="20">
      <c r="A20" t="inlineStr">
        <is>
          <t>market for calcium carbonate, precipitated</t>
        </is>
      </c>
      <c r="B20" t="n">
        <v>0</v>
      </c>
      <c r="C20" t="inlineStr">
        <is>
          <t>RER</t>
        </is>
      </c>
      <c r="D20" t="inlineStr">
        <is>
          <t>kilogram</t>
        </is>
      </c>
      <c r="F20" t="inlineStr">
        <is>
          <t>technosphere</t>
        </is>
      </c>
      <c r="G20" t="inlineStr">
        <is>
          <t>calcium carbonate, precipitated</t>
        </is>
      </c>
      <c r="I20" t="n">
        <v>0</v>
      </c>
      <c r="J20" s="3" t="n"/>
    </row>
    <row r="21">
      <c r="A21" t="inlineStr">
        <is>
          <t>market for iron(III) chloride, without water, in 40% solution state</t>
        </is>
      </c>
      <c r="B21" t="n">
        <v>0</v>
      </c>
      <c r="C21" t="inlineStr">
        <is>
          <t>RER</t>
        </is>
      </c>
      <c r="D21" t="inlineStr">
        <is>
          <t>kilogram</t>
        </is>
      </c>
      <c r="F21" t="inlineStr">
        <is>
          <t>technosphere</t>
        </is>
      </c>
      <c r="G21" t="inlineStr">
        <is>
          <t>iron(III) chloride, without water, in 40% solution state</t>
        </is>
      </c>
      <c r="I21" t="n">
        <v>0</v>
      </c>
      <c r="J21" s="3" t="n"/>
    </row>
    <row r="22">
      <c r="A22" t="inlineStr">
        <is>
          <t>market for lime, hydrated, packed</t>
        </is>
      </c>
      <c r="B22" t="n">
        <v>11</v>
      </c>
      <c r="C22" t="inlineStr">
        <is>
          <t>RER</t>
        </is>
      </c>
      <c r="D22" t="inlineStr">
        <is>
          <t>kilogram</t>
        </is>
      </c>
      <c r="F22" t="inlineStr">
        <is>
          <t>technosphere</t>
        </is>
      </c>
      <c r="G22" t="inlineStr">
        <is>
          <t>lime, hydrated, packed</t>
        </is>
      </c>
      <c r="I22" t="n">
        <v>2</v>
      </c>
      <c r="J22" s="3">
        <f>LN(B22)</f>
        <v>2.3978952727983707</v>
      </c>
      <c r="K22" t="n">
        <v>1</v>
      </c>
      <c r="L22" t="n">
        <v>1</v>
      </c>
      <c r="M22" t="n">
        <v>1</v>
      </c>
      <c r="N22" t="n">
        <v>1.02</v>
      </c>
      <c r="O22" t="n">
        <v>1.2</v>
      </c>
      <c r="P22" t="n">
        <v>1</v>
      </c>
      <c r="Q22" t="n">
        <v>1.05</v>
      </c>
      <c r="R22">
        <f>LN(SQRT(EXP(
SQRT(
+POWER(LN(K22),2)
+POWER(LN(L22),2)
+POWER(LN(M22),2)
+POWER(LN(N22),2)
+POWER(LN(O22),2)
+POWER(LN(P22),2)
+POWER(LN(Q22),2)
)
)))</f>
        <v>9.4886477223156879E-2</v>
      </c>
    </row>
    <row r="23">
      <c r="A23" t="inlineStr">
        <is>
          <t>market for sodium hydroxide, without water, in 50% solution state</t>
        </is>
      </c>
      <c r="B23" t="n">
        <v>0</v>
      </c>
      <c r="C23" t="inlineStr">
        <is>
          <t>RER</t>
        </is>
      </c>
      <c r="D23" t="inlineStr">
        <is>
          <t>kilogram</t>
        </is>
      </c>
      <c r="F23" t="inlineStr">
        <is>
          <t>technosphere</t>
        </is>
      </c>
      <c r="G23" t="inlineStr">
        <is>
          <t>sodium hydroxide, without water, in 50% solution state</t>
        </is>
      </c>
      <c r="H23" t="inlineStr">
        <is>
          <t>50% liquid ammonia. In original publication, it is dilluated to 27% in water. We discount the original value by 50%.</t>
        </is>
      </c>
      <c r="I23" t="n">
        <v>0</v>
      </c>
      <c r="J23" s="3" t="n"/>
    </row>
    <row r="24">
      <c r="A24" t="inlineStr">
        <is>
          <t>market for monoethanolamine</t>
        </is>
      </c>
      <c r="B24" t="n">
        <v>0</v>
      </c>
      <c r="C24" t="inlineStr">
        <is>
          <t>GLO</t>
        </is>
      </c>
      <c r="D24" t="inlineStr">
        <is>
          <t>kilogram</t>
        </is>
      </c>
      <c r="F24" t="inlineStr">
        <is>
          <t>technosphere</t>
        </is>
      </c>
      <c r="G24" t="inlineStr">
        <is>
          <t>monoethanolamine</t>
        </is>
      </c>
      <c r="I24" t="n">
        <v>0</v>
      </c>
      <c r="J24" s="3" t="n"/>
    </row>
    <row r="25">
      <c r="A25" t="inlineStr">
        <is>
          <t>municipal waste incineration facility construction</t>
        </is>
      </c>
      <c r="B25" s="8" t="n">
        <v>2.5e-07</v>
      </c>
      <c r="C25" t="inlineStr">
        <is>
          <t>CH</t>
        </is>
      </c>
      <c r="D25" t="inlineStr">
        <is>
          <t>unit</t>
        </is>
      </c>
      <c r="F25" t="inlineStr">
        <is>
          <t>technosphere</t>
        </is>
      </c>
      <c r="G25" t="inlineStr">
        <is>
          <t>municipal waste incineration facility</t>
        </is>
      </c>
      <c r="H25" t="inlineStr">
        <is>
          <t>Lifetime: 4'000'000 tons MSWI treated.</t>
        </is>
      </c>
      <c r="I25" t="n">
        <v>2</v>
      </c>
      <c r="J25" s="3">
        <f>LN(B25)</f>
        <v>-15.201804919084164</v>
      </c>
      <c r="K25" t="n">
        <v>1</v>
      </c>
      <c r="L25" t="n">
        <v>1</v>
      </c>
      <c r="M25" t="n">
        <v>1</v>
      </c>
      <c r="N25" t="n">
        <v>1.02</v>
      </c>
      <c r="O25" t="n">
        <v>1.2</v>
      </c>
      <c r="P25" t="n">
        <v>1</v>
      </c>
      <c r="Q25" t="n">
        <v>3</v>
      </c>
      <c r="R25">
        <f>LN(SQRT(EXP(
SQRT(
+POWER(LN(K25),2)
+POWER(LN(L25),2)
+POWER(LN(M25),2)
+POWER(LN(N25),2)
+POWER(LN(O25),2)
+POWER(LN(P25),2)
+POWER(LN(Q25),2)
)
)))</f>
        <v>0.5569071410325479</v>
      </c>
    </row>
    <row r="26">
      <c r="A26" t="inlineStr">
        <is>
          <t>Water, cooling, unspecified natural origin</t>
        </is>
      </c>
      <c r="B26" t="n">
        <v>0.15</v>
      </c>
      <c r="D26" t="inlineStr">
        <is>
          <t>cubic meter</t>
        </is>
      </c>
      <c r="F26" t="inlineStr">
        <is>
          <t>biosphere</t>
        </is>
      </c>
      <c r="I26" t="n">
        <v>2</v>
      </c>
      <c r="J26" s="3">
        <f>LN(B26)</f>
        <v>-1.8971199848858813</v>
      </c>
      <c r="K26" t="n">
        <v>1</v>
      </c>
      <c r="L26" t="n">
        <v>1</v>
      </c>
      <c r="M26" t="n">
        <v>1</v>
      </c>
      <c r="N26" t="n">
        <v>1.02</v>
      </c>
      <c r="O26" t="n">
        <v>1.2</v>
      </c>
      <c r="P26" t="n">
        <v>1</v>
      </c>
      <c r="Q26" t="n">
        <v>1.05</v>
      </c>
      <c r="R26">
        <f>LN(SQRT(EXP(
SQRT(
+POWER(LN(K26),2)
+POWER(LN(L26),2)
+POWER(LN(M26),2)
+POWER(LN(N26),2)
+POWER(LN(O26),2)
+POWER(LN(P26),2)
+POWER(LN(Q26),2)
)
)))</f>
        <v>9.4886477223156879E-2</v>
      </c>
    </row>
    <row r="27">
      <c r="A27" t="inlineStr">
        <is>
          <t>Sulfur dioxide</t>
        </is>
      </c>
      <c r="B27" t="n">
        <v>0.113</v>
      </c>
      <c r="D27" t="inlineStr">
        <is>
          <t>kilogram</t>
        </is>
      </c>
      <c r="E27" t="inlineStr">
        <is>
          <t>air::urban air close to ground</t>
        </is>
      </c>
      <c r="F27" t="inlineStr">
        <is>
          <t>biosphere</t>
        </is>
      </c>
      <c r="I27" t="n">
        <v>2</v>
      </c>
      <c r="J27" s="3">
        <f>LN(B27)</f>
        <v>-2.1803674602697964</v>
      </c>
      <c r="K27" t="n">
        <v>1</v>
      </c>
      <c r="L27" t="n">
        <v>1</v>
      </c>
      <c r="M27" t="n">
        <v>1</v>
      </c>
      <c r="N27" t="n">
        <v>1.02</v>
      </c>
      <c r="O27" t="n">
        <v>1.2</v>
      </c>
      <c r="P27" t="n">
        <v>1</v>
      </c>
      <c r="Q27" t="n">
        <v>1.05</v>
      </c>
      <c r="R27">
        <f>LN(SQRT(EXP(
SQRT(
+POWER(LN(K27),2)
+POWER(LN(L27),2)
+POWER(LN(M27),2)
+POWER(LN(N27),2)
+POWER(LN(O27),2)
+POWER(LN(P27),2)
+POWER(LN(Q27),2)
)
)))</f>
        <v>9.4886477223156879E-2</v>
      </c>
    </row>
    <row r="28">
      <c r="A28" t="inlineStr">
        <is>
          <t>Hydrochloric acid</t>
        </is>
      </c>
      <c r="B28" t="n">
        <v>0.028</v>
      </c>
      <c r="D28" t="inlineStr">
        <is>
          <t>kilogram</t>
        </is>
      </c>
      <c r="E28" t="inlineStr">
        <is>
          <t>air::urban air close to ground</t>
        </is>
      </c>
      <c r="F28" t="inlineStr">
        <is>
          <t>biosphere</t>
        </is>
      </c>
      <c r="I28" t="n">
        <v>2</v>
      </c>
      <c r="J28" s="3">
        <f>LN(B28)</f>
        <v>-3.575550768806933</v>
      </c>
      <c r="K28" t="n">
        <v>1</v>
      </c>
      <c r="L28" t="n">
        <v>1</v>
      </c>
      <c r="M28" t="n">
        <v>1</v>
      </c>
      <c r="N28" t="n">
        <v>1.02</v>
      </c>
      <c r="O28" t="n">
        <v>1.2</v>
      </c>
      <c r="P28" t="n">
        <v>1</v>
      </c>
      <c r="Q28" t="n">
        <v>1.5</v>
      </c>
      <c r="R28">
        <f>LN(SQRT(EXP(
SQRT(
+POWER(LN(K28),2)
+POWER(LN(L28),2)
+POWER(LN(M28),2)
+POWER(LN(N28),2)
+POWER(LN(O28),2)
+POWER(LN(P28),2)
+POWER(LN(Q28),2)
)
)))</f>
        <v>0.22250575723605889</v>
      </c>
    </row>
    <row r="29">
      <c r="A29" t="inlineStr">
        <is>
          <t>Nitrogen oxides</t>
        </is>
      </c>
      <c r="B29" t="n">
        <v>0.677</v>
      </c>
      <c r="D29" t="inlineStr">
        <is>
          <t>kilogram</t>
        </is>
      </c>
      <c r="E29" t="inlineStr">
        <is>
          <t>air::urban air close to ground</t>
        </is>
      </c>
      <c r="F29" t="inlineStr">
        <is>
          <t>biosphere</t>
        </is>
      </c>
      <c r="I29" t="n">
        <v>2</v>
      </c>
      <c r="J29" s="3">
        <f>LN(B29)</f>
        <v>-0.39008400606986199</v>
      </c>
      <c r="K29" t="n">
        <v>1</v>
      </c>
      <c r="L29" t="n">
        <v>1</v>
      </c>
      <c r="M29" t="n">
        <v>1</v>
      </c>
      <c r="N29" t="n">
        <v>1.02</v>
      </c>
      <c r="O29" t="n">
        <v>1.2</v>
      </c>
      <c r="P29" t="n">
        <v>1</v>
      </c>
      <c r="Q29" t="n">
        <v>1.5</v>
      </c>
      <c r="R29">
        <f>LN(SQRT(EXP(
SQRT(
+POWER(LN(K29),2)
+POWER(LN(L29),2)
+POWER(LN(M29),2)
+POWER(LN(N29),2)
+POWER(LN(O29),2)
+POWER(LN(P29),2)
+POWER(LN(Q29),2)
)
)))</f>
        <v>0.22250575723605889</v>
      </c>
    </row>
    <row r="30">
      <c r="A30" t="inlineStr">
        <is>
          <t>Ammonia</t>
        </is>
      </c>
      <c r="B30" t="n">
        <v>0.045</v>
      </c>
      <c r="D30" t="inlineStr">
        <is>
          <t>kilogram</t>
        </is>
      </c>
      <c r="E30" t="inlineStr">
        <is>
          <t>air::urban air close to ground</t>
        </is>
      </c>
      <c r="F30" t="inlineStr">
        <is>
          <t>biosphere</t>
        </is>
      </c>
      <c r="I30" t="n">
        <v>2</v>
      </c>
      <c r="J30" s="3">
        <f>LN(B30)</f>
        <v>-3.1010927892118172</v>
      </c>
      <c r="K30" t="n">
        <v>1</v>
      </c>
      <c r="L30" t="n">
        <v>1</v>
      </c>
      <c r="M30" t="n">
        <v>1</v>
      </c>
      <c r="N30" t="n">
        <v>1.02</v>
      </c>
      <c r="O30" t="n">
        <v>1.2</v>
      </c>
      <c r="P30" t="n">
        <v>1</v>
      </c>
      <c r="Q30" t="n">
        <v>1.5</v>
      </c>
      <c r="R30">
        <f>LN(SQRT(EXP(
SQRT(
+POWER(LN(K30),2)
+POWER(LN(L30),2)
+POWER(LN(M30),2)
+POWER(LN(N30),2)
+POWER(LN(O30),2)
+POWER(LN(P30),2)
+POWER(LN(Q30),2)
)
)))</f>
        <v>0.22250575723605889</v>
      </c>
    </row>
    <row r="31">
      <c r="A31" t="inlineStr">
        <is>
          <t>Particulate Matter, &lt; 2.5 um</t>
        </is>
      </c>
      <c r="B31" t="n">
        <v>0.006</v>
      </c>
      <c r="D31" t="inlineStr">
        <is>
          <t>kilogram</t>
        </is>
      </c>
      <c r="E31" t="inlineStr">
        <is>
          <t>air::urban air close to ground</t>
        </is>
      </c>
      <c r="F31" t="inlineStr">
        <is>
          <t>biosphere</t>
        </is>
      </c>
      <c r="I31" t="n">
        <v>2</v>
      </c>
      <c r="J31" s="3">
        <f>LN(B31)</f>
        <v>-5.1159958097540823</v>
      </c>
      <c r="K31" t="n">
        <v>1</v>
      </c>
      <c r="L31" t="n">
        <v>1</v>
      </c>
      <c r="M31" t="n">
        <v>1</v>
      </c>
      <c r="N31" t="n">
        <v>1.02</v>
      </c>
      <c r="O31" t="n">
        <v>1.2</v>
      </c>
      <c r="P31" t="n">
        <v>1</v>
      </c>
      <c r="Q31" t="n">
        <v>3</v>
      </c>
      <c r="R31">
        <f>LN(SQRT(EXP(
SQRT(
+POWER(LN(K31),2)
+POWER(LN(L31),2)
+POWER(LN(M31),2)
+POWER(LN(N31),2)
+POWER(LN(O31),2)
+POWER(LN(P31),2)
+POWER(LN(Q31),2)
)
)))</f>
        <v>0.5569071410325479</v>
      </c>
    </row>
    <row r="32">
      <c r="A32" t="inlineStr">
        <is>
          <t>Mercury II</t>
        </is>
      </c>
      <c r="B32" t="n">
        <v>2.3e-05</v>
      </c>
      <c r="D32" t="inlineStr">
        <is>
          <t>kilogram</t>
        </is>
      </c>
      <c r="E32" t="inlineStr">
        <is>
          <t>air::urban air close to ground</t>
        </is>
      </c>
      <c r="F32" t="inlineStr">
        <is>
          <t>biosphere</t>
        </is>
      </c>
      <c r="I32" t="n">
        <v>2</v>
      </c>
      <c r="J32" s="3">
        <f>LN(B32)</f>
        <v>-10.680016342035124</v>
      </c>
      <c r="K32" t="n">
        <v>1</v>
      </c>
      <c r="L32" t="n">
        <v>1</v>
      </c>
      <c r="M32" t="n">
        <v>1</v>
      </c>
      <c r="N32" t="n">
        <v>1.02</v>
      </c>
      <c r="O32" t="n">
        <v>1.2</v>
      </c>
      <c r="P32" t="n">
        <v>1</v>
      </c>
      <c r="Q32" t="n">
        <v>5</v>
      </c>
      <c r="R32">
        <f>LN(SQRT(EXP(
SQRT(
+POWER(LN(K32),2)
+POWER(LN(L32),2)
+POWER(LN(M32),2)
+POWER(LN(N32),2)
+POWER(LN(O32),2)
+POWER(LN(P32),2)
+POWER(LN(Q32),2)
)
)))</f>
        <v>0.80992649174166365</v>
      </c>
    </row>
    <row r="33">
      <c r="A33" t="inlineStr">
        <is>
          <t>Lead II</t>
        </is>
      </c>
      <c r="B33" t="n">
        <v>5.6e-05</v>
      </c>
      <c r="D33" t="inlineStr">
        <is>
          <t>kilogram</t>
        </is>
      </c>
      <c r="E33" t="inlineStr">
        <is>
          <t>air::urban air close to ground</t>
        </is>
      </c>
      <c r="F33" t="inlineStr">
        <is>
          <t>biosphere</t>
        </is>
      </c>
      <c r="I33" t="n">
        <v>2</v>
      </c>
      <c r="J33" s="3">
        <f>LN(B33)</f>
        <v>-9.7901588672291258</v>
      </c>
      <c r="K33" t="n">
        <v>1</v>
      </c>
      <c r="L33" t="n">
        <v>1</v>
      </c>
      <c r="M33" t="n">
        <v>1</v>
      </c>
      <c r="N33" t="n">
        <v>1.02</v>
      </c>
      <c r="O33" t="n">
        <v>1.2</v>
      </c>
      <c r="P33" t="n">
        <v>1</v>
      </c>
      <c r="Q33" t="n">
        <v>5</v>
      </c>
      <c r="R33">
        <f>LN(SQRT(EXP(
SQRT(
+POWER(LN(K33),2)
+POWER(LN(L33),2)
+POWER(LN(M33),2)
+POWER(LN(N33),2)
+POWER(LN(O33),2)
+POWER(LN(P33),2)
+POWER(LN(Q33),2)
)
)))</f>
        <v>0.80992649174166365</v>
      </c>
    </row>
    <row r="34">
      <c r="A34" t="inlineStr">
        <is>
          <t>Cadmium II</t>
        </is>
      </c>
      <c r="B34" t="n">
        <v>2.8e-05</v>
      </c>
      <c r="D34" t="inlineStr">
        <is>
          <t>kilogram</t>
        </is>
      </c>
      <c r="E34" t="inlineStr">
        <is>
          <t>air::urban air close to ground</t>
        </is>
      </c>
      <c r="F34" t="inlineStr">
        <is>
          <t>biosphere</t>
        </is>
      </c>
      <c r="I34" t="n">
        <v>2</v>
      </c>
      <c r="J34" s="3">
        <f>LN(B34)</f>
        <v>-10.483306047789069</v>
      </c>
      <c r="K34" t="n">
        <v>1</v>
      </c>
      <c r="L34" t="n">
        <v>1</v>
      </c>
      <c r="M34" t="n">
        <v>1</v>
      </c>
      <c r="N34" t="n">
        <v>1.02</v>
      </c>
      <c r="O34" t="n">
        <v>1.2</v>
      </c>
      <c r="P34" t="n">
        <v>1</v>
      </c>
      <c r="Q34" t="n">
        <v>5</v>
      </c>
      <c r="R34">
        <f>LN(SQRT(EXP(
SQRT(
+POWER(LN(K34),2)
+POWER(LN(L34),2)
+POWER(LN(M34),2)
+POWER(LN(N34),2)
+POWER(LN(O34),2)
+POWER(LN(P34),2)
+POWER(LN(Q34),2)
)
)))</f>
        <v>0.80992649174166365</v>
      </c>
    </row>
    <row r="35">
      <c r="A35" t="inlineStr">
        <is>
          <t>Arsenic ion</t>
        </is>
      </c>
      <c r="B35" t="n">
        <v>6e-06</v>
      </c>
      <c r="D35" t="inlineStr">
        <is>
          <t>kilogram</t>
        </is>
      </c>
      <c r="E35" t="inlineStr">
        <is>
          <t>air::urban air close to ground</t>
        </is>
      </c>
      <c r="F35" t="inlineStr">
        <is>
          <t>biosphere</t>
        </is>
      </c>
      <c r="I35" t="n">
        <v>2</v>
      </c>
      <c r="J35" s="3">
        <f>LN(B35)</f>
        <v>-12.023751088736219</v>
      </c>
      <c r="K35" t="n">
        <v>1</v>
      </c>
      <c r="L35" t="n">
        <v>1</v>
      </c>
      <c r="M35" t="n">
        <v>1</v>
      </c>
      <c r="N35" t="n">
        <v>1.02</v>
      </c>
      <c r="O35" t="n">
        <v>1.2</v>
      </c>
      <c r="P35" t="n">
        <v>1</v>
      </c>
      <c r="Q35" t="n">
        <v>5</v>
      </c>
      <c r="R35">
        <f>LN(SQRT(EXP(
SQRT(
+POWER(LN(K35),2)
+POWER(LN(L35),2)
+POWER(LN(M35),2)
+POWER(LN(N35),2)
+POWER(LN(O35),2)
+POWER(LN(P35),2)
+POWER(LN(Q35),2)
)
)))</f>
        <v>0.80992649174166365</v>
      </c>
    </row>
    <row r="36">
      <c r="A36" t="inlineStr">
        <is>
          <t>Dioxins, measured as 2,3,7,8-tetrachlorodibenzo-p-dioxin</t>
        </is>
      </c>
      <c r="B36">
        <f>0.11*0.000000001</f>
        <v>1.1000000000000001E-10</v>
      </c>
      <c r="D36" t="inlineStr">
        <is>
          <t>kilogram</t>
        </is>
      </c>
      <c r="E36" t="inlineStr">
        <is>
          <t>air::urban air close to ground</t>
        </is>
      </c>
      <c r="F36" t="inlineStr">
        <is>
          <t>biosphere</t>
        </is>
      </c>
      <c r="I36" t="n">
        <v>2</v>
      </c>
      <c r="J36" s="3">
        <f>LN(B36)</f>
        <v>-22.930540750136132</v>
      </c>
      <c r="K36" t="n">
        <v>1</v>
      </c>
      <c r="L36" t="n">
        <v>1</v>
      </c>
      <c r="M36" t="n">
        <v>1</v>
      </c>
      <c r="N36" t="n">
        <v>1.02</v>
      </c>
      <c r="O36" t="n">
        <v>1.2</v>
      </c>
      <c r="P36" t="n">
        <v>1</v>
      </c>
      <c r="Q36" t="n">
        <v>5</v>
      </c>
      <c r="R36">
        <f>LN(SQRT(EXP(
SQRT(
+POWER(LN(K36),2)
+POWER(LN(L36),2)
+POWER(LN(M36),2)
+POWER(LN(N36),2)
+POWER(LN(O36),2)
+POWER(LN(P36),2)
+POWER(LN(Q36),2)
)
)))</f>
        <v>0.80992649174166365</v>
      </c>
    </row>
    <row r="37">
      <c r="A37" t="inlineStr">
        <is>
          <t>Carbon dioxide, fossil</t>
        </is>
      </c>
      <c r="B37" t="n">
        <v>374</v>
      </c>
      <c r="D37" t="inlineStr">
        <is>
          <t>kilogram</t>
        </is>
      </c>
      <c r="E37" t="inlineStr">
        <is>
          <t>air::urban air close to ground</t>
        </is>
      </c>
      <c r="F37" t="inlineStr">
        <is>
          <t>biosphere</t>
        </is>
      </c>
      <c r="I37" t="n">
        <v>2</v>
      </c>
      <c r="J37" s="3">
        <f>LN(B37)</f>
        <v>5.9242557974145322</v>
      </c>
      <c r="K37" t="n">
        <v>1</v>
      </c>
      <c r="L37" t="n">
        <v>1</v>
      </c>
      <c r="M37" t="n">
        <v>1</v>
      </c>
      <c r="N37" t="n">
        <v>1.02</v>
      </c>
      <c r="O37" t="n">
        <v>1.2</v>
      </c>
      <c r="P37" t="n">
        <v>1</v>
      </c>
      <c r="Q37" t="n">
        <v>1.05</v>
      </c>
      <c r="R37">
        <f>LN(SQRT(EXP(
SQRT(
+POWER(LN(K37),2)
+POWER(LN(L37),2)
+POWER(LN(M37),2)
+POWER(LN(N37),2)
+POWER(LN(O37),2)
+POWER(LN(P37),2)
+POWER(LN(Q37),2)
)
)))</f>
        <v>9.4886477223156879E-2</v>
      </c>
    </row>
    <row r="38">
      <c r="A38" t="inlineStr">
        <is>
          <t>Carbon dioxide, non-fossil</t>
        </is>
      </c>
      <c r="B38" t="n">
        <v>594</v>
      </c>
      <c r="D38" t="inlineStr">
        <is>
          <t>kilogram</t>
        </is>
      </c>
      <c r="E38" t="inlineStr">
        <is>
          <t>air::urban air close to ground</t>
        </is>
      </c>
      <c r="F38" t="inlineStr">
        <is>
          <t>biosphere</t>
        </is>
      </c>
      <c r="I38" t="n">
        <v>2</v>
      </c>
      <c r="J38" s="3">
        <f>LN(B38)</f>
        <v>6.3868793193626452</v>
      </c>
      <c r="K38" t="n">
        <v>1</v>
      </c>
      <c r="L38" t="n">
        <v>1</v>
      </c>
      <c r="M38" t="n">
        <v>1</v>
      </c>
      <c r="N38" t="n">
        <v>1.02</v>
      </c>
      <c r="O38" t="n">
        <v>1.2</v>
      </c>
      <c r="P38" t="n">
        <v>1</v>
      </c>
      <c r="Q38" t="n">
        <v>1.05</v>
      </c>
      <c r="R38">
        <f>LN(SQRT(EXP(
SQRT(
+POWER(LN(K38),2)
+POWER(LN(L38),2)
+POWER(LN(M38),2)
+POWER(LN(N38),2)
+POWER(LN(O38),2)
+POWER(LN(P38),2)
+POWER(LN(Q38),2)
)
)))</f>
        <v>9.4886477223156879E-2</v>
      </c>
    </row>
    <row r="39"/>
    <row r="40">
      <c r="A40" s="1" t="inlineStr">
        <is>
          <t>Activity</t>
        </is>
      </c>
      <c r="B40" s="1" t="inlineStr">
        <is>
          <t>municipal waste incineration, at incineration plant, with semi-dry air pollution control, without flue gas condensation, with electricity and heat recovery</t>
        </is>
      </c>
    </row>
    <row r="41">
      <c r="A41" t="inlineStr">
        <is>
          <t>location</t>
        </is>
      </c>
      <c r="B41" t="inlineStr">
        <is>
          <t>RER</t>
        </is>
      </c>
    </row>
    <row r="42">
      <c r="A42" t="inlineStr">
        <is>
          <t>production amount</t>
        </is>
      </c>
      <c r="B42" t="n">
        <v>1</v>
      </c>
    </row>
    <row r="43">
      <c r="A43" s="2" t="inlineStr">
        <is>
          <t>source</t>
        </is>
      </c>
      <c r="B43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4">
      <c r="A44" t="inlineStr">
        <is>
          <t>reference product</t>
        </is>
      </c>
    </row>
    <row r="45">
      <c r="A45" t="inlineStr">
        <is>
          <t>type</t>
        </is>
      </c>
      <c r="B45" t="inlineStr">
        <is>
          <t>process</t>
        </is>
      </c>
    </row>
    <row r="46">
      <c r="A46" t="inlineStr">
        <is>
          <t>unit</t>
        </is>
      </c>
    </row>
    <row r="47">
      <c r="A47" t="inlineStr">
        <is>
          <t>comment</t>
        </is>
      </c>
      <c r="B47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638 kWh. Heat production per ton MSWI incinerated: 6'170 MJ.</t>
        </is>
      </c>
    </row>
    <row r="48">
      <c r="A48" s="1" t="inlineStr">
        <is>
          <t>Exchanges</t>
        </is>
      </c>
    </row>
    <row r="49">
      <c r="A49" s="7" t="inlineStr">
        <is>
          <t>name</t>
        </is>
      </c>
      <c r="B49" s="7" t="inlineStr">
        <is>
          <t>amount</t>
        </is>
      </c>
      <c r="C49" s="7" t="inlineStr">
        <is>
          <t>location</t>
        </is>
      </c>
      <c r="D49" s="7" t="inlineStr">
        <is>
          <t>unit</t>
        </is>
      </c>
      <c r="E49" s="7" t="inlineStr">
        <is>
          <t>categories</t>
        </is>
      </c>
      <c r="F49" s="7" t="inlineStr">
        <is>
          <t>type</t>
        </is>
      </c>
      <c r="G49" s="7" t="inlineStr">
        <is>
          <t>reference product</t>
        </is>
      </c>
      <c r="H49" s="7" t="inlineStr">
        <is>
          <t>comment</t>
        </is>
      </c>
      <c r="I49" s="7" t="inlineStr">
        <is>
          <t>uncertainty type</t>
        </is>
      </c>
      <c r="J49" s="7" t="inlineStr">
        <is>
          <t>loc</t>
        </is>
      </c>
      <c r="K49" s="1" t="inlineStr">
        <is>
          <t>u1</t>
        </is>
      </c>
      <c r="L49" s="1" t="inlineStr">
        <is>
          <t>u2</t>
        </is>
      </c>
      <c r="M49" s="1" t="inlineStr">
        <is>
          <t>u3</t>
        </is>
      </c>
      <c r="N49" s="1" t="inlineStr">
        <is>
          <t>u4</t>
        </is>
      </c>
      <c r="O49" s="1" t="inlineStr">
        <is>
          <t>u5</t>
        </is>
      </c>
      <c r="P49" s="1" t="inlineStr">
        <is>
          <t>u6</t>
        </is>
      </c>
      <c r="Q49" s="1" t="inlineStr">
        <is>
          <t>ub</t>
        </is>
      </c>
      <c r="R49" s="1" t="inlineStr">
        <is>
          <t>scale</t>
        </is>
      </c>
      <c r="S49" s="1" t="inlineStr">
        <is>
          <t>negative</t>
        </is>
      </c>
    </row>
    <row r="50">
      <c r="A50" t="inlineStr">
        <is>
          <t>municipal waste incineration, at incineration plant, with semi-dry air pollution control, without flue gas condensation, with electricity and heat recovery</t>
        </is>
      </c>
      <c r="B50" t="n">
        <v>1000</v>
      </c>
      <c r="C50" t="inlineStr">
        <is>
          <t>RER</t>
        </is>
      </c>
      <c r="D50" t="inlineStr">
        <is>
          <t>kilogram</t>
        </is>
      </c>
      <c r="F50" t="inlineStr">
        <is>
          <t>production</t>
        </is>
      </c>
      <c r="G50" t="inlineStr">
        <is>
          <t>municipal solid waste</t>
        </is>
      </c>
      <c r="H50" t="inlineStr"/>
      <c r="I50" t="n">
        <v>0</v>
      </c>
      <c r="K50" s="5" t="n"/>
      <c r="L50" s="5" t="n"/>
      <c r="M50" s="5" t="n"/>
      <c r="N50" s="5" t="n"/>
      <c r="O50" s="5" t="n"/>
      <c r="P50" s="5" t="n"/>
    </row>
    <row r="51">
      <c r="A51" t="inlineStr">
        <is>
          <t>municipal waste incineration, at incineration plant, with semi-dry air pollution control, without flue gas condensation, with electricity and heat recovery</t>
        </is>
      </c>
      <c r="B51" s="6" t="n">
        <v>638</v>
      </c>
      <c r="C51" t="inlineStr">
        <is>
          <t>RER</t>
        </is>
      </c>
      <c r="D51" t="inlineStr">
        <is>
          <t>kilowatt hour</t>
        </is>
      </c>
      <c r="F51" t="inlineStr">
        <is>
          <t>production</t>
        </is>
      </c>
      <c r="G51" t="inlineStr">
        <is>
          <t>electricity, medium voltage</t>
        </is>
      </c>
      <c r="H51" t="inlineStr"/>
      <c r="I51" t="n">
        <v>0</v>
      </c>
      <c r="J51" s="3" t="n"/>
    </row>
    <row r="52">
      <c r="A52" t="inlineStr">
        <is>
          <t>municipal waste incineration, at incineration plant, with semi-dry air pollution control, without flue gas condensation, with electricity and heat recovery</t>
        </is>
      </c>
      <c r="B52" t="n">
        <v>6170</v>
      </c>
      <c r="C52" t="inlineStr">
        <is>
          <t>RER</t>
        </is>
      </c>
      <c r="D52" t="inlineStr">
        <is>
          <t>megajoule</t>
        </is>
      </c>
      <c r="F52" t="inlineStr">
        <is>
          <t>production</t>
        </is>
      </c>
      <c r="G52" t="inlineStr">
        <is>
          <t>heat, district or industrial, other than natural gas</t>
        </is>
      </c>
      <c r="H52" t="inlineStr"/>
      <c r="I52" t="n">
        <v>0</v>
      </c>
      <c r="J52" s="3" t="n"/>
    </row>
    <row r="53">
      <c r="A53" t="inlineStr">
        <is>
          <t>market for diesel, low-sulfur</t>
        </is>
      </c>
      <c r="B53">
        <f>0.1*0.85</f>
        <v>8.5000000000000006E-2</v>
      </c>
      <c r="C53" t="inlineStr">
        <is>
          <t>Europe without Switzerland</t>
        </is>
      </c>
      <c r="D53" t="inlineStr">
        <is>
          <t>kilogram</t>
        </is>
      </c>
      <c r="F53" t="inlineStr">
        <is>
          <t>technosphere</t>
        </is>
      </c>
      <c r="G53" t="inlineStr">
        <is>
          <t>diesel, low-sulfur</t>
        </is>
      </c>
      <c r="H53" t="inlineStr">
        <is>
          <t>Diesel density: 0.85 kg/l</t>
        </is>
      </c>
      <c r="I53" t="n">
        <v>2</v>
      </c>
      <c r="J53" s="3">
        <f>LN(B53)</f>
        <v>-2.4651040224918206</v>
      </c>
      <c r="K53" t="n">
        <v>1</v>
      </c>
      <c r="L53" t="n">
        <v>1</v>
      </c>
      <c r="M53" t="n">
        <v>1</v>
      </c>
      <c r="N53" t="n">
        <v>1.02</v>
      </c>
      <c r="O53" t="n">
        <v>1.2</v>
      </c>
      <c r="P53" t="n">
        <v>1</v>
      </c>
      <c r="Q53" t="n">
        <v>1.05</v>
      </c>
      <c r="R53">
        <f>LN(SQRT(EXP(
SQRT(
+POWER(LN(K53),2)
+POWER(LN(L53),2)
+POWER(LN(M53),2)
+POWER(LN(N53),2)
+POWER(LN(O53),2)
+POWER(LN(P53),2)
+POWER(LN(Q53),2)
)
)))</f>
        <v>9.4886477223156879E-2</v>
      </c>
    </row>
    <row r="54">
      <c r="A54" t="inlineStr">
        <is>
          <t>market for activated carbon, granular</t>
        </is>
      </c>
      <c r="B54" t="n">
        <v>0.4</v>
      </c>
      <c r="C54" t="inlineStr">
        <is>
          <t>GLO</t>
        </is>
      </c>
      <c r="D54" t="inlineStr">
        <is>
          <t>kilogram</t>
        </is>
      </c>
      <c r="F54" t="inlineStr">
        <is>
          <t>technosphere</t>
        </is>
      </c>
      <c r="G54" t="inlineStr">
        <is>
          <t>activated carbon, granular</t>
        </is>
      </c>
      <c r="I54" t="n">
        <v>2</v>
      </c>
      <c r="J54" s="3">
        <f>LN(B54)</f>
        <v>-0.916290731874155</v>
      </c>
      <c r="K54" t="n">
        <v>1</v>
      </c>
      <c r="L54" t="n">
        <v>1</v>
      </c>
      <c r="M54" t="n">
        <v>1</v>
      </c>
      <c r="N54" t="n">
        <v>1.02</v>
      </c>
      <c r="O54" t="n">
        <v>1.2</v>
      </c>
      <c r="P54" t="n">
        <v>1</v>
      </c>
      <c r="Q54" t="n">
        <v>1.05</v>
      </c>
      <c r="R54">
        <f>LN(SQRT(EXP(
SQRT(
+POWER(LN(K54),2)
+POWER(LN(L54),2)
+POWER(LN(M54),2)
+POWER(LN(N54),2)
+POWER(LN(O54),2)
+POWER(LN(P54),2)
+POWER(LN(Q54),2)
)
)))</f>
        <v>9.4886477223156879E-2</v>
      </c>
    </row>
    <row r="55">
      <c r="A55" t="inlineStr">
        <is>
          <t>market for ammonia, anhydrous, liquid</t>
        </is>
      </c>
      <c r="B55">
        <f>4*24.5%</f>
        <v>0.98</v>
      </c>
      <c r="C55" t="inlineStr">
        <is>
          <t>RER</t>
        </is>
      </c>
      <c r="D55" t="inlineStr">
        <is>
          <t>kilogram</t>
        </is>
      </c>
      <c r="F55" t="inlineStr">
        <is>
          <t>technosphere</t>
        </is>
      </c>
      <c r="G55" t="inlineStr">
        <is>
          <t>ammonia, anhydrous, liquid</t>
        </is>
      </c>
      <c r="H55" t="inlineStr">
        <is>
          <t>100% liquid ammonia. In original publication, it is dilluated to 23.5% in water. We discount the original value by 75%.</t>
        </is>
      </c>
      <c r="I55" t="n">
        <v>2</v>
      </c>
      <c r="J55" s="3">
        <f>LN(B55)</f>
        <v>-2.0202707317519466E-2</v>
      </c>
      <c r="K55" t="n">
        <v>1</v>
      </c>
      <c r="L55" t="n">
        <v>1</v>
      </c>
      <c r="M55" t="n">
        <v>1</v>
      </c>
      <c r="N55" t="n">
        <v>1.02</v>
      </c>
      <c r="O55" t="n">
        <v>1.2</v>
      </c>
      <c r="P55" t="n">
        <v>1</v>
      </c>
      <c r="Q55" t="n">
        <v>1.05</v>
      </c>
      <c r="R55">
        <f>LN(SQRT(EXP(
SQRT(
+POWER(LN(K55),2)
+POWER(LN(L55),2)
+POWER(LN(M55),2)
+POWER(LN(N55),2)
+POWER(LN(O55),2)
+POWER(LN(P55),2)
+POWER(LN(Q55),2)
)
)))</f>
        <v>9.4886477223156879E-2</v>
      </c>
    </row>
    <row r="56">
      <c r="A56" t="inlineStr">
        <is>
          <t>market for tap water</t>
        </is>
      </c>
      <c r="B56">
        <f>4-B55</f>
        <v>3.02</v>
      </c>
      <c r="C56" t="inlineStr">
        <is>
          <t>Europe without Switzerland</t>
        </is>
      </c>
      <c r="D56" t="inlineStr">
        <is>
          <t>kilogram</t>
        </is>
      </c>
      <c r="F56" t="inlineStr">
        <is>
          <t>technosphere</t>
        </is>
      </c>
      <c r="H56" t="inlineStr">
        <is>
          <t>Used to dilute the ammonia.</t>
        </is>
      </c>
      <c r="I56" t="n">
        <v>2</v>
      </c>
      <c r="J56" s="3">
        <f>LN(B56)</f>
        <v>1.1052568313867783</v>
      </c>
      <c r="K56" t="n">
        <v>1</v>
      </c>
      <c r="L56" t="n">
        <v>1</v>
      </c>
      <c r="M56" t="n">
        <v>1</v>
      </c>
      <c r="N56" t="n">
        <v>1.02</v>
      </c>
      <c r="O56" t="n">
        <v>1.2</v>
      </c>
      <c r="P56" t="n">
        <v>1</v>
      </c>
      <c r="Q56" t="n">
        <v>1.05</v>
      </c>
      <c r="R56">
        <f>LN(SQRT(EXP(
SQRT(
+POWER(LN(K56),2)
+POWER(LN(L56),2)
+POWER(LN(M56),2)
+POWER(LN(N56),2)
+POWER(LN(O56),2)
+POWER(LN(P56),2)
+POWER(LN(Q56),2)
)
)))</f>
        <v>9.4886477223156879E-2</v>
      </c>
    </row>
    <row r="57">
      <c r="A57" t="inlineStr">
        <is>
          <t>market for calcium carbonate, precipitated</t>
        </is>
      </c>
      <c r="B57" t="n">
        <v>0</v>
      </c>
      <c r="C57" t="inlineStr">
        <is>
          <t>RER</t>
        </is>
      </c>
      <c r="D57" t="inlineStr">
        <is>
          <t>kilogram</t>
        </is>
      </c>
      <c r="F57" t="inlineStr">
        <is>
          <t>technosphere</t>
        </is>
      </c>
      <c r="G57" t="inlineStr">
        <is>
          <t>calcium carbonate, precipitated</t>
        </is>
      </c>
      <c r="I57" t="n">
        <v>0</v>
      </c>
      <c r="J57" s="3" t="n"/>
    </row>
    <row r="58">
      <c r="A58" t="inlineStr">
        <is>
          <t>market for iron(III) chloride, without water, in 40% solution state</t>
        </is>
      </c>
      <c r="B58" t="n">
        <v>0</v>
      </c>
      <c r="C58" t="inlineStr">
        <is>
          <t>RER</t>
        </is>
      </c>
      <c r="D58" t="inlineStr">
        <is>
          <t>kilogram</t>
        </is>
      </c>
      <c r="F58" t="inlineStr">
        <is>
          <t>technosphere</t>
        </is>
      </c>
      <c r="G58" t="inlineStr">
        <is>
          <t>iron(III) chloride, without water, in 40% solution state</t>
        </is>
      </c>
      <c r="I58" t="n">
        <v>0</v>
      </c>
      <c r="J58" s="3" t="n"/>
    </row>
    <row r="59">
      <c r="A59" t="inlineStr">
        <is>
          <t>market for lime, hydrated, packed</t>
        </is>
      </c>
      <c r="B59" t="n">
        <v>11</v>
      </c>
      <c r="C59" t="inlineStr">
        <is>
          <t>RER</t>
        </is>
      </c>
      <c r="D59" t="inlineStr">
        <is>
          <t>kilogram</t>
        </is>
      </c>
      <c r="F59" t="inlineStr">
        <is>
          <t>technosphere</t>
        </is>
      </c>
      <c r="G59" t="inlineStr">
        <is>
          <t>lime, hydrated, packed</t>
        </is>
      </c>
      <c r="I59" t="n">
        <v>2</v>
      </c>
      <c r="J59" s="3">
        <f>LN(B59)</f>
        <v>2.3978952727983707</v>
      </c>
      <c r="K59" t="n">
        <v>1</v>
      </c>
      <c r="L59" t="n">
        <v>1</v>
      </c>
      <c r="M59" t="n">
        <v>1</v>
      </c>
      <c r="N59" t="n">
        <v>1.02</v>
      </c>
      <c r="O59" t="n">
        <v>1.2</v>
      </c>
      <c r="P59" t="n">
        <v>1</v>
      </c>
      <c r="Q59" t="n">
        <v>1.05</v>
      </c>
      <c r="R59">
        <f>LN(SQRT(EXP(
SQRT(
+POWER(LN(K59),2)
+POWER(LN(L59),2)
+POWER(LN(M59),2)
+POWER(LN(N59),2)
+POWER(LN(O59),2)
+POWER(LN(P59),2)
+POWER(LN(Q59),2)
)
)))</f>
        <v>9.4886477223156879E-2</v>
      </c>
    </row>
    <row r="60">
      <c r="A60" t="inlineStr">
        <is>
          <t>market for sodium hydroxide, without water, in 50% solution state</t>
        </is>
      </c>
      <c r="B60" t="n">
        <v>0</v>
      </c>
      <c r="C60" t="inlineStr">
        <is>
          <t>RER</t>
        </is>
      </c>
      <c r="D60" t="inlineStr">
        <is>
          <t>kilogram</t>
        </is>
      </c>
      <c r="F60" t="inlineStr">
        <is>
          <t>technosphere</t>
        </is>
      </c>
      <c r="G60" t="inlineStr">
        <is>
          <t>sodium hydroxide, without water, in 50% solution state</t>
        </is>
      </c>
      <c r="H60" t="inlineStr">
        <is>
          <t>50% liquid ammonia. In original publication, it is dilluated to 27% in water. We discount the original value by 50%.</t>
        </is>
      </c>
      <c r="I60" t="n">
        <v>0</v>
      </c>
      <c r="J60" s="3" t="n"/>
    </row>
    <row r="61">
      <c r="A61" t="inlineStr">
        <is>
          <t>market for monoethanolamine</t>
        </is>
      </c>
      <c r="B61" t="n">
        <v>0</v>
      </c>
      <c r="C61" t="inlineStr">
        <is>
          <t>GLO</t>
        </is>
      </c>
      <c r="D61" t="inlineStr">
        <is>
          <t>kilogram</t>
        </is>
      </c>
      <c r="F61" t="inlineStr">
        <is>
          <t>technosphere</t>
        </is>
      </c>
      <c r="G61" t="inlineStr">
        <is>
          <t>monoethanolamine</t>
        </is>
      </c>
      <c r="I61" t="n">
        <v>0</v>
      </c>
      <c r="J61" s="3" t="n"/>
    </row>
    <row r="62">
      <c r="A62" t="inlineStr">
        <is>
          <t>municipal waste incineration facility construction</t>
        </is>
      </c>
      <c r="B62" s="8" t="n">
        <v>2.5e-07</v>
      </c>
      <c r="C62" t="inlineStr">
        <is>
          <t>CH</t>
        </is>
      </c>
      <c r="D62" t="inlineStr">
        <is>
          <t>unit</t>
        </is>
      </c>
      <c r="F62" t="inlineStr">
        <is>
          <t>technosphere</t>
        </is>
      </c>
      <c r="G62" t="inlineStr">
        <is>
          <t>municipal waste incineration facility</t>
        </is>
      </c>
      <c r="H62" t="inlineStr">
        <is>
          <t>Lifetime: 4'000'000 tons MSWI treated.</t>
        </is>
      </c>
      <c r="I62" t="n">
        <v>2</v>
      </c>
      <c r="J62" s="3">
        <f>LN(B62)</f>
        <v>-15.201804919084164</v>
      </c>
      <c r="K62" t="n">
        <v>1</v>
      </c>
      <c r="L62" t="n">
        <v>1</v>
      </c>
      <c r="M62" t="n">
        <v>1</v>
      </c>
      <c r="N62" t="n">
        <v>1.02</v>
      </c>
      <c r="O62" t="n">
        <v>1.2</v>
      </c>
      <c r="P62" t="n">
        <v>1</v>
      </c>
      <c r="Q62" t="n">
        <v>3</v>
      </c>
      <c r="R62">
        <f>LN(SQRT(EXP(
SQRT(
+POWER(LN(K62),2)
+POWER(LN(L62),2)
+POWER(LN(M62),2)
+POWER(LN(N62),2)
+POWER(LN(O62),2)
+POWER(LN(P62),2)
+POWER(LN(Q62),2)
)
)))</f>
        <v>0.5569071410325479</v>
      </c>
    </row>
    <row r="63">
      <c r="A63" t="inlineStr">
        <is>
          <t>Water, cooling, unspecified natural origin</t>
        </is>
      </c>
      <c r="B63" t="n">
        <v>0.15</v>
      </c>
      <c r="D63" t="inlineStr">
        <is>
          <t>cubic meter</t>
        </is>
      </c>
      <c r="F63" t="inlineStr">
        <is>
          <t>biosphere</t>
        </is>
      </c>
      <c r="I63" t="n">
        <v>2</v>
      </c>
      <c r="J63" s="3">
        <f>LN(B63)</f>
        <v>-1.8971199848858813</v>
      </c>
      <c r="K63" t="n">
        <v>1</v>
      </c>
      <c r="L63" t="n">
        <v>1</v>
      </c>
      <c r="M63" t="n">
        <v>1</v>
      </c>
      <c r="N63" t="n">
        <v>1.02</v>
      </c>
      <c r="O63" t="n">
        <v>1.2</v>
      </c>
      <c r="P63" t="n">
        <v>1</v>
      </c>
      <c r="Q63" t="n">
        <v>1.05</v>
      </c>
      <c r="R63">
        <f>LN(SQRT(EXP(
SQRT(
+POWER(LN(K63),2)
+POWER(LN(L63),2)
+POWER(LN(M63),2)
+POWER(LN(N63),2)
+POWER(LN(O63),2)
+POWER(LN(P63),2)
+POWER(LN(Q63),2)
)
)))</f>
        <v>9.4886477223156879E-2</v>
      </c>
    </row>
    <row r="64">
      <c r="A64" t="inlineStr">
        <is>
          <t>Sulfur dioxide</t>
        </is>
      </c>
      <c r="B64" t="n">
        <v>0.113</v>
      </c>
      <c r="D64" t="inlineStr">
        <is>
          <t>kilogram</t>
        </is>
      </c>
      <c r="E64" t="inlineStr">
        <is>
          <t>air::urban air close to ground</t>
        </is>
      </c>
      <c r="F64" t="inlineStr">
        <is>
          <t>biosphere</t>
        </is>
      </c>
      <c r="I64" t="n">
        <v>2</v>
      </c>
      <c r="J64" s="3">
        <f>LN(B64)</f>
        <v>-2.1803674602697964</v>
      </c>
      <c r="K64" t="n">
        <v>1</v>
      </c>
      <c r="L64" t="n">
        <v>1</v>
      </c>
      <c r="M64" t="n">
        <v>1</v>
      </c>
      <c r="N64" t="n">
        <v>1.02</v>
      </c>
      <c r="O64" t="n">
        <v>1.2</v>
      </c>
      <c r="P64" t="n">
        <v>1</v>
      </c>
      <c r="Q64" t="n">
        <v>1.05</v>
      </c>
      <c r="R64">
        <f>LN(SQRT(EXP(
SQRT(
+POWER(LN(K64),2)
+POWER(LN(L64),2)
+POWER(LN(M64),2)
+POWER(LN(N64),2)
+POWER(LN(O64),2)
+POWER(LN(P64),2)
+POWER(LN(Q64),2)
)
)))</f>
        <v>9.4886477223156879E-2</v>
      </c>
    </row>
    <row r="65">
      <c r="A65" t="inlineStr">
        <is>
          <t>Hydrochloric acid</t>
        </is>
      </c>
      <c r="B65" t="n">
        <v>0.028</v>
      </c>
      <c r="D65" t="inlineStr">
        <is>
          <t>kilogram</t>
        </is>
      </c>
      <c r="E65" t="inlineStr">
        <is>
          <t>air::urban air close to ground</t>
        </is>
      </c>
      <c r="F65" t="inlineStr">
        <is>
          <t>biosphere</t>
        </is>
      </c>
      <c r="I65" t="n">
        <v>2</v>
      </c>
      <c r="J65" s="3">
        <f>LN(B65)</f>
        <v>-3.575550768806933</v>
      </c>
      <c r="K65" t="n">
        <v>1</v>
      </c>
      <c r="L65" t="n">
        <v>1</v>
      </c>
      <c r="M65" t="n">
        <v>1</v>
      </c>
      <c r="N65" t="n">
        <v>1.02</v>
      </c>
      <c r="O65" t="n">
        <v>1.2</v>
      </c>
      <c r="P65" t="n">
        <v>1</v>
      </c>
      <c r="Q65" t="n">
        <v>1.5</v>
      </c>
      <c r="R65">
        <f>LN(SQRT(EXP(
SQRT(
+POWER(LN(K65),2)
+POWER(LN(L65),2)
+POWER(LN(M65),2)
+POWER(LN(N65),2)
+POWER(LN(O65),2)
+POWER(LN(P65),2)
+POWER(LN(Q65),2)
)
)))</f>
        <v>0.22250575723605889</v>
      </c>
    </row>
    <row r="66">
      <c r="A66" t="inlineStr">
        <is>
          <t>Nitrogen oxides</t>
        </is>
      </c>
      <c r="B66" t="n">
        <v>0.677</v>
      </c>
      <c r="D66" t="inlineStr">
        <is>
          <t>kilogram</t>
        </is>
      </c>
      <c r="E66" t="inlineStr">
        <is>
          <t>air::urban air close to ground</t>
        </is>
      </c>
      <c r="F66" t="inlineStr">
        <is>
          <t>biosphere</t>
        </is>
      </c>
      <c r="I66" t="n">
        <v>2</v>
      </c>
      <c r="J66" s="3">
        <f>LN(B66)</f>
        <v>-0.39008400606986199</v>
      </c>
      <c r="K66" t="n">
        <v>1</v>
      </c>
      <c r="L66" t="n">
        <v>1</v>
      </c>
      <c r="M66" t="n">
        <v>1</v>
      </c>
      <c r="N66" t="n">
        <v>1.02</v>
      </c>
      <c r="O66" t="n">
        <v>1.2</v>
      </c>
      <c r="P66" t="n">
        <v>1</v>
      </c>
      <c r="Q66" t="n">
        <v>1.5</v>
      </c>
      <c r="R66">
        <f>LN(SQRT(EXP(
SQRT(
+POWER(LN(K66),2)
+POWER(LN(L66),2)
+POWER(LN(M66),2)
+POWER(LN(N66),2)
+POWER(LN(O66),2)
+POWER(LN(P66),2)
+POWER(LN(Q66),2)
)
)))</f>
        <v>0.22250575723605889</v>
      </c>
    </row>
    <row r="67">
      <c r="A67" t="inlineStr">
        <is>
          <t>Ammonia</t>
        </is>
      </c>
      <c r="B67" t="n">
        <v>0.045</v>
      </c>
      <c r="D67" t="inlineStr">
        <is>
          <t>kilogram</t>
        </is>
      </c>
      <c r="E67" t="inlineStr">
        <is>
          <t>air::urban air close to ground</t>
        </is>
      </c>
      <c r="F67" t="inlineStr">
        <is>
          <t>biosphere</t>
        </is>
      </c>
      <c r="I67" t="n">
        <v>2</v>
      </c>
      <c r="J67" s="3">
        <f>LN(B67)</f>
        <v>-3.1010927892118172</v>
      </c>
      <c r="K67" t="n">
        <v>1</v>
      </c>
      <c r="L67" t="n">
        <v>1</v>
      </c>
      <c r="M67" t="n">
        <v>1</v>
      </c>
      <c r="N67" t="n">
        <v>1.02</v>
      </c>
      <c r="O67" t="n">
        <v>1.2</v>
      </c>
      <c r="P67" t="n">
        <v>1</v>
      </c>
      <c r="Q67" t="n">
        <v>1.5</v>
      </c>
      <c r="R67">
        <f>LN(SQRT(EXP(
SQRT(
+POWER(LN(K67),2)
+POWER(LN(L67),2)
+POWER(LN(M67),2)
+POWER(LN(N67),2)
+POWER(LN(O67),2)
+POWER(LN(P67),2)
+POWER(LN(Q67),2)
)
)))</f>
        <v>0.22250575723605889</v>
      </c>
    </row>
    <row r="68">
      <c r="A68" t="inlineStr">
        <is>
          <t>Particulate Matter, &lt; 2.5 um</t>
        </is>
      </c>
      <c r="B68" t="n">
        <v>0.006</v>
      </c>
      <c r="D68" t="inlineStr">
        <is>
          <t>kilogram</t>
        </is>
      </c>
      <c r="E68" t="inlineStr">
        <is>
          <t>air::urban air close to ground</t>
        </is>
      </c>
      <c r="F68" t="inlineStr">
        <is>
          <t>biosphere</t>
        </is>
      </c>
      <c r="I68" t="n">
        <v>2</v>
      </c>
      <c r="J68" s="3">
        <f>LN(B68)</f>
        <v>-5.1159958097540823</v>
      </c>
      <c r="K68" t="n">
        <v>1</v>
      </c>
      <c r="L68" t="n">
        <v>1</v>
      </c>
      <c r="M68" t="n">
        <v>1</v>
      </c>
      <c r="N68" t="n">
        <v>1.02</v>
      </c>
      <c r="O68" t="n">
        <v>1.2</v>
      </c>
      <c r="P68" t="n">
        <v>1</v>
      </c>
      <c r="Q68" t="n">
        <v>3</v>
      </c>
      <c r="R68">
        <f>LN(SQRT(EXP(
SQRT(
+POWER(LN(K68),2)
+POWER(LN(L68),2)
+POWER(LN(M68),2)
+POWER(LN(N68),2)
+POWER(LN(O68),2)
+POWER(LN(P68),2)
+POWER(LN(Q68),2)
)
)))</f>
        <v>0.5569071410325479</v>
      </c>
    </row>
    <row r="69">
      <c r="A69" t="inlineStr">
        <is>
          <t>Mercury II</t>
        </is>
      </c>
      <c r="B69" t="n">
        <v>2.3e-05</v>
      </c>
      <c r="D69" t="inlineStr">
        <is>
          <t>kilogram</t>
        </is>
      </c>
      <c r="E69" t="inlineStr">
        <is>
          <t>air::urban air close to ground</t>
        </is>
      </c>
      <c r="F69" t="inlineStr">
        <is>
          <t>biosphere</t>
        </is>
      </c>
      <c r="I69" t="n">
        <v>2</v>
      </c>
      <c r="J69" s="3">
        <f>LN(B69)</f>
        <v>-10.680016342035124</v>
      </c>
      <c r="K69" t="n">
        <v>1</v>
      </c>
      <c r="L69" t="n">
        <v>1</v>
      </c>
      <c r="M69" t="n">
        <v>1</v>
      </c>
      <c r="N69" t="n">
        <v>1.02</v>
      </c>
      <c r="O69" t="n">
        <v>1.2</v>
      </c>
      <c r="P69" t="n">
        <v>1</v>
      </c>
      <c r="Q69" t="n">
        <v>5</v>
      </c>
      <c r="R69">
        <f>LN(SQRT(EXP(
SQRT(
+POWER(LN(K69),2)
+POWER(LN(L69),2)
+POWER(LN(M69),2)
+POWER(LN(N69),2)
+POWER(LN(O69),2)
+POWER(LN(P69),2)
+POWER(LN(Q69),2)
)
)))</f>
        <v>0.80992649174166365</v>
      </c>
    </row>
    <row r="70">
      <c r="A70" t="inlineStr">
        <is>
          <t>Lead II</t>
        </is>
      </c>
      <c r="B70" t="n">
        <v>5.6e-05</v>
      </c>
      <c r="D70" t="inlineStr">
        <is>
          <t>kilogram</t>
        </is>
      </c>
      <c r="E70" t="inlineStr">
        <is>
          <t>air::urban air close to ground</t>
        </is>
      </c>
      <c r="F70" t="inlineStr">
        <is>
          <t>biosphere</t>
        </is>
      </c>
      <c r="I70" t="n">
        <v>2</v>
      </c>
      <c r="J70" s="3">
        <f>LN(B70)</f>
        <v>-9.7901588672291258</v>
      </c>
      <c r="K70" t="n">
        <v>1</v>
      </c>
      <c r="L70" t="n">
        <v>1</v>
      </c>
      <c r="M70" t="n">
        <v>1</v>
      </c>
      <c r="N70" t="n">
        <v>1.02</v>
      </c>
      <c r="O70" t="n">
        <v>1.2</v>
      </c>
      <c r="P70" t="n">
        <v>1</v>
      </c>
      <c r="Q70" t="n">
        <v>5</v>
      </c>
      <c r="R70">
        <f>LN(SQRT(EXP(
SQRT(
+POWER(LN(K70),2)
+POWER(LN(L70),2)
+POWER(LN(M70),2)
+POWER(LN(N70),2)
+POWER(LN(O70),2)
+POWER(LN(P70),2)
+POWER(LN(Q70),2)
)
)))</f>
        <v>0.80992649174166365</v>
      </c>
    </row>
    <row r="71">
      <c r="A71" t="inlineStr">
        <is>
          <t>Cadmium II</t>
        </is>
      </c>
      <c r="B71" t="n">
        <v>2.8e-05</v>
      </c>
      <c r="D71" t="inlineStr">
        <is>
          <t>kilogram</t>
        </is>
      </c>
      <c r="E71" t="inlineStr">
        <is>
          <t>air::urban air close to ground</t>
        </is>
      </c>
      <c r="F71" t="inlineStr">
        <is>
          <t>biosphere</t>
        </is>
      </c>
      <c r="I71" t="n">
        <v>2</v>
      </c>
      <c r="J71" s="3">
        <f>LN(B71)</f>
        <v>-10.483306047789069</v>
      </c>
      <c r="K71" t="n">
        <v>1</v>
      </c>
      <c r="L71" t="n">
        <v>1</v>
      </c>
      <c r="M71" t="n">
        <v>1</v>
      </c>
      <c r="N71" t="n">
        <v>1.02</v>
      </c>
      <c r="O71" t="n">
        <v>1.2</v>
      </c>
      <c r="P71" t="n">
        <v>1</v>
      </c>
      <c r="Q71" t="n">
        <v>5</v>
      </c>
      <c r="R71">
        <f>LN(SQRT(EXP(
SQRT(
+POWER(LN(K71),2)
+POWER(LN(L71),2)
+POWER(LN(M71),2)
+POWER(LN(N71),2)
+POWER(LN(O71),2)
+POWER(LN(P71),2)
+POWER(LN(Q71),2)
)
)))</f>
        <v>0.80992649174166365</v>
      </c>
    </row>
    <row r="72">
      <c r="A72" t="inlineStr">
        <is>
          <t>Arsenic ion</t>
        </is>
      </c>
      <c r="B72" t="n">
        <v>6e-06</v>
      </c>
      <c r="D72" t="inlineStr">
        <is>
          <t>kilogram</t>
        </is>
      </c>
      <c r="E72" t="inlineStr">
        <is>
          <t>air::urban air close to ground</t>
        </is>
      </c>
      <c r="F72" t="inlineStr">
        <is>
          <t>biosphere</t>
        </is>
      </c>
      <c r="I72" t="n">
        <v>2</v>
      </c>
      <c r="J72" s="3">
        <f>LN(B72)</f>
        <v>-12.023751088736219</v>
      </c>
      <c r="K72" t="n">
        <v>1</v>
      </c>
      <c r="L72" t="n">
        <v>1</v>
      </c>
      <c r="M72" t="n">
        <v>1</v>
      </c>
      <c r="N72" t="n">
        <v>1.02</v>
      </c>
      <c r="O72" t="n">
        <v>1.2</v>
      </c>
      <c r="P72" t="n">
        <v>1</v>
      </c>
      <c r="Q72" t="n">
        <v>5</v>
      </c>
      <c r="R72">
        <f>LN(SQRT(EXP(
SQRT(
+POWER(LN(K72),2)
+POWER(LN(L72),2)
+POWER(LN(M72),2)
+POWER(LN(N72),2)
+POWER(LN(O72),2)
+POWER(LN(P72),2)
+POWER(LN(Q72),2)
)
)))</f>
        <v>0.80992649174166365</v>
      </c>
    </row>
    <row r="73">
      <c r="A73" t="inlineStr">
        <is>
          <t>Dioxins, measured as 2,3,7,8-tetrachlorodibenzo-p-dioxin</t>
        </is>
      </c>
      <c r="B73">
        <f>0.11*0.000000001</f>
        <v>1.1000000000000001E-10</v>
      </c>
      <c r="D73" t="inlineStr">
        <is>
          <t>kilogram</t>
        </is>
      </c>
      <c r="E73" t="inlineStr">
        <is>
          <t>air::urban air close to ground</t>
        </is>
      </c>
      <c r="F73" t="inlineStr">
        <is>
          <t>biosphere</t>
        </is>
      </c>
      <c r="I73" t="n">
        <v>2</v>
      </c>
      <c r="J73" s="3">
        <f>LN(B73)</f>
        <v>-22.930540750136132</v>
      </c>
      <c r="K73" t="n">
        <v>1</v>
      </c>
      <c r="L73" t="n">
        <v>1</v>
      </c>
      <c r="M73" t="n">
        <v>1</v>
      </c>
      <c r="N73" t="n">
        <v>1.02</v>
      </c>
      <c r="O73" t="n">
        <v>1.2</v>
      </c>
      <c r="P73" t="n">
        <v>1</v>
      </c>
      <c r="Q73" t="n">
        <v>5</v>
      </c>
      <c r="R73">
        <f>LN(SQRT(EXP(
SQRT(
+POWER(LN(K73),2)
+POWER(LN(L73),2)
+POWER(LN(M73),2)
+POWER(LN(N73),2)
+POWER(LN(O73),2)
+POWER(LN(P73),2)
+POWER(LN(Q73),2)
)
)))</f>
        <v>0.80992649174166365</v>
      </c>
    </row>
    <row r="74">
      <c r="A74" t="inlineStr">
        <is>
          <t>Carbon dioxide, fossil</t>
        </is>
      </c>
      <c r="B74" t="n">
        <v>374</v>
      </c>
      <c r="D74" t="inlineStr">
        <is>
          <t>kilogram</t>
        </is>
      </c>
      <c r="E74" t="inlineStr">
        <is>
          <t>air::urban air close to ground</t>
        </is>
      </c>
      <c r="F74" t="inlineStr">
        <is>
          <t>biosphere</t>
        </is>
      </c>
      <c r="I74" t="n">
        <v>2</v>
      </c>
      <c r="J74" s="3">
        <f>LN(B74)</f>
        <v>5.9242557974145322</v>
      </c>
      <c r="K74" t="n">
        <v>1</v>
      </c>
      <c r="L74" t="n">
        <v>1</v>
      </c>
      <c r="M74" t="n">
        <v>1</v>
      </c>
      <c r="N74" t="n">
        <v>1.02</v>
      </c>
      <c r="O74" t="n">
        <v>1.2</v>
      </c>
      <c r="P74" t="n">
        <v>1</v>
      </c>
      <c r="Q74" t="n">
        <v>1.05</v>
      </c>
      <c r="R74">
        <f>LN(SQRT(EXP(
SQRT(
+POWER(LN(K74),2)
+POWER(LN(L74),2)
+POWER(LN(M74),2)
+POWER(LN(N74),2)
+POWER(LN(O74),2)
+POWER(LN(P74),2)
+POWER(LN(Q74),2)
)
)))</f>
        <v>9.4886477223156879E-2</v>
      </c>
    </row>
    <row r="75">
      <c r="A75" t="inlineStr">
        <is>
          <t>Carbon dioxide, non-fossil</t>
        </is>
      </c>
      <c r="B75" t="n">
        <v>594</v>
      </c>
      <c r="D75" t="inlineStr">
        <is>
          <t>kilogram</t>
        </is>
      </c>
      <c r="E75" t="inlineStr">
        <is>
          <t>air::urban air close to ground</t>
        </is>
      </c>
      <c r="F75" t="inlineStr">
        <is>
          <t>biosphere</t>
        </is>
      </c>
      <c r="I75" t="n">
        <v>2</v>
      </c>
      <c r="J75" s="3">
        <f>LN(B75)</f>
        <v>6.3868793193626452</v>
      </c>
      <c r="K75" t="n">
        <v>1</v>
      </c>
      <c r="L75" t="n">
        <v>1</v>
      </c>
      <c r="M75" t="n">
        <v>1</v>
      </c>
      <c r="N75" t="n">
        <v>1.02</v>
      </c>
      <c r="O75" t="n">
        <v>1.2</v>
      </c>
      <c r="P75" t="n">
        <v>1</v>
      </c>
      <c r="Q75" t="n">
        <v>1.05</v>
      </c>
      <c r="R75">
        <f>LN(SQRT(EXP(
SQRT(
+POWER(LN(K75),2)
+POWER(LN(L75),2)
+POWER(LN(M75),2)
+POWER(LN(N75),2)
+POWER(LN(O75),2)
+POWER(LN(P75),2)
+POWER(LN(Q75),2)
)
)))</f>
        <v>9.4886477223156879E-2</v>
      </c>
    </row>
    <row r="76"/>
    <row r="77">
      <c r="A77" s="1" t="inlineStr">
        <is>
          <t>Activity</t>
        </is>
      </c>
      <c r="B77" s="1" t="inlineStr">
        <is>
          <t>municipal waste incineration, at incineration plant, with semi-dry air pollution control, with flue gas condensation, with electricity and heat recovery</t>
        </is>
      </c>
    </row>
    <row r="78">
      <c r="A78" t="inlineStr">
        <is>
          <t>location</t>
        </is>
      </c>
      <c r="B78" t="inlineStr">
        <is>
          <t>RER</t>
        </is>
      </c>
    </row>
    <row r="79">
      <c r="A79" t="inlineStr">
        <is>
          <t>production amount</t>
        </is>
      </c>
      <c r="B79" t="n">
        <v>1</v>
      </c>
    </row>
    <row r="80">
      <c r="A80" s="2" t="inlineStr">
        <is>
          <t>source</t>
        </is>
      </c>
      <c r="B8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81">
      <c r="A81" t="inlineStr">
        <is>
          <t>reference product</t>
        </is>
      </c>
    </row>
    <row r="82">
      <c r="A82" t="inlineStr">
        <is>
          <t>type</t>
        </is>
      </c>
      <c r="B82" t="inlineStr">
        <is>
          <t>process</t>
        </is>
      </c>
    </row>
    <row r="83">
      <c r="A83" t="inlineStr">
        <is>
          <t>unit</t>
        </is>
      </c>
    </row>
    <row r="84">
      <c r="A84" t="inlineStr">
        <is>
          <t>comment</t>
        </is>
      </c>
      <c r="B8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623 kWh. Heat production per ton MSWI incinerated: 7'860 MJ.</t>
        </is>
      </c>
    </row>
    <row r="85">
      <c r="A85" s="1" t="inlineStr">
        <is>
          <t>Exchanges</t>
        </is>
      </c>
    </row>
    <row r="86">
      <c r="A86" s="7" t="inlineStr">
        <is>
          <t>name</t>
        </is>
      </c>
      <c r="B86" s="7" t="inlineStr">
        <is>
          <t>amount</t>
        </is>
      </c>
      <c r="C86" s="7" t="inlineStr">
        <is>
          <t>location</t>
        </is>
      </c>
      <c r="D86" s="7" t="inlineStr">
        <is>
          <t>unit</t>
        </is>
      </c>
      <c r="E86" s="7" t="inlineStr">
        <is>
          <t>categories</t>
        </is>
      </c>
      <c r="F86" s="7" t="inlineStr">
        <is>
          <t>type</t>
        </is>
      </c>
      <c r="G86" s="7" t="inlineStr">
        <is>
          <t>reference product</t>
        </is>
      </c>
      <c r="H86" s="7" t="inlineStr">
        <is>
          <t>comment</t>
        </is>
      </c>
      <c r="I86" s="7" t="inlineStr">
        <is>
          <t>uncertainty type</t>
        </is>
      </c>
      <c r="J86" s="7" t="inlineStr">
        <is>
          <t>loc</t>
        </is>
      </c>
      <c r="K86" s="1" t="inlineStr">
        <is>
          <t>u1</t>
        </is>
      </c>
      <c r="L86" s="1" t="inlineStr">
        <is>
          <t>u2</t>
        </is>
      </c>
      <c r="M86" s="1" t="inlineStr">
        <is>
          <t>u3</t>
        </is>
      </c>
      <c r="N86" s="1" t="inlineStr">
        <is>
          <t>u4</t>
        </is>
      </c>
      <c r="O86" s="1" t="inlineStr">
        <is>
          <t>u5</t>
        </is>
      </c>
      <c r="P86" s="1" t="inlineStr">
        <is>
          <t>u6</t>
        </is>
      </c>
      <c r="Q86" s="1" t="inlineStr">
        <is>
          <t>ub</t>
        </is>
      </c>
      <c r="R86" s="1" t="inlineStr">
        <is>
          <t>scale</t>
        </is>
      </c>
      <c r="S86" s="1" t="inlineStr">
        <is>
          <t>negative</t>
        </is>
      </c>
    </row>
    <row r="87">
      <c r="A87" t="inlineStr">
        <is>
          <t>municipal waste incineration, at incineration plant, with semi-dry air pollution control, with flue gas condensation, with electricity and heat recovery</t>
        </is>
      </c>
      <c r="B87" t="n">
        <v>1000</v>
      </c>
      <c r="C87" t="inlineStr">
        <is>
          <t>RER</t>
        </is>
      </c>
      <c r="D87" t="inlineStr">
        <is>
          <t>kilogram</t>
        </is>
      </c>
      <c r="F87" t="inlineStr">
        <is>
          <t>production</t>
        </is>
      </c>
      <c r="G87" t="inlineStr">
        <is>
          <t>municipal solid waste</t>
        </is>
      </c>
      <c r="H87" t="inlineStr"/>
      <c r="I87" t="n">
        <v>0</v>
      </c>
      <c r="K87" s="5" t="n"/>
      <c r="L87" s="5" t="n"/>
      <c r="M87" s="5" t="n"/>
      <c r="N87" s="5" t="n"/>
      <c r="O87" s="5" t="n"/>
      <c r="P87" s="5" t="n"/>
    </row>
    <row r="88">
      <c r="A88" t="inlineStr">
        <is>
          <t>municipal waste incineration, at incineration plant, with semi-dry air pollution control, with flue gas condensation, with electricity and heat recovery</t>
        </is>
      </c>
      <c r="B88" s="6" t="n">
        <v>623</v>
      </c>
      <c r="C88" t="inlineStr">
        <is>
          <t>RER</t>
        </is>
      </c>
      <c r="D88" t="inlineStr">
        <is>
          <t>kilowatt hour</t>
        </is>
      </c>
      <c r="F88" t="inlineStr">
        <is>
          <t>production</t>
        </is>
      </c>
      <c r="G88" t="inlineStr">
        <is>
          <t>electricity, medium voltage</t>
        </is>
      </c>
      <c r="H88" t="inlineStr"/>
      <c r="I88" t="n">
        <v>0</v>
      </c>
      <c r="J88" s="3" t="n"/>
    </row>
    <row r="89">
      <c r="A89" t="inlineStr">
        <is>
          <t>municipal waste incineration, at incineration plant, with semi-dry air pollution control, with flue gas condensation, with electricity and heat recovery</t>
        </is>
      </c>
      <c r="B89" t="n">
        <v>7860</v>
      </c>
      <c r="C89" t="inlineStr">
        <is>
          <t>RER</t>
        </is>
      </c>
      <c r="D89" t="inlineStr">
        <is>
          <t>megajoule</t>
        </is>
      </c>
      <c r="F89" t="inlineStr">
        <is>
          <t>production</t>
        </is>
      </c>
      <c r="G89" t="inlineStr">
        <is>
          <t>heat, district or industrial, other than natural gas</t>
        </is>
      </c>
      <c r="H89" t="inlineStr"/>
      <c r="I89" t="n">
        <v>0</v>
      </c>
      <c r="J89" s="3" t="n"/>
    </row>
    <row r="90">
      <c r="A90" t="inlineStr">
        <is>
          <t>market for diesel, low-sulfur</t>
        </is>
      </c>
      <c r="B90">
        <f>0.1*0.85</f>
        <v>8.5000000000000006E-2</v>
      </c>
      <c r="C90" t="inlineStr">
        <is>
          <t>Europe without Switzerland</t>
        </is>
      </c>
      <c r="D90" t="inlineStr">
        <is>
          <t>kilogram</t>
        </is>
      </c>
      <c r="F90" t="inlineStr">
        <is>
          <t>technosphere</t>
        </is>
      </c>
      <c r="G90" t="inlineStr">
        <is>
          <t>diesel, low-sulfur</t>
        </is>
      </c>
      <c r="H90" t="inlineStr">
        <is>
          <t>Diesel density: 0.85 kg/l</t>
        </is>
      </c>
      <c r="I90" t="n">
        <v>2</v>
      </c>
      <c r="J90" s="3">
        <f>LN(B90)</f>
        <v>-2.4651040224918206</v>
      </c>
      <c r="K90" t="n">
        <v>1</v>
      </c>
      <c r="L90" t="n">
        <v>1</v>
      </c>
      <c r="M90" t="n">
        <v>1</v>
      </c>
      <c r="N90" t="n">
        <v>1.02</v>
      </c>
      <c r="O90" t="n">
        <v>1.2</v>
      </c>
      <c r="P90" t="n">
        <v>1</v>
      </c>
      <c r="Q90" t="n">
        <v>1.05</v>
      </c>
      <c r="R90">
        <f>LN(SQRT(EXP(
SQRT(
+POWER(LN(K90),2)
+POWER(LN(L90),2)
+POWER(LN(M90),2)
+POWER(LN(N90),2)
+POWER(LN(O90),2)
+POWER(LN(P90),2)
+POWER(LN(Q90),2)
)
)))</f>
        <v>9.4886477223156879E-2</v>
      </c>
    </row>
    <row r="91">
      <c r="A91" t="inlineStr">
        <is>
          <t>market for activated carbon, granular</t>
        </is>
      </c>
      <c r="B91" t="n">
        <v>0.4</v>
      </c>
      <c r="C91" t="inlineStr">
        <is>
          <t>GLO</t>
        </is>
      </c>
      <c r="D91" t="inlineStr">
        <is>
          <t>kilogram</t>
        </is>
      </c>
      <c r="F91" t="inlineStr">
        <is>
          <t>technosphere</t>
        </is>
      </c>
      <c r="G91" t="inlineStr">
        <is>
          <t>activated carbon, granular</t>
        </is>
      </c>
      <c r="I91" t="n">
        <v>2</v>
      </c>
      <c r="J91" s="3">
        <f>LN(B91)</f>
        <v>-0.916290731874155</v>
      </c>
      <c r="K91" t="n">
        <v>1</v>
      </c>
      <c r="L91" t="n">
        <v>1</v>
      </c>
      <c r="M91" t="n">
        <v>1</v>
      </c>
      <c r="N91" t="n">
        <v>1.02</v>
      </c>
      <c r="O91" t="n">
        <v>1.2</v>
      </c>
      <c r="P91" t="n">
        <v>1</v>
      </c>
      <c r="Q91" t="n">
        <v>1.05</v>
      </c>
      <c r="R91">
        <f>LN(SQRT(EXP(
SQRT(
+POWER(LN(K91),2)
+POWER(LN(L91),2)
+POWER(LN(M91),2)
+POWER(LN(N91),2)
+POWER(LN(O91),2)
+POWER(LN(P91),2)
+POWER(LN(Q91),2)
)
)))</f>
        <v>9.4886477223156879E-2</v>
      </c>
    </row>
    <row r="92">
      <c r="A92" t="inlineStr">
        <is>
          <t>market for ammonia, anhydrous, liquid</t>
        </is>
      </c>
      <c r="B92">
        <f>4*24.5%</f>
        <v>0.98</v>
      </c>
      <c r="C92" t="inlineStr">
        <is>
          <t>RER</t>
        </is>
      </c>
      <c r="D92" t="inlineStr">
        <is>
          <t>kilogram</t>
        </is>
      </c>
      <c r="F92" t="inlineStr">
        <is>
          <t>technosphere</t>
        </is>
      </c>
      <c r="G92" t="inlineStr">
        <is>
          <t>ammonia, anhydrous, liquid</t>
        </is>
      </c>
      <c r="H92" t="inlineStr">
        <is>
          <t>100% liquid ammonia. In original publication, it is dilluated to 23.5% in water. We discount the original value by 75%.</t>
        </is>
      </c>
      <c r="I92" t="n">
        <v>2</v>
      </c>
      <c r="J92" s="3">
        <f>LN(B92)</f>
        <v>-2.0202707317519466E-2</v>
      </c>
      <c r="K92" t="n">
        <v>1</v>
      </c>
      <c r="L92" t="n">
        <v>1</v>
      </c>
      <c r="M92" t="n">
        <v>1</v>
      </c>
      <c r="N92" t="n">
        <v>1.02</v>
      </c>
      <c r="O92" t="n">
        <v>1.2</v>
      </c>
      <c r="P92" t="n">
        <v>1</v>
      </c>
      <c r="Q92" t="n">
        <v>1.05</v>
      </c>
      <c r="R92">
        <f>LN(SQRT(EXP(
SQRT(
+POWER(LN(K92),2)
+POWER(LN(L92),2)
+POWER(LN(M92),2)
+POWER(LN(N92),2)
+POWER(LN(O92),2)
+POWER(LN(P92),2)
+POWER(LN(Q92),2)
)
)))</f>
        <v>9.4886477223156879E-2</v>
      </c>
    </row>
    <row r="93">
      <c r="A93" t="inlineStr">
        <is>
          <t>market for tap water</t>
        </is>
      </c>
      <c r="B93">
        <f>4-B92</f>
        <v>3.02</v>
      </c>
      <c r="C93" t="inlineStr">
        <is>
          <t>Europe without Switzerland</t>
        </is>
      </c>
      <c r="D93" t="inlineStr">
        <is>
          <t>kilogram</t>
        </is>
      </c>
      <c r="F93" t="inlineStr">
        <is>
          <t>technosphere</t>
        </is>
      </c>
      <c r="H93" t="inlineStr">
        <is>
          <t>Used to dilute the ammonia.</t>
        </is>
      </c>
      <c r="I93" t="n">
        <v>2</v>
      </c>
      <c r="J93" s="3">
        <f>LN(B93)</f>
        <v>1.1052568313867783</v>
      </c>
      <c r="K93" t="n">
        <v>1</v>
      </c>
      <c r="L93" t="n">
        <v>1</v>
      </c>
      <c r="M93" t="n">
        <v>1</v>
      </c>
      <c r="N93" t="n">
        <v>1.02</v>
      </c>
      <c r="O93" t="n">
        <v>1.2</v>
      </c>
      <c r="P93" t="n">
        <v>1</v>
      </c>
      <c r="Q93" t="n">
        <v>1.05</v>
      </c>
      <c r="R93">
        <f>LN(SQRT(EXP(
SQRT(
+POWER(LN(K93),2)
+POWER(LN(L93),2)
+POWER(LN(M93),2)
+POWER(LN(N93),2)
+POWER(LN(O93),2)
+POWER(LN(P93),2)
+POWER(LN(Q93),2)
)
)))</f>
        <v>9.4886477223156879E-2</v>
      </c>
    </row>
    <row r="94">
      <c r="A94" t="inlineStr">
        <is>
          <t>market for calcium carbonate, precipitated</t>
        </is>
      </c>
      <c r="B94" t="n">
        <v>0</v>
      </c>
      <c r="C94" t="inlineStr">
        <is>
          <t>RER</t>
        </is>
      </c>
      <c r="D94" t="inlineStr">
        <is>
          <t>kilogram</t>
        </is>
      </c>
      <c r="F94" t="inlineStr">
        <is>
          <t>technosphere</t>
        </is>
      </c>
      <c r="G94" t="inlineStr">
        <is>
          <t>calcium carbonate, precipitated</t>
        </is>
      </c>
      <c r="I94" t="n">
        <v>0</v>
      </c>
      <c r="J94" s="3" t="n"/>
    </row>
    <row r="95">
      <c r="A95" t="inlineStr">
        <is>
          <t>market for iron(III) chloride, without water, in 40% solution state</t>
        </is>
      </c>
      <c r="B95" t="n">
        <v>0</v>
      </c>
      <c r="C95" t="inlineStr">
        <is>
          <t>RER</t>
        </is>
      </c>
      <c r="D95" t="inlineStr">
        <is>
          <t>kilogram</t>
        </is>
      </c>
      <c r="F95" t="inlineStr">
        <is>
          <t>technosphere</t>
        </is>
      </c>
      <c r="G95" t="inlineStr">
        <is>
          <t>iron(III) chloride, without water, in 40% solution state</t>
        </is>
      </c>
      <c r="I95" t="n">
        <v>0</v>
      </c>
      <c r="J95" s="3" t="n"/>
    </row>
    <row r="96">
      <c r="A96" t="inlineStr">
        <is>
          <t>market for lime, hydrated, packed</t>
        </is>
      </c>
      <c r="B96" t="n">
        <v>10</v>
      </c>
      <c r="C96" t="inlineStr">
        <is>
          <t>RER</t>
        </is>
      </c>
      <c r="D96" t="inlineStr">
        <is>
          <t>kilogram</t>
        </is>
      </c>
      <c r="F96" t="inlineStr">
        <is>
          <t>technosphere</t>
        </is>
      </c>
      <c r="G96" t="inlineStr">
        <is>
          <t>lime, hydrated, packed</t>
        </is>
      </c>
      <c r="I96" t="n">
        <v>2</v>
      </c>
      <c r="J96" s="3">
        <f>LN(B96)</f>
        <v>2.3025850929940459</v>
      </c>
      <c r="K96" t="n">
        <v>1</v>
      </c>
      <c r="L96" t="n">
        <v>1</v>
      </c>
      <c r="M96" t="n">
        <v>1</v>
      </c>
      <c r="N96" t="n">
        <v>1.02</v>
      </c>
      <c r="O96" t="n">
        <v>1.2</v>
      </c>
      <c r="P96" t="n">
        <v>1</v>
      </c>
      <c r="Q96" t="n">
        <v>1.05</v>
      </c>
      <c r="R96">
        <f>LN(SQRT(EXP(
SQRT(
+POWER(LN(K96),2)
+POWER(LN(L96),2)
+POWER(LN(M96),2)
+POWER(LN(N96),2)
+POWER(LN(O96),2)
+POWER(LN(P96),2)
+POWER(LN(Q96),2)
)
)))</f>
        <v>9.4886477223156879E-2</v>
      </c>
    </row>
    <row r="97">
      <c r="A97" t="inlineStr">
        <is>
          <t>market for sodium hydroxide, without water, in 50% solution state</t>
        </is>
      </c>
      <c r="B97">
        <f>0.5*50%</f>
        <v>0.25</v>
      </c>
      <c r="C97" t="inlineStr">
        <is>
          <t>RER</t>
        </is>
      </c>
      <c r="D97" t="inlineStr">
        <is>
          <t>kilogram</t>
        </is>
      </c>
      <c r="F97" t="inlineStr">
        <is>
          <t>technosphere</t>
        </is>
      </c>
      <c r="G97" t="inlineStr">
        <is>
          <t>sodium hydroxide, without water, in 50% solution state</t>
        </is>
      </c>
      <c r="H97" t="inlineStr">
        <is>
          <t>50% liquid ammonia. In original publication, it is dilluated to 27% in water. We discount the original value by 50%.</t>
        </is>
      </c>
      <c r="I97" t="n">
        <v>0</v>
      </c>
      <c r="J97" s="3" t="n"/>
    </row>
    <row r="98">
      <c r="A98" t="inlineStr">
        <is>
          <t>market for monoethanolamine</t>
        </is>
      </c>
      <c r="B98" t="n">
        <v>0</v>
      </c>
      <c r="C98" t="inlineStr">
        <is>
          <t>GLO</t>
        </is>
      </c>
      <c r="D98" t="inlineStr">
        <is>
          <t>kilogram</t>
        </is>
      </c>
      <c r="F98" t="inlineStr">
        <is>
          <t>technosphere</t>
        </is>
      </c>
      <c r="G98" t="inlineStr">
        <is>
          <t>monoethanolamine</t>
        </is>
      </c>
      <c r="I98" t="n">
        <v>0</v>
      </c>
      <c r="J98" s="3" t="n"/>
    </row>
    <row r="99">
      <c r="A99" t="inlineStr">
        <is>
          <t>municipal waste incineration facility construction</t>
        </is>
      </c>
      <c r="B99" s="8" t="n">
        <v>2.5e-07</v>
      </c>
      <c r="C99" t="inlineStr">
        <is>
          <t>CH</t>
        </is>
      </c>
      <c r="D99" t="inlineStr">
        <is>
          <t>unit</t>
        </is>
      </c>
      <c r="F99" t="inlineStr">
        <is>
          <t>technosphere</t>
        </is>
      </c>
      <c r="G99" t="inlineStr">
        <is>
          <t>municipal waste incineration facility</t>
        </is>
      </c>
      <c r="H99" t="inlineStr">
        <is>
          <t>Lifetime: 4'000'000 tons MSWI treated.</t>
        </is>
      </c>
      <c r="I99" t="n">
        <v>2</v>
      </c>
      <c r="J99" s="3">
        <f>LN(B99)</f>
        <v>-15.201804919084164</v>
      </c>
      <c r="K99" t="n">
        <v>1</v>
      </c>
      <c r="L99" t="n">
        <v>1</v>
      </c>
      <c r="M99" t="n">
        <v>1</v>
      </c>
      <c r="N99" t="n">
        <v>1.02</v>
      </c>
      <c r="O99" t="n">
        <v>1.2</v>
      </c>
      <c r="P99" t="n">
        <v>1</v>
      </c>
      <c r="Q99" t="n">
        <v>3</v>
      </c>
      <c r="R99">
        <f>LN(SQRT(EXP(
SQRT(
+POWER(LN(K99),2)
+POWER(LN(L99),2)
+POWER(LN(M99),2)
+POWER(LN(N99),2)
+POWER(LN(O99),2)
+POWER(LN(P99),2)
+POWER(LN(Q99),2)
)
)))</f>
        <v>0.5569071410325479</v>
      </c>
    </row>
    <row r="100">
      <c r="A100" t="inlineStr">
        <is>
          <t>Water, cooling, unspecified natural origin</t>
        </is>
      </c>
      <c r="B100" t="n">
        <v>0</v>
      </c>
      <c r="D100" t="inlineStr">
        <is>
          <t>cubic meter</t>
        </is>
      </c>
      <c r="F100" t="inlineStr">
        <is>
          <t>biosphere</t>
        </is>
      </c>
      <c r="I100" t="n">
        <v>0</v>
      </c>
      <c r="J100" s="3" t="n"/>
    </row>
    <row r="101">
      <c r="A101" t="inlineStr">
        <is>
          <t>Sulfur dioxide</t>
        </is>
      </c>
      <c r="B101" t="n">
        <v>0.006</v>
      </c>
      <c r="D101" t="inlineStr">
        <is>
          <t>kilogram</t>
        </is>
      </c>
      <c r="E101" t="inlineStr">
        <is>
          <t>air::urban air close to ground</t>
        </is>
      </c>
      <c r="F101" t="inlineStr">
        <is>
          <t>biosphere</t>
        </is>
      </c>
      <c r="I101" t="n">
        <v>2</v>
      </c>
      <c r="J101" s="3">
        <f>LN(B101)</f>
        <v>-5.1159958097540823</v>
      </c>
      <c r="K101" t="n">
        <v>1</v>
      </c>
      <c r="L101" t="n">
        <v>1</v>
      </c>
      <c r="M101" t="n">
        <v>1</v>
      </c>
      <c r="N101" t="n">
        <v>1.02</v>
      </c>
      <c r="O101" t="n">
        <v>1.2</v>
      </c>
      <c r="P101" t="n">
        <v>1</v>
      </c>
      <c r="Q101" t="n">
        <v>1.05</v>
      </c>
      <c r="R101">
        <f>LN(SQRT(EXP(
SQRT(
+POWER(LN(K101),2)
+POWER(LN(L101),2)
+POWER(LN(M101),2)
+POWER(LN(N101),2)
+POWER(LN(O101),2)
+POWER(LN(P101),2)
+POWER(LN(Q101),2)
)
)))</f>
        <v>9.4886477223156879E-2</v>
      </c>
    </row>
    <row r="102">
      <c r="A102" t="inlineStr">
        <is>
          <t>Hydrochloric acid</t>
        </is>
      </c>
      <c r="B102" t="n">
        <v>0.003</v>
      </c>
      <c r="D102" t="inlineStr">
        <is>
          <t>kilogram</t>
        </is>
      </c>
      <c r="E102" t="inlineStr">
        <is>
          <t>air::urban air close to ground</t>
        </is>
      </c>
      <c r="F102" t="inlineStr">
        <is>
          <t>biosphere</t>
        </is>
      </c>
      <c r="I102" t="n">
        <v>2</v>
      </c>
      <c r="J102" s="3">
        <f>LN(B102)</f>
        <v>-5.8091429903140277</v>
      </c>
      <c r="K102" t="n">
        <v>1</v>
      </c>
      <c r="L102" t="n">
        <v>1</v>
      </c>
      <c r="M102" t="n">
        <v>1</v>
      </c>
      <c r="N102" t="n">
        <v>1.02</v>
      </c>
      <c r="O102" t="n">
        <v>1.2</v>
      </c>
      <c r="P102" t="n">
        <v>1</v>
      </c>
      <c r="Q102" t="n">
        <v>1.5</v>
      </c>
      <c r="R102">
        <f>LN(SQRT(EXP(
SQRT(
+POWER(LN(K102),2)
+POWER(LN(L102),2)
+POWER(LN(M102),2)
+POWER(LN(N102),2)
+POWER(LN(O102),2)
+POWER(LN(P102),2)
+POWER(LN(Q102),2)
)
)))</f>
        <v>0.22250575723605889</v>
      </c>
    </row>
    <row r="103">
      <c r="A103" t="inlineStr">
        <is>
          <t>Nitrogen oxides</t>
        </is>
      </c>
      <c r="B103" t="n">
        <v>0.677</v>
      </c>
      <c r="D103" t="inlineStr">
        <is>
          <t>kilogram</t>
        </is>
      </c>
      <c r="E103" t="inlineStr">
        <is>
          <t>air::urban air close to ground</t>
        </is>
      </c>
      <c r="F103" t="inlineStr">
        <is>
          <t>biosphere</t>
        </is>
      </c>
      <c r="I103" t="n">
        <v>2</v>
      </c>
      <c r="J103" s="3">
        <f>LN(B103)</f>
        <v>-0.39008400606986199</v>
      </c>
      <c r="K103" t="n">
        <v>1</v>
      </c>
      <c r="L103" t="n">
        <v>1</v>
      </c>
      <c r="M103" t="n">
        <v>1</v>
      </c>
      <c r="N103" t="n">
        <v>1.02</v>
      </c>
      <c r="O103" t="n">
        <v>1.2</v>
      </c>
      <c r="P103" t="n">
        <v>1</v>
      </c>
      <c r="Q103" t="n">
        <v>1.5</v>
      </c>
      <c r="R103">
        <f>LN(SQRT(EXP(
SQRT(
+POWER(LN(K103),2)
+POWER(LN(L103),2)
+POWER(LN(M103),2)
+POWER(LN(N103),2)
+POWER(LN(O103),2)
+POWER(LN(P103),2)
+POWER(LN(Q103),2)
)
)))</f>
        <v>0.22250575723605889</v>
      </c>
    </row>
    <row r="104">
      <c r="A104" t="inlineStr">
        <is>
          <t>Ammonia</t>
        </is>
      </c>
      <c r="B104" t="n">
        <v>0.001</v>
      </c>
      <c r="D104" t="inlineStr">
        <is>
          <t>kilogram</t>
        </is>
      </c>
      <c r="E104" t="inlineStr">
        <is>
          <t>air::urban air close to ground</t>
        </is>
      </c>
      <c r="F104" t="inlineStr">
        <is>
          <t>biosphere</t>
        </is>
      </c>
      <c r="I104" t="n">
        <v>2</v>
      </c>
      <c r="J104" s="3">
        <f>LN(B104)</f>
        <v>-6.9077552789821368</v>
      </c>
      <c r="K104" t="n">
        <v>1</v>
      </c>
      <c r="L104" t="n">
        <v>1</v>
      </c>
      <c r="M104" t="n">
        <v>1</v>
      </c>
      <c r="N104" t="n">
        <v>1.02</v>
      </c>
      <c r="O104" t="n">
        <v>1.2</v>
      </c>
      <c r="P104" t="n">
        <v>1</v>
      </c>
      <c r="Q104" t="n">
        <v>1.5</v>
      </c>
      <c r="R104">
        <f>LN(SQRT(EXP(
SQRT(
+POWER(LN(K104),2)
+POWER(LN(L104),2)
+POWER(LN(M104),2)
+POWER(LN(N104),2)
+POWER(LN(O104),2)
+POWER(LN(P104),2)
+POWER(LN(Q104),2)
)
)))</f>
        <v>0.22250575723605889</v>
      </c>
    </row>
    <row r="105">
      <c r="A105" t="inlineStr">
        <is>
          <t>Particulate Matter, &lt; 2.5 um</t>
        </is>
      </c>
      <c r="B105" t="n">
        <v>0.006</v>
      </c>
      <c r="D105" t="inlineStr">
        <is>
          <t>kilogram</t>
        </is>
      </c>
      <c r="E105" t="inlineStr">
        <is>
          <t>air::urban air close to ground</t>
        </is>
      </c>
      <c r="F105" t="inlineStr">
        <is>
          <t>biosphere</t>
        </is>
      </c>
      <c r="I105" t="n">
        <v>2</v>
      </c>
      <c r="J105" s="3">
        <f>LN(B105)</f>
        <v>-5.1159958097540823</v>
      </c>
      <c r="K105" t="n">
        <v>1</v>
      </c>
      <c r="L105" t="n">
        <v>1</v>
      </c>
      <c r="M105" t="n">
        <v>1</v>
      </c>
      <c r="N105" t="n">
        <v>1.02</v>
      </c>
      <c r="O105" t="n">
        <v>1.2</v>
      </c>
      <c r="P105" t="n">
        <v>1</v>
      </c>
      <c r="Q105" t="n">
        <v>3</v>
      </c>
      <c r="R105">
        <f>LN(SQRT(EXP(
SQRT(
+POWER(LN(K105),2)
+POWER(LN(L105),2)
+POWER(LN(M105),2)
+POWER(LN(N105),2)
+POWER(LN(O105),2)
+POWER(LN(P105),2)
+POWER(LN(Q105),2)
)
)))</f>
        <v>0.5569071410325479</v>
      </c>
    </row>
    <row r="106">
      <c r="A106" t="inlineStr">
        <is>
          <t>Mercury II</t>
        </is>
      </c>
      <c r="B106" t="n">
        <v>6e-06</v>
      </c>
      <c r="D106" t="inlineStr">
        <is>
          <t>kilogram</t>
        </is>
      </c>
      <c r="E106" t="inlineStr">
        <is>
          <t>air::urban air close to ground</t>
        </is>
      </c>
      <c r="F106" t="inlineStr">
        <is>
          <t>biosphere</t>
        </is>
      </c>
      <c r="I106" t="n">
        <v>2</v>
      </c>
      <c r="J106" s="3">
        <f>LN(B106)</f>
        <v>-12.023751088736219</v>
      </c>
      <c r="K106" t="n">
        <v>1</v>
      </c>
      <c r="L106" t="n">
        <v>1</v>
      </c>
      <c r="M106" t="n">
        <v>1</v>
      </c>
      <c r="N106" t="n">
        <v>1.02</v>
      </c>
      <c r="O106" t="n">
        <v>1.2</v>
      </c>
      <c r="P106" t="n">
        <v>1</v>
      </c>
      <c r="Q106" t="n">
        <v>5</v>
      </c>
      <c r="R106">
        <f>LN(SQRT(EXP(
SQRT(
+POWER(LN(K106),2)
+POWER(LN(L106),2)
+POWER(LN(M106),2)
+POWER(LN(N106),2)
+POWER(LN(O106),2)
+POWER(LN(P106),2)
+POWER(LN(Q106),2)
)
)))</f>
        <v>0.80992649174166365</v>
      </c>
    </row>
    <row r="107">
      <c r="A107" t="inlineStr">
        <is>
          <t>Lead II</t>
        </is>
      </c>
      <c r="B107" t="n">
        <v>6e-06</v>
      </c>
      <c r="D107" t="inlineStr">
        <is>
          <t>kilogram</t>
        </is>
      </c>
      <c r="E107" t="inlineStr">
        <is>
          <t>air::urban air close to ground</t>
        </is>
      </c>
      <c r="F107" t="inlineStr">
        <is>
          <t>biosphere</t>
        </is>
      </c>
      <c r="I107" t="n">
        <v>2</v>
      </c>
      <c r="J107" s="3">
        <f>LN(B107)</f>
        <v>-12.023751088736219</v>
      </c>
      <c r="K107" t="n">
        <v>1</v>
      </c>
      <c r="L107" t="n">
        <v>1</v>
      </c>
      <c r="M107" t="n">
        <v>1</v>
      </c>
      <c r="N107" t="n">
        <v>1.02</v>
      </c>
      <c r="O107" t="n">
        <v>1.2</v>
      </c>
      <c r="P107" t="n">
        <v>1</v>
      </c>
      <c r="Q107" t="n">
        <v>5</v>
      </c>
      <c r="R107">
        <f>LN(SQRT(EXP(
SQRT(
+POWER(LN(K107),2)
+POWER(LN(L107),2)
+POWER(LN(M107),2)
+POWER(LN(N107),2)
+POWER(LN(O107),2)
+POWER(LN(P107),2)
+POWER(LN(Q107),2)
)
)))</f>
        <v>0.80992649174166365</v>
      </c>
    </row>
    <row r="108">
      <c r="A108" t="inlineStr">
        <is>
          <t>Cadmium II</t>
        </is>
      </c>
      <c r="B108" t="n">
        <v>3e-06</v>
      </c>
      <c r="D108" t="inlineStr">
        <is>
          <t>kilogram</t>
        </is>
      </c>
      <c r="E108" t="inlineStr">
        <is>
          <t>air::urban air close to ground</t>
        </is>
      </c>
      <c r="F108" t="inlineStr">
        <is>
          <t>biosphere</t>
        </is>
      </c>
      <c r="I108" t="n">
        <v>2</v>
      </c>
      <c r="J108" s="3">
        <f>LN(B108)</f>
        <v>-12.716898269296165</v>
      </c>
      <c r="K108" t="n">
        <v>1</v>
      </c>
      <c r="L108" t="n">
        <v>1</v>
      </c>
      <c r="M108" t="n">
        <v>1</v>
      </c>
      <c r="N108" t="n">
        <v>1.02</v>
      </c>
      <c r="O108" t="n">
        <v>1.2</v>
      </c>
      <c r="P108" t="n">
        <v>1</v>
      </c>
      <c r="Q108" t="n">
        <v>5</v>
      </c>
      <c r="R108">
        <f>LN(SQRT(EXP(
SQRT(
+POWER(LN(K108),2)
+POWER(LN(L108),2)
+POWER(LN(M108),2)
+POWER(LN(N108),2)
+POWER(LN(O108),2)
+POWER(LN(P108),2)
+POWER(LN(Q108),2)
)
)))</f>
        <v>0.80992649174166365</v>
      </c>
    </row>
    <row r="109">
      <c r="A109" t="inlineStr">
        <is>
          <t>Arsenic ion</t>
        </is>
      </c>
      <c r="B109" t="n">
        <v>3e-06</v>
      </c>
      <c r="D109" t="inlineStr">
        <is>
          <t>kilogram</t>
        </is>
      </c>
      <c r="E109" t="inlineStr">
        <is>
          <t>air::urban air close to ground</t>
        </is>
      </c>
      <c r="F109" t="inlineStr">
        <is>
          <t>biosphere</t>
        </is>
      </c>
      <c r="I109" t="n">
        <v>2</v>
      </c>
      <c r="J109" s="3">
        <f>LN(B109)</f>
        <v>-12.716898269296165</v>
      </c>
      <c r="K109" t="n">
        <v>1</v>
      </c>
      <c r="L109" t="n">
        <v>1</v>
      </c>
      <c r="M109" t="n">
        <v>1</v>
      </c>
      <c r="N109" t="n">
        <v>1.02</v>
      </c>
      <c r="O109" t="n">
        <v>1.2</v>
      </c>
      <c r="P109" t="n">
        <v>1</v>
      </c>
      <c r="Q109" t="n">
        <v>5</v>
      </c>
      <c r="R109">
        <f>LN(SQRT(EXP(
SQRT(
+POWER(LN(K109),2)
+POWER(LN(L109),2)
+POWER(LN(M109),2)
+POWER(LN(N109),2)
+POWER(LN(O109),2)
+POWER(LN(P109),2)
+POWER(LN(Q109),2)
)
)))</f>
        <v>0.80992649174166365</v>
      </c>
    </row>
    <row r="110">
      <c r="A110" t="inlineStr">
        <is>
          <t>Dioxins, measured as 2,3,7,8-tetrachlorodibenzo-p-dioxin</t>
        </is>
      </c>
      <c r="B110">
        <f>0.11*0.000000001</f>
        <v>1.1000000000000001E-10</v>
      </c>
      <c r="D110" t="inlineStr">
        <is>
          <t>kilogram</t>
        </is>
      </c>
      <c r="E110" t="inlineStr">
        <is>
          <t>air::urban air close to ground</t>
        </is>
      </c>
      <c r="F110" t="inlineStr">
        <is>
          <t>biosphere</t>
        </is>
      </c>
      <c r="I110" t="n">
        <v>2</v>
      </c>
      <c r="J110" s="3">
        <f>LN(B110)</f>
        <v>-22.930540750136132</v>
      </c>
      <c r="K110" t="n">
        <v>1</v>
      </c>
      <c r="L110" t="n">
        <v>1</v>
      </c>
      <c r="M110" t="n">
        <v>1</v>
      </c>
      <c r="N110" t="n">
        <v>1.02</v>
      </c>
      <c r="O110" t="n">
        <v>1.2</v>
      </c>
      <c r="P110" t="n">
        <v>1</v>
      </c>
      <c r="Q110" t="n">
        <v>5</v>
      </c>
      <c r="R110">
        <f>LN(SQRT(EXP(
SQRT(
+POWER(LN(K110),2)
+POWER(LN(L110),2)
+POWER(LN(M110),2)
+POWER(LN(N110),2)
+POWER(LN(O110),2)
+POWER(LN(P110),2)
+POWER(LN(Q110),2)
)
)))</f>
        <v>0.80992649174166365</v>
      </c>
    </row>
    <row r="111">
      <c r="A111" t="inlineStr">
        <is>
          <t>Carbon dioxide, fossil</t>
        </is>
      </c>
      <c r="B111" t="n">
        <v>374</v>
      </c>
      <c r="D111" t="inlineStr">
        <is>
          <t>kilogram</t>
        </is>
      </c>
      <c r="E111" t="inlineStr">
        <is>
          <t>air::urban air close to ground</t>
        </is>
      </c>
      <c r="F111" t="inlineStr">
        <is>
          <t>biosphere</t>
        </is>
      </c>
      <c r="I111" t="n">
        <v>2</v>
      </c>
      <c r="J111" s="3">
        <f>LN(B111)</f>
        <v>5.9242557974145322</v>
      </c>
      <c r="K111" t="n">
        <v>1</v>
      </c>
      <c r="L111" t="n">
        <v>1</v>
      </c>
      <c r="M111" t="n">
        <v>1</v>
      </c>
      <c r="N111" t="n">
        <v>1.02</v>
      </c>
      <c r="O111" t="n">
        <v>1.2</v>
      </c>
      <c r="P111" t="n">
        <v>1</v>
      </c>
      <c r="Q111" t="n">
        <v>1.05</v>
      </c>
      <c r="R111">
        <f>LN(SQRT(EXP(
SQRT(
+POWER(LN(K111),2)
+POWER(LN(L111),2)
+POWER(LN(M111),2)
+POWER(LN(N111),2)
+POWER(LN(O111),2)
+POWER(LN(P111),2)
+POWER(LN(Q111),2)
)
)))</f>
        <v>9.4886477223156879E-2</v>
      </c>
    </row>
    <row r="112">
      <c r="A112" t="inlineStr">
        <is>
          <t>Carbon dioxide, non-fossil</t>
        </is>
      </c>
      <c r="B112" t="n">
        <v>594</v>
      </c>
      <c r="D112" t="inlineStr">
        <is>
          <t>kilogram</t>
        </is>
      </c>
      <c r="E112" t="inlineStr">
        <is>
          <t>air::urban air close to ground</t>
        </is>
      </c>
      <c r="F112" t="inlineStr">
        <is>
          <t>biosphere</t>
        </is>
      </c>
      <c r="I112" t="n">
        <v>2</v>
      </c>
      <c r="J112" s="3">
        <f>LN(B112)</f>
        <v>6.3868793193626452</v>
      </c>
      <c r="K112" t="n">
        <v>1</v>
      </c>
      <c r="L112" t="n">
        <v>1</v>
      </c>
      <c r="M112" t="n">
        <v>1</v>
      </c>
      <c r="N112" t="n">
        <v>1.02</v>
      </c>
      <c r="O112" t="n">
        <v>1.2</v>
      </c>
      <c r="P112" t="n">
        <v>1</v>
      </c>
      <c r="Q112" t="n">
        <v>1.05</v>
      </c>
      <c r="R112">
        <f>LN(SQRT(EXP(
SQRT(
+POWER(LN(K112),2)
+POWER(LN(L112),2)
+POWER(LN(M112),2)
+POWER(LN(N112),2)
+POWER(LN(O112),2)
+POWER(LN(P112),2)
+POWER(LN(Q112),2)
)
)))</f>
        <v>9.4886477223156879E-2</v>
      </c>
    </row>
    <row r="113"/>
    <row r="114">
      <c r="A114" s="1" t="inlineStr">
        <is>
          <t>Activity</t>
        </is>
      </c>
      <c r="B114" s="1" t="inlineStr">
        <is>
          <t>municipal waste incineration, at incineration plant, with wet air pollution control, without flue gas condensation, with electricity and heat recovery</t>
        </is>
      </c>
    </row>
    <row r="115">
      <c r="A115" t="inlineStr">
        <is>
          <t>location</t>
        </is>
      </c>
      <c r="B115" t="inlineStr">
        <is>
          <t>RER</t>
        </is>
      </c>
    </row>
    <row r="116">
      <c r="A116" t="inlineStr">
        <is>
          <t>production amount</t>
        </is>
      </c>
      <c r="B116" t="n">
        <v>1</v>
      </c>
    </row>
    <row r="117">
      <c r="A117" s="2" t="inlineStr">
        <is>
          <t>source</t>
        </is>
      </c>
      <c r="B117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18">
      <c r="A118" t="inlineStr">
        <is>
          <t>reference product</t>
        </is>
      </c>
    </row>
    <row r="119">
      <c r="A119" t="inlineStr">
        <is>
          <t>type</t>
        </is>
      </c>
      <c r="B119" t="inlineStr">
        <is>
          <t>process</t>
        </is>
      </c>
    </row>
    <row r="120">
      <c r="A120" t="inlineStr">
        <is>
          <t>unit</t>
        </is>
      </c>
    </row>
    <row r="121">
      <c r="A121" t="inlineStr">
        <is>
          <t>comment</t>
        </is>
      </c>
      <c r="B121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628 kWh. Heat production per ton MSWI incinerated: 6'170 MJ.</t>
        </is>
      </c>
    </row>
    <row r="122">
      <c r="A122" s="1" t="inlineStr">
        <is>
          <t>Exchanges</t>
        </is>
      </c>
    </row>
    <row r="123">
      <c r="A123" s="7" t="inlineStr">
        <is>
          <t>name</t>
        </is>
      </c>
      <c r="B123" s="7" t="inlineStr">
        <is>
          <t>amount</t>
        </is>
      </c>
      <c r="C123" s="7" t="inlineStr">
        <is>
          <t>location</t>
        </is>
      </c>
      <c r="D123" s="7" t="inlineStr">
        <is>
          <t>unit</t>
        </is>
      </c>
      <c r="E123" s="7" t="inlineStr">
        <is>
          <t>categories</t>
        </is>
      </c>
      <c r="F123" s="7" t="inlineStr">
        <is>
          <t>type</t>
        </is>
      </c>
      <c r="G123" s="7" t="inlineStr">
        <is>
          <t>reference product</t>
        </is>
      </c>
      <c r="H123" s="7" t="inlineStr">
        <is>
          <t>comment</t>
        </is>
      </c>
      <c r="I123" s="7" t="inlineStr">
        <is>
          <t>uncertainty type</t>
        </is>
      </c>
      <c r="J123" s="7" t="inlineStr">
        <is>
          <t>loc</t>
        </is>
      </c>
      <c r="K123" s="1" t="inlineStr">
        <is>
          <t>u1</t>
        </is>
      </c>
      <c r="L123" s="1" t="inlineStr">
        <is>
          <t>u2</t>
        </is>
      </c>
      <c r="M123" s="1" t="inlineStr">
        <is>
          <t>u3</t>
        </is>
      </c>
      <c r="N123" s="1" t="inlineStr">
        <is>
          <t>u4</t>
        </is>
      </c>
      <c r="O123" s="1" t="inlineStr">
        <is>
          <t>u5</t>
        </is>
      </c>
      <c r="P123" s="1" t="inlineStr">
        <is>
          <t>u6</t>
        </is>
      </c>
      <c r="Q123" s="1" t="inlineStr">
        <is>
          <t>ub</t>
        </is>
      </c>
      <c r="R123" s="1" t="inlineStr">
        <is>
          <t>scale</t>
        </is>
      </c>
      <c r="S123" s="1" t="inlineStr">
        <is>
          <t>negative</t>
        </is>
      </c>
    </row>
    <row r="124">
      <c r="A124" t="inlineStr">
        <is>
          <t>municipal waste incineration, at incineration plant, with semi-dry air pollution control, with flue gas condensation, with electricity and heat recovery</t>
        </is>
      </c>
      <c r="B124" t="n">
        <v>1000</v>
      </c>
      <c r="C124" t="inlineStr">
        <is>
          <t>RER</t>
        </is>
      </c>
      <c r="D124" t="inlineStr">
        <is>
          <t>kilogram</t>
        </is>
      </c>
      <c r="F124" t="inlineStr">
        <is>
          <t>production</t>
        </is>
      </c>
      <c r="G124" t="inlineStr">
        <is>
          <t>municipal solid waste</t>
        </is>
      </c>
      <c r="H124" t="inlineStr"/>
      <c r="I124" t="n">
        <v>0</v>
      </c>
      <c r="K124" s="5" t="n"/>
      <c r="L124" s="5" t="n"/>
      <c r="M124" s="5" t="n"/>
      <c r="N124" s="5" t="n"/>
      <c r="O124" s="5" t="n"/>
      <c r="P124" s="5" t="n"/>
    </row>
    <row r="125">
      <c r="A125" t="inlineStr">
        <is>
          <t>municipal waste incineration, at incineration plant, with semi-dry air pollution control, with flue gas condensation, with electricity and heat recovery</t>
        </is>
      </c>
      <c r="B125" s="6" t="n">
        <v>628</v>
      </c>
      <c r="C125" t="inlineStr">
        <is>
          <t>RER</t>
        </is>
      </c>
      <c r="D125" t="inlineStr">
        <is>
          <t>kilowatt hour</t>
        </is>
      </c>
      <c r="F125" t="inlineStr">
        <is>
          <t>production</t>
        </is>
      </c>
      <c r="G125" t="inlineStr">
        <is>
          <t>electricity, medium voltage</t>
        </is>
      </c>
      <c r="H125" t="inlineStr"/>
      <c r="I125" t="n">
        <v>0</v>
      </c>
      <c r="J125" s="3" t="n"/>
    </row>
    <row r="126">
      <c r="A126" t="inlineStr">
        <is>
          <t>municipal waste incineration, at incineration plant, with semi-dry air pollution control, with flue gas condensation, with electricity and heat recovery</t>
        </is>
      </c>
      <c r="B126" t="n">
        <v>6170</v>
      </c>
      <c r="C126" t="inlineStr">
        <is>
          <t>RER</t>
        </is>
      </c>
      <c r="D126" t="inlineStr">
        <is>
          <t>megajoule</t>
        </is>
      </c>
      <c r="F126" t="inlineStr">
        <is>
          <t>production</t>
        </is>
      </c>
      <c r="G126" t="inlineStr">
        <is>
          <t>heat, district or industrial, other than natural gas</t>
        </is>
      </c>
      <c r="H126" t="inlineStr"/>
      <c r="I126" t="n">
        <v>0</v>
      </c>
      <c r="J126" s="3" t="n"/>
    </row>
    <row r="127">
      <c r="A127" t="inlineStr">
        <is>
          <t>market for diesel, low-sulfur</t>
        </is>
      </c>
      <c r="B127">
        <f>0.1*0.85</f>
        <v>8.5000000000000006E-2</v>
      </c>
      <c r="C127" t="inlineStr">
        <is>
          <t>Europe without Switzerland</t>
        </is>
      </c>
      <c r="D127" t="inlineStr">
        <is>
          <t>kilogram</t>
        </is>
      </c>
      <c r="F127" t="inlineStr">
        <is>
          <t>technosphere</t>
        </is>
      </c>
      <c r="G127" t="inlineStr">
        <is>
          <t>diesel, low-sulfur</t>
        </is>
      </c>
      <c r="H127" t="inlineStr">
        <is>
          <t>Diesel density: 0.85 kg/l</t>
        </is>
      </c>
      <c r="I127" t="n">
        <v>2</v>
      </c>
      <c r="J127" s="3">
        <f>LN(B127)</f>
        <v>-2.4651040224918206</v>
      </c>
      <c r="K127" t="n">
        <v>1</v>
      </c>
      <c r="L127" t="n">
        <v>1</v>
      </c>
      <c r="M127" t="n">
        <v>1</v>
      </c>
      <c r="N127" t="n">
        <v>1.02</v>
      </c>
      <c r="O127" t="n">
        <v>1.2</v>
      </c>
      <c r="P127" t="n">
        <v>1</v>
      </c>
      <c r="Q127" t="n">
        <v>1.05</v>
      </c>
      <c r="R127">
        <f>LN(SQRT(EXP(
SQRT(
+POWER(LN(K127),2)
+POWER(LN(L127),2)
+POWER(LN(M127),2)
+POWER(LN(N127),2)
+POWER(LN(O127),2)
+POWER(LN(P127),2)
+POWER(LN(Q127),2)
)
)))</f>
        <v>9.4886477223156879E-2</v>
      </c>
    </row>
    <row r="128">
      <c r="A128" t="inlineStr">
        <is>
          <t>market for activated carbon, granular</t>
        </is>
      </c>
      <c r="B128" t="n">
        <v>0.4</v>
      </c>
      <c r="C128" t="inlineStr">
        <is>
          <t>GLO</t>
        </is>
      </c>
      <c r="D128" t="inlineStr">
        <is>
          <t>kilogram</t>
        </is>
      </c>
      <c r="F128" t="inlineStr">
        <is>
          <t>technosphere</t>
        </is>
      </c>
      <c r="G128" t="inlineStr">
        <is>
          <t>activated carbon, granular</t>
        </is>
      </c>
      <c r="I128" t="n">
        <v>2</v>
      </c>
      <c r="J128" s="3">
        <f>LN(B128)</f>
        <v>-0.916290731874155</v>
      </c>
      <c r="K128" t="n">
        <v>1</v>
      </c>
      <c r="L128" t="n">
        <v>1</v>
      </c>
      <c r="M128" t="n">
        <v>1</v>
      </c>
      <c r="N128" t="n">
        <v>1.02</v>
      </c>
      <c r="O128" t="n">
        <v>1.2</v>
      </c>
      <c r="P128" t="n">
        <v>1</v>
      </c>
      <c r="Q128" t="n">
        <v>1.05</v>
      </c>
      <c r="R128">
        <f>LN(SQRT(EXP(
SQRT(
+POWER(LN(K128),2)
+POWER(LN(L128),2)
+POWER(LN(M128),2)
+POWER(LN(N128),2)
+POWER(LN(O128),2)
+POWER(LN(P128),2)
+POWER(LN(Q128),2)
)
)))</f>
        <v>9.4886477223156879E-2</v>
      </c>
    </row>
    <row r="129">
      <c r="A129" t="inlineStr">
        <is>
          <t>market for ammonia, anhydrous, liquid</t>
        </is>
      </c>
      <c r="B129">
        <f>4*24.5%</f>
        <v>0.98</v>
      </c>
      <c r="C129" t="inlineStr">
        <is>
          <t>RER</t>
        </is>
      </c>
      <c r="D129" t="inlineStr">
        <is>
          <t>kilogram</t>
        </is>
      </c>
      <c r="F129" t="inlineStr">
        <is>
          <t>technosphere</t>
        </is>
      </c>
      <c r="G129" t="inlineStr">
        <is>
          <t>ammonia, anhydrous, liquid</t>
        </is>
      </c>
      <c r="H129" t="inlineStr">
        <is>
          <t>100% liquid ammonia. In original publication, it is dilluated to 23.5% in water. We discount the original value by 75%.</t>
        </is>
      </c>
      <c r="I129" t="n">
        <v>2</v>
      </c>
      <c r="J129" s="3">
        <f>LN(B129)</f>
        <v>-2.0202707317519466E-2</v>
      </c>
      <c r="K129" t="n">
        <v>1</v>
      </c>
      <c r="L129" t="n">
        <v>1</v>
      </c>
      <c r="M129" t="n">
        <v>1</v>
      </c>
      <c r="N129" t="n">
        <v>1.02</v>
      </c>
      <c r="O129" t="n">
        <v>1.2</v>
      </c>
      <c r="P129" t="n">
        <v>1</v>
      </c>
      <c r="Q129" t="n">
        <v>1.05</v>
      </c>
      <c r="R129">
        <f>LN(SQRT(EXP(
SQRT(
+POWER(LN(K129),2)
+POWER(LN(L129),2)
+POWER(LN(M129),2)
+POWER(LN(N129),2)
+POWER(LN(O129),2)
+POWER(LN(P129),2)
+POWER(LN(Q129),2)
)
)))</f>
        <v>9.4886477223156879E-2</v>
      </c>
    </row>
    <row r="130">
      <c r="A130" t="inlineStr">
        <is>
          <t>market for tap water</t>
        </is>
      </c>
      <c r="B130">
        <f>4-B129</f>
        <v>3.02</v>
      </c>
      <c r="C130" t="inlineStr">
        <is>
          <t>Europe without Switzerland</t>
        </is>
      </c>
      <c r="D130" t="inlineStr">
        <is>
          <t>kilogram</t>
        </is>
      </c>
      <c r="F130" t="inlineStr">
        <is>
          <t>technosphere</t>
        </is>
      </c>
      <c r="H130" t="inlineStr">
        <is>
          <t>Used to dilute the ammonia.</t>
        </is>
      </c>
      <c r="I130" t="n">
        <v>2</v>
      </c>
      <c r="J130" s="3">
        <f>LN(B130)</f>
        <v>1.1052568313867783</v>
      </c>
      <c r="K130" t="n">
        <v>1</v>
      </c>
      <c r="L130" t="n">
        <v>1</v>
      </c>
      <c r="M130" t="n">
        <v>1</v>
      </c>
      <c r="N130" t="n">
        <v>1.02</v>
      </c>
      <c r="O130" t="n">
        <v>1.2</v>
      </c>
      <c r="P130" t="n">
        <v>1</v>
      </c>
      <c r="Q130" t="n">
        <v>1.05</v>
      </c>
      <c r="R130">
        <f>LN(SQRT(EXP(
SQRT(
+POWER(LN(K130),2)
+POWER(LN(L130),2)
+POWER(LN(M130),2)
+POWER(LN(N130),2)
+POWER(LN(O130),2)
+POWER(LN(P130),2)
+POWER(LN(Q130),2)
)
)))</f>
        <v>9.4886477223156879E-2</v>
      </c>
    </row>
    <row r="131">
      <c r="A131" t="inlineStr">
        <is>
          <t>market for calcium carbonate, precipitated</t>
        </is>
      </c>
      <c r="B131" t="n">
        <v>7</v>
      </c>
      <c r="C131" t="inlineStr">
        <is>
          <t>RER</t>
        </is>
      </c>
      <c r="D131" t="inlineStr">
        <is>
          <t>kilogram</t>
        </is>
      </c>
      <c r="F131" t="inlineStr">
        <is>
          <t>technosphere</t>
        </is>
      </c>
      <c r="G131" t="inlineStr">
        <is>
          <t>calcium carbonate, precipitated</t>
        </is>
      </c>
      <c r="I131" t="n">
        <v>0</v>
      </c>
      <c r="J131" s="3" t="n"/>
    </row>
    <row r="132">
      <c r="A132" t="inlineStr">
        <is>
          <t>market for iron(III) chloride, without water, in 40% solution state</t>
        </is>
      </c>
      <c r="B132" t="n">
        <v>0.05</v>
      </c>
      <c r="C132" t="inlineStr">
        <is>
          <t>RER</t>
        </is>
      </c>
      <c r="D132" t="inlineStr">
        <is>
          <t>kilogram</t>
        </is>
      </c>
      <c r="F132" t="inlineStr">
        <is>
          <t>technosphere</t>
        </is>
      </c>
      <c r="G132" t="inlineStr">
        <is>
          <t>iron(III) chloride, without water, in 40% solution state</t>
        </is>
      </c>
      <c r="I132" t="n">
        <v>0</v>
      </c>
      <c r="J132" s="3" t="n"/>
    </row>
    <row r="133">
      <c r="A133" t="inlineStr">
        <is>
          <t>market for lime, hydrated, packed</t>
        </is>
      </c>
      <c r="B133" t="n">
        <v>0</v>
      </c>
      <c r="C133" t="inlineStr">
        <is>
          <t>RER</t>
        </is>
      </c>
      <c r="D133" t="inlineStr">
        <is>
          <t>kilogram</t>
        </is>
      </c>
      <c r="F133" t="inlineStr">
        <is>
          <t>technosphere</t>
        </is>
      </c>
      <c r="G133" t="inlineStr">
        <is>
          <t>lime, hydrated, packed</t>
        </is>
      </c>
      <c r="I133" t="n">
        <v>0</v>
      </c>
      <c r="J133" s="3" t="n"/>
    </row>
    <row r="134">
      <c r="A134" t="inlineStr">
        <is>
          <t>market for sodium hydroxide, without water, in 50% solution state</t>
        </is>
      </c>
      <c r="B134">
        <f>0.5*50%</f>
        <v>0.25</v>
      </c>
      <c r="C134" t="inlineStr">
        <is>
          <t>RER</t>
        </is>
      </c>
      <c r="D134" t="inlineStr">
        <is>
          <t>kilogram</t>
        </is>
      </c>
      <c r="F134" t="inlineStr">
        <is>
          <t>technosphere</t>
        </is>
      </c>
      <c r="G134" t="inlineStr">
        <is>
          <t>sodium hydroxide, without water, in 50% solution state</t>
        </is>
      </c>
      <c r="H134" t="inlineStr">
        <is>
          <t>50% liquid ammonia. In original publication, it is dilluated to 27% in water. We discount the original value by 50%.</t>
        </is>
      </c>
      <c r="I134" t="n">
        <v>0</v>
      </c>
      <c r="J134" s="3" t="n"/>
    </row>
    <row r="135">
      <c r="A135" t="inlineStr">
        <is>
          <t>market for monoethanolamine</t>
        </is>
      </c>
      <c r="B135" t="n">
        <v>0</v>
      </c>
      <c r="C135" t="inlineStr">
        <is>
          <t>GLO</t>
        </is>
      </c>
      <c r="D135" t="inlineStr">
        <is>
          <t>kilogram</t>
        </is>
      </c>
      <c r="F135" t="inlineStr">
        <is>
          <t>technosphere</t>
        </is>
      </c>
      <c r="G135" t="inlineStr">
        <is>
          <t>monoethanolamine</t>
        </is>
      </c>
      <c r="I135" t="n">
        <v>0</v>
      </c>
      <c r="J135" s="3" t="n"/>
    </row>
    <row r="136">
      <c r="A136" t="inlineStr">
        <is>
          <t>municipal waste incineration facility construction</t>
        </is>
      </c>
      <c r="B136" s="8" t="n">
        <v>2.5e-07</v>
      </c>
      <c r="C136" t="inlineStr">
        <is>
          <t>CH</t>
        </is>
      </c>
      <c r="D136" t="inlineStr">
        <is>
          <t>unit</t>
        </is>
      </c>
      <c r="F136" t="inlineStr">
        <is>
          <t>technosphere</t>
        </is>
      </c>
      <c r="G136" t="inlineStr">
        <is>
          <t>municipal waste incineration facility</t>
        </is>
      </c>
      <c r="H136" t="inlineStr">
        <is>
          <t>Lifetime: 4'000'000 tons MSWI treated.</t>
        </is>
      </c>
      <c r="I136" t="n">
        <v>2</v>
      </c>
      <c r="J136" s="3">
        <f>LN(B136)</f>
        <v>-15.201804919084164</v>
      </c>
      <c r="K136" t="n">
        <v>1</v>
      </c>
      <c r="L136" t="n">
        <v>1</v>
      </c>
      <c r="M136" t="n">
        <v>1</v>
      </c>
      <c r="N136" t="n">
        <v>1.02</v>
      </c>
      <c r="O136" t="n">
        <v>1.2</v>
      </c>
      <c r="P136" t="n">
        <v>1</v>
      </c>
      <c r="Q136" t="n">
        <v>3</v>
      </c>
      <c r="R136">
        <f>LN(SQRT(EXP(
SQRT(
+POWER(LN(K136),2)
+POWER(LN(L136),2)
+POWER(LN(M136),2)
+POWER(LN(N136),2)
+POWER(LN(O136),2)
+POWER(LN(P136),2)
+POWER(LN(Q136),2)
)
)))</f>
        <v>0.5569071410325479</v>
      </c>
    </row>
    <row r="137">
      <c r="A137" t="inlineStr">
        <is>
          <t>Water, cooling, unspecified natural origin</t>
        </is>
      </c>
      <c r="B137" t="n">
        <v>0.3</v>
      </c>
      <c r="D137" t="inlineStr">
        <is>
          <t>cubic meter</t>
        </is>
      </c>
      <c r="F137" t="inlineStr">
        <is>
          <t>biosphere</t>
        </is>
      </c>
      <c r="I137" t="n">
        <v>2</v>
      </c>
      <c r="J137" s="3">
        <f>LN(B137)</f>
        <v>-1.2039728043259361</v>
      </c>
      <c r="K137" t="n">
        <v>1</v>
      </c>
      <c r="L137" t="n">
        <v>1</v>
      </c>
      <c r="M137" t="n">
        <v>1</v>
      </c>
      <c r="N137" t="n">
        <v>1.02</v>
      </c>
      <c r="O137" t="n">
        <v>1.2</v>
      </c>
      <c r="P137" t="n">
        <v>1</v>
      </c>
      <c r="Q137" t="n">
        <v>1.05</v>
      </c>
      <c r="R137">
        <f>LN(SQRT(EXP(
SQRT(
+POWER(LN(K137),2)
+POWER(LN(L137),2)
+POWER(LN(M137),2)
+POWER(LN(N137),2)
+POWER(LN(O137),2)
+POWER(LN(P137),2)
+POWER(LN(Q137),2)
)
)))</f>
        <v>9.4886477223156879E-2</v>
      </c>
    </row>
    <row r="138">
      <c r="A138" t="inlineStr">
        <is>
          <t>Sulfur dioxide</t>
        </is>
      </c>
      <c r="B138" t="n">
        <v>0.056</v>
      </c>
      <c r="D138" t="inlineStr">
        <is>
          <t>kilogram</t>
        </is>
      </c>
      <c r="E138" t="inlineStr">
        <is>
          <t>air::urban air close to ground</t>
        </is>
      </c>
      <c r="F138" t="inlineStr">
        <is>
          <t>biosphere</t>
        </is>
      </c>
      <c r="I138" t="n">
        <v>2</v>
      </c>
      <c r="J138" s="3">
        <f>LN(B138)</f>
        <v>-2.8824035882469876</v>
      </c>
      <c r="K138" t="n">
        <v>1</v>
      </c>
      <c r="L138" t="n">
        <v>1</v>
      </c>
      <c r="M138" t="n">
        <v>1</v>
      </c>
      <c r="N138" t="n">
        <v>1.02</v>
      </c>
      <c r="O138" t="n">
        <v>1.2</v>
      </c>
      <c r="P138" t="n">
        <v>1</v>
      </c>
      <c r="Q138" t="n">
        <v>1.05</v>
      </c>
      <c r="R138">
        <f>LN(SQRT(EXP(
SQRT(
+POWER(LN(K138),2)
+POWER(LN(L138),2)
+POWER(LN(M138),2)
+POWER(LN(N138),2)
+POWER(LN(O138),2)
+POWER(LN(P138),2)
+POWER(LN(Q138),2)
)
)))</f>
        <v>9.4886477223156879E-2</v>
      </c>
    </row>
    <row r="139">
      <c r="A139" t="inlineStr">
        <is>
          <t>Hydrochloric acid</t>
        </is>
      </c>
      <c r="B139" t="n">
        <v>0.006</v>
      </c>
      <c r="D139" t="inlineStr">
        <is>
          <t>kilogram</t>
        </is>
      </c>
      <c r="E139" t="inlineStr">
        <is>
          <t>air::urban air close to ground</t>
        </is>
      </c>
      <c r="F139" t="inlineStr">
        <is>
          <t>biosphere</t>
        </is>
      </c>
      <c r="I139" t="n">
        <v>2</v>
      </c>
      <c r="J139" s="3">
        <f>LN(B139)</f>
        <v>-5.1159958097540823</v>
      </c>
      <c r="K139" t="n">
        <v>1</v>
      </c>
      <c r="L139" t="n">
        <v>1</v>
      </c>
      <c r="M139" t="n">
        <v>1</v>
      </c>
      <c r="N139" t="n">
        <v>1.02</v>
      </c>
      <c r="O139" t="n">
        <v>1.2</v>
      </c>
      <c r="P139" t="n">
        <v>1</v>
      </c>
      <c r="Q139" t="n">
        <v>1.5</v>
      </c>
      <c r="R139">
        <f>LN(SQRT(EXP(
SQRT(
+POWER(LN(K139),2)
+POWER(LN(L139),2)
+POWER(LN(M139),2)
+POWER(LN(N139),2)
+POWER(LN(O139),2)
+POWER(LN(P139),2)
+POWER(LN(Q139),2)
)
)))</f>
        <v>0.22250575723605889</v>
      </c>
    </row>
    <row r="140">
      <c r="A140" t="inlineStr">
        <is>
          <t>Nitrogen oxides</t>
        </is>
      </c>
      <c r="B140" t="n">
        <v>0.677</v>
      </c>
      <c r="D140" t="inlineStr">
        <is>
          <t>kilogram</t>
        </is>
      </c>
      <c r="E140" t="inlineStr">
        <is>
          <t>air::urban air close to ground</t>
        </is>
      </c>
      <c r="F140" t="inlineStr">
        <is>
          <t>biosphere</t>
        </is>
      </c>
      <c r="I140" t="n">
        <v>2</v>
      </c>
      <c r="J140" s="3">
        <f>LN(B140)</f>
        <v>-0.39008400606986199</v>
      </c>
      <c r="K140" t="n">
        <v>1</v>
      </c>
      <c r="L140" t="n">
        <v>1</v>
      </c>
      <c r="M140" t="n">
        <v>1</v>
      </c>
      <c r="N140" t="n">
        <v>1.02</v>
      </c>
      <c r="O140" t="n">
        <v>1.2</v>
      </c>
      <c r="P140" t="n">
        <v>1</v>
      </c>
      <c r="Q140" t="n">
        <v>1.5</v>
      </c>
      <c r="R140">
        <f>LN(SQRT(EXP(
SQRT(
+POWER(LN(K140),2)
+POWER(LN(L140),2)
+POWER(LN(M140),2)
+POWER(LN(N140),2)
+POWER(LN(O140),2)
+POWER(LN(P140),2)
+POWER(LN(Q140),2)
)
)))</f>
        <v>0.22250575723605889</v>
      </c>
    </row>
    <row r="141">
      <c r="A141" t="inlineStr">
        <is>
          <t>Ammonia</t>
        </is>
      </c>
      <c r="B141" t="n">
        <v>0.003</v>
      </c>
      <c r="D141" t="inlineStr">
        <is>
          <t>kilogram</t>
        </is>
      </c>
      <c r="E141" t="inlineStr">
        <is>
          <t>air::urban air close to ground</t>
        </is>
      </c>
      <c r="F141" t="inlineStr">
        <is>
          <t>biosphere</t>
        </is>
      </c>
      <c r="I141" t="n">
        <v>2</v>
      </c>
      <c r="J141" s="3">
        <f>LN(B141)</f>
        <v>-5.8091429903140277</v>
      </c>
      <c r="K141" t="n">
        <v>1</v>
      </c>
      <c r="L141" t="n">
        <v>1</v>
      </c>
      <c r="M141" t="n">
        <v>1</v>
      </c>
      <c r="N141" t="n">
        <v>1.02</v>
      </c>
      <c r="O141" t="n">
        <v>1.2</v>
      </c>
      <c r="P141" t="n">
        <v>1</v>
      </c>
      <c r="Q141" t="n">
        <v>1.5</v>
      </c>
      <c r="R141">
        <f>LN(SQRT(EXP(
SQRT(
+POWER(LN(K141),2)
+POWER(LN(L141),2)
+POWER(LN(M141),2)
+POWER(LN(N141),2)
+POWER(LN(O141),2)
+POWER(LN(P141),2)
+POWER(LN(Q141),2)
)
)))</f>
        <v>0.22250575723605889</v>
      </c>
    </row>
    <row r="142">
      <c r="A142" t="inlineStr">
        <is>
          <t>Particulate Matter, &lt; 2.5 um</t>
        </is>
      </c>
      <c r="B142" t="n">
        <v>0.006</v>
      </c>
      <c r="D142" t="inlineStr">
        <is>
          <t>kilogram</t>
        </is>
      </c>
      <c r="E142" t="inlineStr">
        <is>
          <t>air::urban air close to ground</t>
        </is>
      </c>
      <c r="F142" t="inlineStr">
        <is>
          <t>biosphere</t>
        </is>
      </c>
      <c r="I142" t="n">
        <v>2</v>
      </c>
      <c r="J142" s="3">
        <f>LN(B142)</f>
        <v>-5.1159958097540823</v>
      </c>
      <c r="K142" t="n">
        <v>1</v>
      </c>
      <c r="L142" t="n">
        <v>1</v>
      </c>
      <c r="M142" t="n">
        <v>1</v>
      </c>
      <c r="N142" t="n">
        <v>1.02</v>
      </c>
      <c r="O142" t="n">
        <v>1.2</v>
      </c>
      <c r="P142" t="n">
        <v>1</v>
      </c>
      <c r="Q142" t="n">
        <v>3</v>
      </c>
      <c r="R142">
        <f>LN(SQRT(EXP(
SQRT(
+POWER(LN(K142),2)
+POWER(LN(L142),2)
+POWER(LN(M142),2)
+POWER(LN(N142),2)
+POWER(LN(O142),2)
+POWER(LN(P142),2)
+POWER(LN(Q142),2)
)
)))</f>
        <v>0.5569071410325479</v>
      </c>
    </row>
    <row r="143">
      <c r="A143" t="inlineStr">
        <is>
          <t>Mercury II</t>
        </is>
      </c>
      <c r="B143" t="n">
        <v>2.3e-05</v>
      </c>
      <c r="D143" t="inlineStr">
        <is>
          <t>kilogram</t>
        </is>
      </c>
      <c r="E143" t="inlineStr">
        <is>
          <t>air::urban air close to ground</t>
        </is>
      </c>
      <c r="F143" t="inlineStr">
        <is>
          <t>biosphere</t>
        </is>
      </c>
      <c r="I143" t="n">
        <v>2</v>
      </c>
      <c r="J143" s="3">
        <f>LN(B143)</f>
        <v>-10.680016342035124</v>
      </c>
      <c r="K143" t="n">
        <v>1</v>
      </c>
      <c r="L143" t="n">
        <v>1</v>
      </c>
      <c r="M143" t="n">
        <v>1</v>
      </c>
      <c r="N143" t="n">
        <v>1.02</v>
      </c>
      <c r="O143" t="n">
        <v>1.2</v>
      </c>
      <c r="P143" t="n">
        <v>1</v>
      </c>
      <c r="Q143" t="n">
        <v>5</v>
      </c>
      <c r="R143">
        <f>LN(SQRT(EXP(
SQRT(
+POWER(LN(K143),2)
+POWER(LN(L143),2)
+POWER(LN(M143),2)
+POWER(LN(N143),2)
+POWER(LN(O143),2)
+POWER(LN(P143),2)
+POWER(LN(Q143),2)
)
)))</f>
        <v>0.80992649174166365</v>
      </c>
    </row>
    <row r="144">
      <c r="A144" t="inlineStr">
        <is>
          <t>Lead II</t>
        </is>
      </c>
      <c r="B144" t="n">
        <v>5.6e-05</v>
      </c>
      <c r="D144" t="inlineStr">
        <is>
          <t>kilogram</t>
        </is>
      </c>
      <c r="E144" t="inlineStr">
        <is>
          <t>air::urban air close to ground</t>
        </is>
      </c>
      <c r="F144" t="inlineStr">
        <is>
          <t>biosphere</t>
        </is>
      </c>
      <c r="I144" t="n">
        <v>2</v>
      </c>
      <c r="J144" s="3">
        <f>LN(B144)</f>
        <v>-9.7901588672291258</v>
      </c>
      <c r="K144" t="n">
        <v>1</v>
      </c>
      <c r="L144" t="n">
        <v>1</v>
      </c>
      <c r="M144" t="n">
        <v>1</v>
      </c>
      <c r="N144" t="n">
        <v>1.02</v>
      </c>
      <c r="O144" t="n">
        <v>1.2</v>
      </c>
      <c r="P144" t="n">
        <v>1</v>
      </c>
      <c r="Q144" t="n">
        <v>5</v>
      </c>
      <c r="R144">
        <f>LN(SQRT(EXP(
SQRT(
+POWER(LN(K144),2)
+POWER(LN(L144),2)
+POWER(LN(M144),2)
+POWER(LN(N144),2)
+POWER(LN(O144),2)
+POWER(LN(P144),2)
+POWER(LN(Q144),2)
)
)))</f>
        <v>0.80992649174166365</v>
      </c>
    </row>
    <row r="145">
      <c r="A145" t="inlineStr">
        <is>
          <t>Cadmium II</t>
        </is>
      </c>
      <c r="B145" t="n">
        <v>1.1e-05</v>
      </c>
      <c r="D145" t="inlineStr">
        <is>
          <t>kilogram</t>
        </is>
      </c>
      <c r="E145" t="inlineStr">
        <is>
          <t>air::urban air close to ground</t>
        </is>
      </c>
      <c r="F145" t="inlineStr">
        <is>
          <t>biosphere</t>
        </is>
      </c>
      <c r="I145" t="n">
        <v>2</v>
      </c>
      <c r="J145" s="3">
        <f>LN(B145)</f>
        <v>-11.417615285165903</v>
      </c>
      <c r="K145" t="n">
        <v>1</v>
      </c>
      <c r="L145" t="n">
        <v>1</v>
      </c>
      <c r="M145" t="n">
        <v>1</v>
      </c>
      <c r="N145" t="n">
        <v>1.02</v>
      </c>
      <c r="O145" t="n">
        <v>1.2</v>
      </c>
      <c r="P145" t="n">
        <v>1</v>
      </c>
      <c r="Q145" t="n">
        <v>5</v>
      </c>
      <c r="R145">
        <f>LN(SQRT(EXP(
SQRT(
+POWER(LN(K145),2)
+POWER(LN(L145),2)
+POWER(LN(M145),2)
+POWER(LN(N145),2)
+POWER(LN(O145),2)
+POWER(LN(P145),2)
+POWER(LN(Q145),2)
)
)))</f>
        <v>0.80992649174166365</v>
      </c>
    </row>
    <row r="146">
      <c r="A146" t="inlineStr">
        <is>
          <t>Arsenic ion</t>
        </is>
      </c>
      <c r="B146" t="n">
        <v>6e-06</v>
      </c>
      <c r="D146" t="inlineStr">
        <is>
          <t>kilogram</t>
        </is>
      </c>
      <c r="E146" t="inlineStr">
        <is>
          <t>air::urban air close to ground</t>
        </is>
      </c>
      <c r="F146" t="inlineStr">
        <is>
          <t>biosphere</t>
        </is>
      </c>
      <c r="I146" t="n">
        <v>2</v>
      </c>
      <c r="J146" s="3">
        <f>LN(B146)</f>
        <v>-12.023751088736219</v>
      </c>
      <c r="K146" t="n">
        <v>1</v>
      </c>
      <c r="L146" t="n">
        <v>1</v>
      </c>
      <c r="M146" t="n">
        <v>1</v>
      </c>
      <c r="N146" t="n">
        <v>1.02</v>
      </c>
      <c r="O146" t="n">
        <v>1.2</v>
      </c>
      <c r="P146" t="n">
        <v>1</v>
      </c>
      <c r="Q146" t="n">
        <v>5</v>
      </c>
      <c r="R146">
        <f>LN(SQRT(EXP(
SQRT(
+POWER(LN(K146),2)
+POWER(LN(L146),2)
+POWER(LN(M146),2)
+POWER(LN(N146),2)
+POWER(LN(O146),2)
+POWER(LN(P146),2)
+POWER(LN(Q146),2)
)
)))</f>
        <v>0.80992649174166365</v>
      </c>
    </row>
    <row r="147">
      <c r="A147" t="inlineStr">
        <is>
          <t>Dioxins, measured as 2,3,7,8-tetrachlorodibenzo-p-dioxin</t>
        </is>
      </c>
      <c r="B147">
        <f>0.11*0.000000001</f>
        <v>1.1000000000000001E-10</v>
      </c>
      <c r="D147" t="inlineStr">
        <is>
          <t>kilogram</t>
        </is>
      </c>
      <c r="E147" t="inlineStr">
        <is>
          <t>air::urban air close to ground</t>
        </is>
      </c>
      <c r="F147" t="inlineStr">
        <is>
          <t>biosphere</t>
        </is>
      </c>
      <c r="I147" t="n">
        <v>2</v>
      </c>
      <c r="J147" s="3">
        <f>LN(B147)</f>
        <v>-22.930540750136132</v>
      </c>
      <c r="K147" t="n">
        <v>1</v>
      </c>
      <c r="L147" t="n">
        <v>1</v>
      </c>
      <c r="M147" t="n">
        <v>1</v>
      </c>
      <c r="N147" t="n">
        <v>1.02</v>
      </c>
      <c r="O147" t="n">
        <v>1.2</v>
      </c>
      <c r="P147" t="n">
        <v>1</v>
      </c>
      <c r="Q147" t="n">
        <v>5</v>
      </c>
      <c r="R147">
        <f>LN(SQRT(EXP(
SQRT(
+POWER(LN(K147),2)
+POWER(LN(L147),2)
+POWER(LN(M147),2)
+POWER(LN(N147),2)
+POWER(LN(O147),2)
+POWER(LN(P147),2)
+POWER(LN(Q147),2)
)
)))</f>
        <v>0.80992649174166365</v>
      </c>
    </row>
    <row r="148">
      <c r="A148" t="inlineStr">
        <is>
          <t>Carbon dioxide, fossil</t>
        </is>
      </c>
      <c r="B148" t="n">
        <v>374</v>
      </c>
      <c r="D148" t="inlineStr">
        <is>
          <t>kilogram</t>
        </is>
      </c>
      <c r="E148" t="inlineStr">
        <is>
          <t>air::urban air close to ground</t>
        </is>
      </c>
      <c r="F148" t="inlineStr">
        <is>
          <t>biosphere</t>
        </is>
      </c>
      <c r="I148" t="n">
        <v>2</v>
      </c>
      <c r="J148" s="3">
        <f>LN(B148)</f>
        <v>5.9242557974145322</v>
      </c>
      <c r="K148" t="n">
        <v>1</v>
      </c>
      <c r="L148" t="n">
        <v>1</v>
      </c>
      <c r="M148" t="n">
        <v>1</v>
      </c>
      <c r="N148" t="n">
        <v>1.02</v>
      </c>
      <c r="O148" t="n">
        <v>1.2</v>
      </c>
      <c r="P148" t="n">
        <v>1</v>
      </c>
      <c r="Q148" t="n">
        <v>1.05</v>
      </c>
      <c r="R148">
        <f>LN(SQRT(EXP(
SQRT(
+POWER(LN(K148),2)
+POWER(LN(L148),2)
+POWER(LN(M148),2)
+POWER(LN(N148),2)
+POWER(LN(O148),2)
+POWER(LN(P148),2)
+POWER(LN(Q148),2)
)
)))</f>
        <v>9.4886477223156879E-2</v>
      </c>
    </row>
    <row r="149">
      <c r="A149" t="inlineStr">
        <is>
          <t>Carbon dioxide, non-fossil</t>
        </is>
      </c>
      <c r="B149" t="n">
        <v>594</v>
      </c>
      <c r="D149" t="inlineStr">
        <is>
          <t>kilogram</t>
        </is>
      </c>
      <c r="E149" t="inlineStr">
        <is>
          <t>air::urban air close to ground</t>
        </is>
      </c>
      <c r="F149" t="inlineStr">
        <is>
          <t>biosphere</t>
        </is>
      </c>
      <c r="I149" t="n">
        <v>2</v>
      </c>
      <c r="J149" s="3">
        <f>LN(B149)</f>
        <v>6.3868793193626452</v>
      </c>
      <c r="K149" t="n">
        <v>1</v>
      </c>
      <c r="L149" t="n">
        <v>1</v>
      </c>
      <c r="M149" t="n">
        <v>1</v>
      </c>
      <c r="N149" t="n">
        <v>1.02</v>
      </c>
      <c r="O149" t="n">
        <v>1.2</v>
      </c>
      <c r="P149" t="n">
        <v>1</v>
      </c>
      <c r="Q149" t="n">
        <v>1.05</v>
      </c>
      <c r="R149">
        <f>LN(SQRT(EXP(
SQRT(
+POWER(LN(K149),2)
+POWER(LN(L149),2)
+POWER(LN(M149),2)
+POWER(LN(N149),2)
+POWER(LN(O149),2)
+POWER(LN(P149),2)
+POWER(LN(Q149),2)
)
)))</f>
        <v>9.4886477223156879E-2</v>
      </c>
    </row>
    <row r="150"/>
    <row r="151">
      <c r="A151" s="1" t="inlineStr">
        <is>
          <t>Activity</t>
        </is>
      </c>
      <c r="B151" s="1" t="inlineStr">
        <is>
          <t>municipal waste incineration, at incineration plant, with wet air pollution control, with flue gas condensation, with electricity and heat recovery</t>
        </is>
      </c>
    </row>
    <row r="152">
      <c r="A152" t="inlineStr">
        <is>
          <t>location</t>
        </is>
      </c>
      <c r="B152" t="inlineStr">
        <is>
          <t>RER</t>
        </is>
      </c>
    </row>
    <row r="153">
      <c r="A153" t="inlineStr">
        <is>
          <t>production amount</t>
        </is>
      </c>
      <c r="B153" t="n">
        <v>1</v>
      </c>
    </row>
    <row r="154">
      <c r="A154" s="2" t="inlineStr">
        <is>
          <t>source</t>
        </is>
      </c>
      <c r="B154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55">
      <c r="A155" t="inlineStr">
        <is>
          <t>reference product</t>
        </is>
      </c>
    </row>
    <row r="156">
      <c r="A156" t="inlineStr">
        <is>
          <t>type</t>
        </is>
      </c>
      <c r="B156" t="inlineStr">
        <is>
          <t>process</t>
        </is>
      </c>
    </row>
    <row r="157">
      <c r="A157" t="inlineStr">
        <is>
          <t>unit</t>
        </is>
      </c>
    </row>
    <row r="158">
      <c r="A158" t="inlineStr">
        <is>
          <t>comment</t>
        </is>
      </c>
      <c r="B158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618 kWh. Heat production per ton MSWI incinerated: 7'860 MJ.</t>
        </is>
      </c>
    </row>
    <row r="159">
      <c r="A159" s="1" t="inlineStr">
        <is>
          <t>Exchanges</t>
        </is>
      </c>
    </row>
    <row r="160">
      <c r="A160" s="7" t="inlineStr">
        <is>
          <t>name</t>
        </is>
      </c>
      <c r="B160" s="7" t="inlineStr">
        <is>
          <t>amount</t>
        </is>
      </c>
      <c r="C160" s="7" t="inlineStr">
        <is>
          <t>location</t>
        </is>
      </c>
      <c r="D160" s="7" t="inlineStr">
        <is>
          <t>unit</t>
        </is>
      </c>
      <c r="E160" s="7" t="inlineStr">
        <is>
          <t>categories</t>
        </is>
      </c>
      <c r="F160" s="7" t="inlineStr">
        <is>
          <t>type</t>
        </is>
      </c>
      <c r="G160" s="7" t="inlineStr">
        <is>
          <t>reference product</t>
        </is>
      </c>
      <c r="H160" s="7" t="inlineStr">
        <is>
          <t>comment</t>
        </is>
      </c>
      <c r="I160" s="7" t="inlineStr">
        <is>
          <t>uncertainty type</t>
        </is>
      </c>
      <c r="J160" s="7" t="inlineStr">
        <is>
          <t>loc</t>
        </is>
      </c>
      <c r="K160" s="1" t="inlineStr">
        <is>
          <t>u1</t>
        </is>
      </c>
      <c r="L160" s="1" t="inlineStr">
        <is>
          <t>u2</t>
        </is>
      </c>
      <c r="M160" s="1" t="inlineStr">
        <is>
          <t>u3</t>
        </is>
      </c>
      <c r="N160" s="1" t="inlineStr">
        <is>
          <t>u4</t>
        </is>
      </c>
      <c r="O160" s="1" t="inlineStr">
        <is>
          <t>u5</t>
        </is>
      </c>
      <c r="P160" s="1" t="inlineStr">
        <is>
          <t>u6</t>
        </is>
      </c>
      <c r="Q160" s="1" t="inlineStr">
        <is>
          <t>ub</t>
        </is>
      </c>
      <c r="R160" s="1" t="inlineStr">
        <is>
          <t>scale</t>
        </is>
      </c>
      <c r="S160" s="1" t="inlineStr">
        <is>
          <t>negative</t>
        </is>
      </c>
    </row>
    <row r="161">
      <c r="A161" t="inlineStr">
        <is>
          <t>municipal waste incineration, at incineration plant, with semi-dry air pollution control, with flue gas condensation, with electricity and heat recovery</t>
        </is>
      </c>
      <c r="B161" t="n">
        <v>1000</v>
      </c>
      <c r="C161" t="inlineStr">
        <is>
          <t>RER</t>
        </is>
      </c>
      <c r="D161" t="inlineStr">
        <is>
          <t>kilogram</t>
        </is>
      </c>
      <c r="F161" t="inlineStr">
        <is>
          <t>production</t>
        </is>
      </c>
      <c r="G161" t="inlineStr">
        <is>
          <t>municipal solid waste</t>
        </is>
      </c>
      <c r="H161" t="inlineStr"/>
      <c r="I161" t="n">
        <v>0</v>
      </c>
      <c r="K161" s="5" t="n"/>
      <c r="L161" s="5" t="n"/>
      <c r="M161" s="5" t="n"/>
      <c r="N161" s="5" t="n"/>
      <c r="O161" s="5" t="n"/>
      <c r="P161" s="5" t="n"/>
    </row>
    <row r="162">
      <c r="A162" t="inlineStr">
        <is>
          <t>municipal waste incineration, at incineration plant, with semi-dry air pollution control, with flue gas condensation, with electricity and heat recovery</t>
        </is>
      </c>
      <c r="B162" s="6" t="n">
        <v>618</v>
      </c>
      <c r="C162" t="inlineStr">
        <is>
          <t>RER</t>
        </is>
      </c>
      <c r="D162" t="inlineStr">
        <is>
          <t>kilowatt hour</t>
        </is>
      </c>
      <c r="F162" t="inlineStr">
        <is>
          <t>production</t>
        </is>
      </c>
      <c r="G162" t="inlineStr">
        <is>
          <t>electricity, medium voltage</t>
        </is>
      </c>
      <c r="H162" t="inlineStr"/>
      <c r="I162" t="n">
        <v>0</v>
      </c>
      <c r="J162" s="3" t="n"/>
    </row>
    <row r="163">
      <c r="A163" t="inlineStr">
        <is>
          <t>municipal waste incineration, at incineration plant, with semi-dry air pollution control, with flue gas condensation, with electricity and heat recovery</t>
        </is>
      </c>
      <c r="B163" t="n">
        <v>7860</v>
      </c>
      <c r="C163" t="inlineStr">
        <is>
          <t>RER</t>
        </is>
      </c>
      <c r="D163" t="inlineStr">
        <is>
          <t>megajoule</t>
        </is>
      </c>
      <c r="F163" t="inlineStr">
        <is>
          <t>production</t>
        </is>
      </c>
      <c r="G163" t="inlineStr">
        <is>
          <t>heat, district or industrial, other than natural gas</t>
        </is>
      </c>
      <c r="H163" t="inlineStr"/>
      <c r="I163" t="n">
        <v>0</v>
      </c>
      <c r="J163" s="3" t="n"/>
    </row>
    <row r="164">
      <c r="A164" t="inlineStr">
        <is>
          <t>market for diesel, low-sulfur</t>
        </is>
      </c>
      <c r="B164">
        <f>0.1*0.85</f>
        <v>8.5000000000000006E-2</v>
      </c>
      <c r="C164" t="inlineStr">
        <is>
          <t>Europe without Switzerland</t>
        </is>
      </c>
      <c r="D164" t="inlineStr">
        <is>
          <t>kilogram</t>
        </is>
      </c>
      <c r="F164" t="inlineStr">
        <is>
          <t>technosphere</t>
        </is>
      </c>
      <c r="G164" t="inlineStr">
        <is>
          <t>diesel, low-sulfur</t>
        </is>
      </c>
      <c r="H164" t="inlineStr">
        <is>
          <t>Diesel density: 0.85 kg/l</t>
        </is>
      </c>
      <c r="I164" t="n">
        <v>2</v>
      </c>
      <c r="J164" s="3">
        <f>LN(B164)</f>
        <v>-2.4651040224918206</v>
      </c>
      <c r="K164" t="n">
        <v>1</v>
      </c>
      <c r="L164" t="n">
        <v>1</v>
      </c>
      <c r="M164" t="n">
        <v>1</v>
      </c>
      <c r="N164" t="n">
        <v>1.02</v>
      </c>
      <c r="O164" t="n">
        <v>1.2</v>
      </c>
      <c r="P164" t="n">
        <v>1</v>
      </c>
      <c r="Q164" t="n">
        <v>1.05</v>
      </c>
      <c r="R164">
        <f>LN(SQRT(EXP(
SQRT(
+POWER(LN(K164),2)
+POWER(LN(L164),2)
+POWER(LN(M164),2)
+POWER(LN(N164),2)
+POWER(LN(O164),2)
+POWER(LN(P164),2)
+POWER(LN(Q164),2)
)
)))</f>
        <v>9.4886477223156879E-2</v>
      </c>
    </row>
    <row r="165">
      <c r="A165" t="inlineStr">
        <is>
          <t>market for activated carbon, granular</t>
        </is>
      </c>
      <c r="B165" t="n">
        <v>0.4</v>
      </c>
      <c r="C165" t="inlineStr">
        <is>
          <t>GLO</t>
        </is>
      </c>
      <c r="D165" t="inlineStr">
        <is>
          <t>kilogram</t>
        </is>
      </c>
      <c r="F165" t="inlineStr">
        <is>
          <t>technosphere</t>
        </is>
      </c>
      <c r="G165" t="inlineStr">
        <is>
          <t>activated carbon, granular</t>
        </is>
      </c>
      <c r="I165" t="n">
        <v>2</v>
      </c>
      <c r="J165" s="3">
        <f>LN(B165)</f>
        <v>-0.916290731874155</v>
      </c>
      <c r="K165" t="n">
        <v>1</v>
      </c>
      <c r="L165" t="n">
        <v>1</v>
      </c>
      <c r="M165" t="n">
        <v>1</v>
      </c>
      <c r="N165" t="n">
        <v>1.02</v>
      </c>
      <c r="O165" t="n">
        <v>1.2</v>
      </c>
      <c r="P165" t="n">
        <v>1</v>
      </c>
      <c r="Q165" t="n">
        <v>1.05</v>
      </c>
      <c r="R165">
        <f>LN(SQRT(EXP(
SQRT(
+POWER(LN(K165),2)
+POWER(LN(L165),2)
+POWER(LN(M165),2)
+POWER(LN(N165),2)
+POWER(LN(O165),2)
+POWER(LN(P165),2)
+POWER(LN(Q165),2)
)
)))</f>
        <v>9.4886477223156879E-2</v>
      </c>
    </row>
    <row r="166">
      <c r="A166" t="inlineStr">
        <is>
          <t>market for ammonia, anhydrous, liquid</t>
        </is>
      </c>
      <c r="B166">
        <f>4*24.5%</f>
        <v>0.98</v>
      </c>
      <c r="C166" t="inlineStr">
        <is>
          <t>RER</t>
        </is>
      </c>
      <c r="D166" t="inlineStr">
        <is>
          <t>kilogram</t>
        </is>
      </c>
      <c r="F166" t="inlineStr">
        <is>
          <t>technosphere</t>
        </is>
      </c>
      <c r="G166" t="inlineStr">
        <is>
          <t>ammonia, anhydrous, liquid</t>
        </is>
      </c>
      <c r="H166" t="inlineStr">
        <is>
          <t>100% liquid ammonia. In original publication, it is dilluated to 23.5% in water. We discount the original value by 75%.</t>
        </is>
      </c>
      <c r="I166" t="n">
        <v>2</v>
      </c>
      <c r="J166" s="3">
        <f>LN(B166)</f>
        <v>-2.0202707317519466E-2</v>
      </c>
      <c r="K166" t="n">
        <v>1</v>
      </c>
      <c r="L166" t="n">
        <v>1</v>
      </c>
      <c r="M166" t="n">
        <v>1</v>
      </c>
      <c r="N166" t="n">
        <v>1.02</v>
      </c>
      <c r="O166" t="n">
        <v>1.2</v>
      </c>
      <c r="P166" t="n">
        <v>1</v>
      </c>
      <c r="Q166" t="n">
        <v>1.05</v>
      </c>
      <c r="R166">
        <f>LN(SQRT(EXP(
SQRT(
+POWER(LN(K166),2)
+POWER(LN(L166),2)
+POWER(LN(M166),2)
+POWER(LN(N166),2)
+POWER(LN(O166),2)
+POWER(LN(P166),2)
+POWER(LN(Q166),2)
)
)))</f>
        <v>9.4886477223156879E-2</v>
      </c>
    </row>
    <row r="167">
      <c r="A167" t="inlineStr">
        <is>
          <t>market for tap water</t>
        </is>
      </c>
      <c r="B167">
        <f>4-B166</f>
        <v>3.02</v>
      </c>
      <c r="C167" t="inlineStr">
        <is>
          <t>Europe without Switzerland</t>
        </is>
      </c>
      <c r="D167" t="inlineStr">
        <is>
          <t>kilogram</t>
        </is>
      </c>
      <c r="F167" t="inlineStr">
        <is>
          <t>technosphere</t>
        </is>
      </c>
      <c r="H167" t="inlineStr">
        <is>
          <t>Used to dilute the ammonia.</t>
        </is>
      </c>
      <c r="I167" t="n">
        <v>2</v>
      </c>
      <c r="J167" s="3">
        <f>LN(B167)</f>
        <v>1.1052568313867783</v>
      </c>
      <c r="K167" t="n">
        <v>1</v>
      </c>
      <c r="L167" t="n">
        <v>1</v>
      </c>
      <c r="M167" t="n">
        <v>1</v>
      </c>
      <c r="N167" t="n">
        <v>1.02</v>
      </c>
      <c r="O167" t="n">
        <v>1.2</v>
      </c>
      <c r="P167" t="n">
        <v>1</v>
      </c>
      <c r="Q167" t="n">
        <v>1.05</v>
      </c>
      <c r="R167">
        <f>LN(SQRT(EXP(
SQRT(
+POWER(LN(K167),2)
+POWER(LN(L167),2)
+POWER(LN(M167),2)
+POWER(LN(N167),2)
+POWER(LN(O167),2)
+POWER(LN(P167),2)
+POWER(LN(Q167),2)
)
)))</f>
        <v>9.4886477223156879E-2</v>
      </c>
    </row>
    <row r="168">
      <c r="A168" t="inlineStr">
        <is>
          <t>market for calcium carbonate, precipitated</t>
        </is>
      </c>
      <c r="B168" t="n">
        <v>7</v>
      </c>
      <c r="C168" t="inlineStr">
        <is>
          <t>RER</t>
        </is>
      </c>
      <c r="D168" t="inlineStr">
        <is>
          <t>kilogram</t>
        </is>
      </c>
      <c r="F168" t="inlineStr">
        <is>
          <t>technosphere</t>
        </is>
      </c>
      <c r="G168" t="inlineStr">
        <is>
          <t>calcium carbonate, precipitated</t>
        </is>
      </c>
      <c r="I168" t="n">
        <v>0</v>
      </c>
      <c r="J168" s="3" t="n"/>
    </row>
    <row r="169">
      <c r="A169" t="inlineStr">
        <is>
          <t>market for iron(III) chloride, without water, in 40% solution state</t>
        </is>
      </c>
      <c r="B169" t="n">
        <v>0.05</v>
      </c>
      <c r="C169" t="inlineStr">
        <is>
          <t>RER</t>
        </is>
      </c>
      <c r="D169" t="inlineStr">
        <is>
          <t>kilogram</t>
        </is>
      </c>
      <c r="F169" t="inlineStr">
        <is>
          <t>technosphere</t>
        </is>
      </c>
      <c r="G169" t="inlineStr">
        <is>
          <t>iron(III) chloride, without water, in 40% solution state</t>
        </is>
      </c>
      <c r="I169" t="n">
        <v>0</v>
      </c>
      <c r="J169" s="3" t="n"/>
    </row>
    <row r="170">
      <c r="A170" t="inlineStr">
        <is>
          <t>market for lime, hydrated, packed</t>
        </is>
      </c>
      <c r="B170" t="n">
        <v>0</v>
      </c>
      <c r="C170" t="inlineStr">
        <is>
          <t>RER</t>
        </is>
      </c>
      <c r="D170" t="inlineStr">
        <is>
          <t>kilogram</t>
        </is>
      </c>
      <c r="F170" t="inlineStr">
        <is>
          <t>technosphere</t>
        </is>
      </c>
      <c r="G170" t="inlineStr">
        <is>
          <t>lime, hydrated, packed</t>
        </is>
      </c>
      <c r="I170" t="n">
        <v>0</v>
      </c>
      <c r="J170" s="3" t="n"/>
    </row>
    <row r="171">
      <c r="A171" t="inlineStr">
        <is>
          <t>market for sodium hydroxide, without water, in 50% solution state</t>
        </is>
      </c>
      <c r="B171">
        <f>1*50%</f>
        <v>0.5</v>
      </c>
      <c r="C171" t="inlineStr">
        <is>
          <t>RER</t>
        </is>
      </c>
      <c r="D171" t="inlineStr">
        <is>
          <t>kilogram</t>
        </is>
      </c>
      <c r="F171" t="inlineStr">
        <is>
          <t>technosphere</t>
        </is>
      </c>
      <c r="G171" t="inlineStr">
        <is>
          <t>sodium hydroxide, without water, in 50% solution state</t>
        </is>
      </c>
      <c r="H171" t="inlineStr">
        <is>
          <t>50% liquid ammonia. In original publication, it is dilluated to 27% in water. We discount the original value by 50%.</t>
        </is>
      </c>
      <c r="I171" t="n">
        <v>0</v>
      </c>
      <c r="J171" s="3" t="n"/>
    </row>
    <row r="172">
      <c r="A172" t="inlineStr">
        <is>
          <t>market for monoethanolamine</t>
        </is>
      </c>
      <c r="B172" t="n">
        <v>0</v>
      </c>
      <c r="C172" t="inlineStr">
        <is>
          <t>GLO</t>
        </is>
      </c>
      <c r="D172" t="inlineStr">
        <is>
          <t>kilogram</t>
        </is>
      </c>
      <c r="F172" t="inlineStr">
        <is>
          <t>technosphere</t>
        </is>
      </c>
      <c r="G172" t="inlineStr">
        <is>
          <t>monoethanolamine</t>
        </is>
      </c>
      <c r="I172" t="n">
        <v>0</v>
      </c>
      <c r="J172" s="3" t="n"/>
    </row>
    <row r="173">
      <c r="A173" t="inlineStr">
        <is>
          <t>municipal waste incineration facility construction</t>
        </is>
      </c>
      <c r="B173" s="8" t="n">
        <v>2.5e-07</v>
      </c>
      <c r="C173" t="inlineStr">
        <is>
          <t>CH</t>
        </is>
      </c>
      <c r="D173" t="inlineStr">
        <is>
          <t>unit</t>
        </is>
      </c>
      <c r="F173" t="inlineStr">
        <is>
          <t>technosphere</t>
        </is>
      </c>
      <c r="G173" t="inlineStr">
        <is>
          <t>municipal waste incineration facility</t>
        </is>
      </c>
      <c r="H173" t="inlineStr">
        <is>
          <t>Lifetime: 4'000'000 tons MSWI treated.</t>
        </is>
      </c>
      <c r="I173" t="n">
        <v>2</v>
      </c>
      <c r="J173" s="3">
        <f>LN(B173)</f>
        <v>-15.201804919084164</v>
      </c>
      <c r="K173" t="n">
        <v>1</v>
      </c>
      <c r="L173" t="n">
        <v>1</v>
      </c>
      <c r="M173" t="n">
        <v>1</v>
      </c>
      <c r="N173" t="n">
        <v>1.02</v>
      </c>
      <c r="O173" t="n">
        <v>1.2</v>
      </c>
      <c r="P173" t="n">
        <v>1</v>
      </c>
      <c r="Q173" t="n">
        <v>3</v>
      </c>
      <c r="R173">
        <f>LN(SQRT(EXP(
SQRT(
+POWER(LN(K173),2)
+POWER(LN(L173),2)
+POWER(LN(M173),2)
+POWER(LN(N173),2)
+POWER(LN(O173),2)
+POWER(LN(P173),2)
+POWER(LN(Q173),2)
)
)))</f>
        <v>0.5569071410325479</v>
      </c>
    </row>
    <row r="174">
      <c r="A174" t="inlineStr">
        <is>
          <t>Water, cooling, unspecified natural origin</t>
        </is>
      </c>
      <c r="B174" t="n">
        <v>0</v>
      </c>
      <c r="D174" t="inlineStr">
        <is>
          <t>cubic meter</t>
        </is>
      </c>
      <c r="F174" t="inlineStr">
        <is>
          <t>biosphere</t>
        </is>
      </c>
      <c r="I174" t="n">
        <v>0</v>
      </c>
      <c r="J174" s="3" t="n"/>
    </row>
    <row r="175">
      <c r="A175" t="inlineStr">
        <is>
          <t>Sulfur dioxide</t>
        </is>
      </c>
      <c r="B175" t="n">
        <v>0.006</v>
      </c>
      <c r="D175" t="inlineStr">
        <is>
          <t>kilogram</t>
        </is>
      </c>
      <c r="E175" t="inlineStr">
        <is>
          <t>air::urban air close to ground</t>
        </is>
      </c>
      <c r="F175" t="inlineStr">
        <is>
          <t>biosphere</t>
        </is>
      </c>
      <c r="I175" t="n">
        <v>2</v>
      </c>
      <c r="J175" s="3">
        <f>LN(B175)</f>
        <v>-5.1159958097540823</v>
      </c>
      <c r="K175" t="n">
        <v>1</v>
      </c>
      <c r="L175" t="n">
        <v>1</v>
      </c>
      <c r="M175" t="n">
        <v>1</v>
      </c>
      <c r="N175" t="n">
        <v>1.02</v>
      </c>
      <c r="O175" t="n">
        <v>1.2</v>
      </c>
      <c r="P175" t="n">
        <v>1</v>
      </c>
      <c r="Q175" t="n">
        <v>1.05</v>
      </c>
      <c r="R175">
        <f>LN(SQRT(EXP(
SQRT(
+POWER(LN(K175),2)
+POWER(LN(L175),2)
+POWER(LN(M175),2)
+POWER(LN(N175),2)
+POWER(LN(O175),2)
+POWER(LN(P175),2)
+POWER(LN(Q175),2)
)
)))</f>
        <v>9.4886477223156879E-2</v>
      </c>
    </row>
    <row r="176">
      <c r="A176" t="inlineStr">
        <is>
          <t>Hydrochloric acid</t>
        </is>
      </c>
      <c r="B176" t="n">
        <v>0.003</v>
      </c>
      <c r="D176" t="inlineStr">
        <is>
          <t>kilogram</t>
        </is>
      </c>
      <c r="E176" t="inlineStr">
        <is>
          <t>air::urban air close to ground</t>
        </is>
      </c>
      <c r="F176" t="inlineStr">
        <is>
          <t>biosphere</t>
        </is>
      </c>
      <c r="I176" t="n">
        <v>2</v>
      </c>
      <c r="J176" s="3">
        <f>LN(B176)</f>
        <v>-5.8091429903140277</v>
      </c>
      <c r="K176" t="n">
        <v>1</v>
      </c>
      <c r="L176" t="n">
        <v>1</v>
      </c>
      <c r="M176" t="n">
        <v>1</v>
      </c>
      <c r="N176" t="n">
        <v>1.02</v>
      </c>
      <c r="O176" t="n">
        <v>1.2</v>
      </c>
      <c r="P176" t="n">
        <v>1</v>
      </c>
      <c r="Q176" t="n">
        <v>1.5</v>
      </c>
      <c r="R176">
        <f>LN(SQRT(EXP(
SQRT(
+POWER(LN(K176),2)
+POWER(LN(L176),2)
+POWER(LN(M176),2)
+POWER(LN(N176),2)
+POWER(LN(O176),2)
+POWER(LN(P176),2)
+POWER(LN(Q176),2)
)
)))</f>
        <v>0.22250575723605889</v>
      </c>
    </row>
    <row r="177">
      <c r="A177" t="inlineStr">
        <is>
          <t>Nitrogen oxides</t>
        </is>
      </c>
      <c r="B177" t="n">
        <v>0.677</v>
      </c>
      <c r="D177" t="inlineStr">
        <is>
          <t>kilogram</t>
        </is>
      </c>
      <c r="E177" t="inlineStr">
        <is>
          <t>air::urban air close to ground</t>
        </is>
      </c>
      <c r="F177" t="inlineStr">
        <is>
          <t>biosphere</t>
        </is>
      </c>
      <c r="I177" t="n">
        <v>2</v>
      </c>
      <c r="J177" s="3">
        <f>LN(B177)</f>
        <v>-0.39008400606986199</v>
      </c>
      <c r="K177" t="n">
        <v>1</v>
      </c>
      <c r="L177" t="n">
        <v>1</v>
      </c>
      <c r="M177" t="n">
        <v>1</v>
      </c>
      <c r="N177" t="n">
        <v>1.02</v>
      </c>
      <c r="O177" t="n">
        <v>1.2</v>
      </c>
      <c r="P177" t="n">
        <v>1</v>
      </c>
      <c r="Q177" t="n">
        <v>1.5</v>
      </c>
      <c r="R177">
        <f>LN(SQRT(EXP(
SQRT(
+POWER(LN(K177),2)
+POWER(LN(L177),2)
+POWER(LN(M177),2)
+POWER(LN(N177),2)
+POWER(LN(O177),2)
+POWER(LN(P177),2)
+POWER(LN(Q177),2)
)
)))</f>
        <v>0.22250575723605889</v>
      </c>
    </row>
    <row r="178">
      <c r="A178" t="inlineStr">
        <is>
          <t>Ammonia</t>
        </is>
      </c>
      <c r="B178" t="n">
        <v>0.001</v>
      </c>
      <c r="D178" t="inlineStr">
        <is>
          <t>kilogram</t>
        </is>
      </c>
      <c r="E178" t="inlineStr">
        <is>
          <t>air::urban air close to ground</t>
        </is>
      </c>
      <c r="F178" t="inlineStr">
        <is>
          <t>biosphere</t>
        </is>
      </c>
      <c r="I178" t="n">
        <v>2</v>
      </c>
      <c r="J178" s="3">
        <f>LN(B178)</f>
        <v>-6.9077552789821368</v>
      </c>
      <c r="K178" t="n">
        <v>1</v>
      </c>
      <c r="L178" t="n">
        <v>1</v>
      </c>
      <c r="M178" t="n">
        <v>1</v>
      </c>
      <c r="N178" t="n">
        <v>1.02</v>
      </c>
      <c r="O178" t="n">
        <v>1.2</v>
      </c>
      <c r="P178" t="n">
        <v>1</v>
      </c>
      <c r="Q178" t="n">
        <v>1.5</v>
      </c>
      <c r="R178">
        <f>LN(SQRT(EXP(
SQRT(
+POWER(LN(K178),2)
+POWER(LN(L178),2)
+POWER(LN(M178),2)
+POWER(LN(N178),2)
+POWER(LN(O178),2)
+POWER(LN(P178),2)
+POWER(LN(Q178),2)
)
)))</f>
        <v>0.22250575723605889</v>
      </c>
    </row>
    <row r="179">
      <c r="A179" t="inlineStr">
        <is>
          <t>Particulate Matter, &lt; 2.5 um</t>
        </is>
      </c>
      <c r="B179" t="n">
        <v>0.006</v>
      </c>
      <c r="D179" t="inlineStr">
        <is>
          <t>kilogram</t>
        </is>
      </c>
      <c r="E179" t="inlineStr">
        <is>
          <t>air::urban air close to ground</t>
        </is>
      </c>
      <c r="F179" t="inlineStr">
        <is>
          <t>biosphere</t>
        </is>
      </c>
      <c r="I179" t="n">
        <v>2</v>
      </c>
      <c r="J179" s="3">
        <f>LN(B179)</f>
        <v>-5.1159958097540823</v>
      </c>
      <c r="K179" t="n">
        <v>1</v>
      </c>
      <c r="L179" t="n">
        <v>1</v>
      </c>
      <c r="M179" t="n">
        <v>1</v>
      </c>
      <c r="N179" t="n">
        <v>1.02</v>
      </c>
      <c r="O179" t="n">
        <v>1.2</v>
      </c>
      <c r="P179" t="n">
        <v>1</v>
      </c>
      <c r="Q179" t="n">
        <v>3</v>
      </c>
      <c r="R179">
        <f>LN(SQRT(EXP(
SQRT(
+POWER(LN(K179),2)
+POWER(LN(L179),2)
+POWER(LN(M179),2)
+POWER(LN(N179),2)
+POWER(LN(O179),2)
+POWER(LN(P179),2)
+POWER(LN(Q179),2)
)
)))</f>
        <v>0.5569071410325479</v>
      </c>
    </row>
    <row r="180">
      <c r="A180" t="inlineStr">
        <is>
          <t>Mercury II</t>
        </is>
      </c>
      <c r="B180" t="n">
        <v>6e-06</v>
      </c>
      <c r="D180" t="inlineStr">
        <is>
          <t>kilogram</t>
        </is>
      </c>
      <c r="E180" t="inlineStr">
        <is>
          <t>air::urban air close to ground</t>
        </is>
      </c>
      <c r="F180" t="inlineStr">
        <is>
          <t>biosphere</t>
        </is>
      </c>
      <c r="I180" t="n">
        <v>2</v>
      </c>
      <c r="J180" s="3">
        <f>LN(B180)</f>
        <v>-12.023751088736219</v>
      </c>
      <c r="K180" t="n">
        <v>1</v>
      </c>
      <c r="L180" t="n">
        <v>1</v>
      </c>
      <c r="M180" t="n">
        <v>1</v>
      </c>
      <c r="N180" t="n">
        <v>1.02</v>
      </c>
      <c r="O180" t="n">
        <v>1.2</v>
      </c>
      <c r="P180" t="n">
        <v>1</v>
      </c>
      <c r="Q180" t="n">
        <v>5</v>
      </c>
      <c r="R180">
        <f>LN(SQRT(EXP(
SQRT(
+POWER(LN(K180),2)
+POWER(LN(L180),2)
+POWER(LN(M180),2)
+POWER(LN(N180),2)
+POWER(LN(O180),2)
+POWER(LN(P180),2)
+POWER(LN(Q180),2)
)
)))</f>
        <v>0.80992649174166365</v>
      </c>
    </row>
    <row r="181">
      <c r="A181" t="inlineStr">
        <is>
          <t>Lead II</t>
        </is>
      </c>
      <c r="B181" t="n">
        <v>6e-06</v>
      </c>
      <c r="D181" t="inlineStr">
        <is>
          <t>kilogram</t>
        </is>
      </c>
      <c r="E181" t="inlineStr">
        <is>
          <t>air::urban air close to ground</t>
        </is>
      </c>
      <c r="F181" t="inlineStr">
        <is>
          <t>biosphere</t>
        </is>
      </c>
      <c r="I181" t="n">
        <v>2</v>
      </c>
      <c r="J181" s="3">
        <f>LN(B181)</f>
        <v>-12.023751088736219</v>
      </c>
      <c r="K181" t="n">
        <v>1</v>
      </c>
      <c r="L181" t="n">
        <v>1</v>
      </c>
      <c r="M181" t="n">
        <v>1</v>
      </c>
      <c r="N181" t="n">
        <v>1.02</v>
      </c>
      <c r="O181" t="n">
        <v>1.2</v>
      </c>
      <c r="P181" t="n">
        <v>1</v>
      </c>
      <c r="Q181" t="n">
        <v>5</v>
      </c>
      <c r="R181">
        <f>LN(SQRT(EXP(
SQRT(
+POWER(LN(K181),2)
+POWER(LN(L181),2)
+POWER(LN(M181),2)
+POWER(LN(N181),2)
+POWER(LN(O181),2)
+POWER(LN(P181),2)
+POWER(LN(Q181),2)
)
)))</f>
        <v>0.80992649174166365</v>
      </c>
    </row>
    <row r="182">
      <c r="A182" t="inlineStr">
        <is>
          <t>Cadmium II</t>
        </is>
      </c>
      <c r="B182" t="n">
        <v>3e-06</v>
      </c>
      <c r="D182" t="inlineStr">
        <is>
          <t>kilogram</t>
        </is>
      </c>
      <c r="E182" t="inlineStr">
        <is>
          <t>air::urban air close to ground</t>
        </is>
      </c>
      <c r="F182" t="inlineStr">
        <is>
          <t>biosphere</t>
        </is>
      </c>
      <c r="I182" t="n">
        <v>2</v>
      </c>
      <c r="J182" s="3">
        <f>LN(B182)</f>
        <v>-12.716898269296165</v>
      </c>
      <c r="K182" t="n">
        <v>1</v>
      </c>
      <c r="L182" t="n">
        <v>1</v>
      </c>
      <c r="M182" t="n">
        <v>1</v>
      </c>
      <c r="N182" t="n">
        <v>1.02</v>
      </c>
      <c r="O182" t="n">
        <v>1.2</v>
      </c>
      <c r="P182" t="n">
        <v>1</v>
      </c>
      <c r="Q182" t="n">
        <v>5</v>
      </c>
      <c r="R182">
        <f>LN(SQRT(EXP(
SQRT(
+POWER(LN(K182),2)
+POWER(LN(L182),2)
+POWER(LN(M182),2)
+POWER(LN(N182),2)
+POWER(LN(O182),2)
+POWER(LN(P182),2)
+POWER(LN(Q182),2)
)
)))</f>
        <v>0.80992649174166365</v>
      </c>
    </row>
    <row r="183">
      <c r="A183" t="inlineStr">
        <is>
          <t>Arsenic ion</t>
        </is>
      </c>
      <c r="B183" t="n">
        <v>3e-06</v>
      </c>
      <c r="D183" t="inlineStr">
        <is>
          <t>kilogram</t>
        </is>
      </c>
      <c r="E183" t="inlineStr">
        <is>
          <t>air::urban air close to ground</t>
        </is>
      </c>
      <c r="F183" t="inlineStr">
        <is>
          <t>biosphere</t>
        </is>
      </c>
      <c r="I183" t="n">
        <v>2</v>
      </c>
      <c r="J183" s="3">
        <f>LN(B183)</f>
        <v>-12.716898269296165</v>
      </c>
      <c r="K183" t="n">
        <v>1</v>
      </c>
      <c r="L183" t="n">
        <v>1</v>
      </c>
      <c r="M183" t="n">
        <v>1</v>
      </c>
      <c r="N183" t="n">
        <v>1.02</v>
      </c>
      <c r="O183" t="n">
        <v>1.2</v>
      </c>
      <c r="P183" t="n">
        <v>1</v>
      </c>
      <c r="Q183" t="n">
        <v>5</v>
      </c>
      <c r="R183">
        <f>LN(SQRT(EXP(
SQRT(
+POWER(LN(K183),2)
+POWER(LN(L183),2)
+POWER(LN(M183),2)
+POWER(LN(N183),2)
+POWER(LN(O183),2)
+POWER(LN(P183),2)
+POWER(LN(Q183),2)
)
)))</f>
        <v>0.80992649174166365</v>
      </c>
    </row>
    <row r="184">
      <c r="A184" t="inlineStr">
        <is>
          <t>Dioxins, measured as 2,3,7,8-tetrachlorodibenzo-p-dioxin</t>
        </is>
      </c>
      <c r="B184">
        <f>0.11*0.000000001</f>
        <v>1.1000000000000001E-10</v>
      </c>
      <c r="D184" t="inlineStr">
        <is>
          <t>kilogram</t>
        </is>
      </c>
      <c r="E184" t="inlineStr">
        <is>
          <t>air::urban air close to ground</t>
        </is>
      </c>
      <c r="F184" t="inlineStr">
        <is>
          <t>biosphere</t>
        </is>
      </c>
      <c r="I184" t="n">
        <v>2</v>
      </c>
      <c r="J184" s="3">
        <f>LN(B184)</f>
        <v>-22.930540750136132</v>
      </c>
      <c r="K184" t="n">
        <v>1</v>
      </c>
      <c r="L184" t="n">
        <v>1</v>
      </c>
      <c r="M184" t="n">
        <v>1</v>
      </c>
      <c r="N184" t="n">
        <v>1.02</v>
      </c>
      <c r="O184" t="n">
        <v>1.2</v>
      </c>
      <c r="P184" t="n">
        <v>1</v>
      </c>
      <c r="Q184" t="n">
        <v>5</v>
      </c>
      <c r="R184">
        <f>LN(SQRT(EXP(
SQRT(
+POWER(LN(K184),2)
+POWER(LN(L184),2)
+POWER(LN(M184),2)
+POWER(LN(N184),2)
+POWER(LN(O184),2)
+POWER(LN(P184),2)
+POWER(LN(Q184),2)
)
)))</f>
        <v>0.80992649174166365</v>
      </c>
    </row>
    <row r="185">
      <c r="A185" t="inlineStr">
        <is>
          <t>Carbon dioxide, fossil</t>
        </is>
      </c>
      <c r="B185" t="n">
        <v>374</v>
      </c>
      <c r="D185" t="inlineStr">
        <is>
          <t>kilogram</t>
        </is>
      </c>
      <c r="E185" t="inlineStr">
        <is>
          <t>air::urban air close to ground</t>
        </is>
      </c>
      <c r="F185" t="inlineStr">
        <is>
          <t>biosphere</t>
        </is>
      </c>
      <c r="I185" t="n">
        <v>2</v>
      </c>
      <c r="J185" s="3">
        <f>LN(B185)</f>
        <v>5.9242557974145322</v>
      </c>
      <c r="K185" t="n">
        <v>1</v>
      </c>
      <c r="L185" t="n">
        <v>1</v>
      </c>
      <c r="M185" t="n">
        <v>1</v>
      </c>
      <c r="N185" t="n">
        <v>1.02</v>
      </c>
      <c r="O185" t="n">
        <v>1.2</v>
      </c>
      <c r="P185" t="n">
        <v>1</v>
      </c>
      <c r="Q185" t="n">
        <v>1.05</v>
      </c>
      <c r="R185">
        <f>LN(SQRT(EXP(
SQRT(
+POWER(LN(K185),2)
+POWER(LN(L185),2)
+POWER(LN(M185),2)
+POWER(LN(N185),2)
+POWER(LN(O185),2)
+POWER(LN(P185),2)
+POWER(LN(Q185),2)
)
)))</f>
        <v>9.4886477223156879E-2</v>
      </c>
    </row>
    <row r="186">
      <c r="A186" t="inlineStr">
        <is>
          <t>Carbon dioxide, non-fossil</t>
        </is>
      </c>
      <c r="B186" t="n">
        <v>594</v>
      </c>
      <c r="D186" t="inlineStr">
        <is>
          <t>kilogram</t>
        </is>
      </c>
      <c r="E186" t="inlineStr">
        <is>
          <t>air::urban air close to ground</t>
        </is>
      </c>
      <c r="F186" t="inlineStr">
        <is>
          <t>biosphere</t>
        </is>
      </c>
      <c r="I186" t="n">
        <v>2</v>
      </c>
      <c r="J186" s="3">
        <f>LN(B186)</f>
        <v>6.3868793193626452</v>
      </c>
      <c r="K186" t="n">
        <v>1</v>
      </c>
      <c r="L186" t="n">
        <v>1</v>
      </c>
      <c r="M186" t="n">
        <v>1</v>
      </c>
      <c r="N186" t="n">
        <v>1.02</v>
      </c>
      <c r="O186" t="n">
        <v>1.2</v>
      </c>
      <c r="P186" t="n">
        <v>1</v>
      </c>
      <c r="Q186" t="n">
        <v>1.05</v>
      </c>
      <c r="R186">
        <f>LN(SQRT(EXP(
SQRT(
+POWER(LN(K186),2)
+POWER(LN(L186),2)
+POWER(LN(M186),2)
+POWER(LN(N186),2)
+POWER(LN(O186),2)
+POWER(LN(P186),2)
+POWER(LN(Q186),2)
)
)))</f>
        <v>9.4886477223156879E-2</v>
      </c>
    </row>
    <row r="187"/>
    <row r="188">
      <c r="A188" s="1" t="inlineStr">
        <is>
          <t>Activity</t>
        </is>
      </c>
      <c r="B188" s="1" t="inlineStr">
        <is>
          <t>municipal waste incineration, at incineration plant, with semi-dry air pollution control, with flue gas condensation, with electricity recovery only, with carbon capture and storage</t>
        </is>
      </c>
    </row>
    <row r="189">
      <c r="A189" t="inlineStr">
        <is>
          <t>location</t>
        </is>
      </c>
      <c r="B189" t="inlineStr">
        <is>
          <t>RER</t>
        </is>
      </c>
    </row>
    <row r="190">
      <c r="A190" t="inlineStr">
        <is>
          <t>production amount</t>
        </is>
      </c>
      <c r="B190" t="n">
        <v>1</v>
      </c>
    </row>
    <row r="191">
      <c r="A191" s="2" t="inlineStr">
        <is>
          <t>source</t>
        </is>
      </c>
      <c r="B191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92">
      <c r="A192" t="inlineStr">
        <is>
          <t>reference product</t>
        </is>
      </c>
    </row>
    <row r="193">
      <c r="A193" t="inlineStr">
        <is>
          <t>type</t>
        </is>
      </c>
      <c r="B193" t="inlineStr">
        <is>
          <t>process</t>
        </is>
      </c>
    </row>
    <row r="194">
      <c r="A194" t="inlineStr">
        <is>
          <t>unit</t>
        </is>
      </c>
    </row>
    <row r="195">
      <c r="A195" t="inlineStr">
        <is>
          <t>comment</t>
        </is>
      </c>
      <c r="B195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Yes. Electricity production per ton MSWI incinerated: 478 kWh.</t>
        </is>
      </c>
    </row>
    <row r="196">
      <c r="A196" s="1" t="inlineStr">
        <is>
          <t>Exchanges</t>
        </is>
      </c>
    </row>
    <row r="197">
      <c r="A197" s="7" t="inlineStr">
        <is>
          <t>name</t>
        </is>
      </c>
      <c r="B197" s="7" t="inlineStr">
        <is>
          <t>amount</t>
        </is>
      </c>
      <c r="C197" s="7" t="inlineStr">
        <is>
          <t>location</t>
        </is>
      </c>
      <c r="D197" s="7" t="inlineStr">
        <is>
          <t>unit</t>
        </is>
      </c>
      <c r="E197" s="7" t="inlineStr">
        <is>
          <t>categories</t>
        </is>
      </c>
      <c r="F197" s="7" t="inlineStr">
        <is>
          <t>type</t>
        </is>
      </c>
      <c r="G197" s="7" t="inlineStr">
        <is>
          <t>reference product</t>
        </is>
      </c>
      <c r="H197" s="7" t="inlineStr">
        <is>
          <t>comment</t>
        </is>
      </c>
      <c r="I197" s="7" t="inlineStr">
        <is>
          <t>uncertainty type</t>
        </is>
      </c>
      <c r="J197" s="7" t="inlineStr">
        <is>
          <t>loc</t>
        </is>
      </c>
      <c r="K197" s="1" t="inlineStr">
        <is>
          <t>u1</t>
        </is>
      </c>
      <c r="L197" s="1" t="inlineStr">
        <is>
          <t>u2</t>
        </is>
      </c>
      <c r="M197" s="1" t="inlineStr">
        <is>
          <t>u3</t>
        </is>
      </c>
      <c r="N197" s="1" t="inlineStr">
        <is>
          <t>u4</t>
        </is>
      </c>
      <c r="O197" s="1" t="inlineStr">
        <is>
          <t>u5</t>
        </is>
      </c>
      <c r="P197" s="1" t="inlineStr">
        <is>
          <t>u6</t>
        </is>
      </c>
      <c r="Q197" s="1" t="inlineStr">
        <is>
          <t>ub</t>
        </is>
      </c>
      <c r="R197" s="1" t="inlineStr">
        <is>
          <t>scale</t>
        </is>
      </c>
      <c r="S197" s="1" t="inlineStr">
        <is>
          <t>negative</t>
        </is>
      </c>
    </row>
    <row r="198">
      <c r="A198" t="inlineStr">
        <is>
          <t>municipal waste incineration, at incineration plant, with semi-dry air pollution control, with flue gas condensation, with electricity recovery only, with carbon capture and storage</t>
        </is>
      </c>
      <c r="B198" t="n">
        <v>1000</v>
      </c>
      <c r="C198" t="inlineStr">
        <is>
          <t>RER</t>
        </is>
      </c>
      <c r="D198" t="inlineStr">
        <is>
          <t>kilogram</t>
        </is>
      </c>
      <c r="F198" t="inlineStr">
        <is>
          <t>production</t>
        </is>
      </c>
      <c r="G198" t="inlineStr">
        <is>
          <t>municipal solid waste</t>
        </is>
      </c>
      <c r="H198" t="inlineStr"/>
      <c r="I198" t="n">
        <v>0</v>
      </c>
      <c r="K198" s="5" t="n"/>
      <c r="L198" s="5" t="n"/>
      <c r="M198" s="5" t="n"/>
      <c r="N198" s="5" t="n"/>
      <c r="O198" s="5" t="n"/>
      <c r="P198" s="5" t="n"/>
    </row>
    <row r="199">
      <c r="A199" t="inlineStr">
        <is>
          <t>municipal waste incineration, at incineration plant, with semi-dry air pollution control, with flue gas condensation, with electricity recovery only, with carbon capture and storage</t>
        </is>
      </c>
      <c r="B199" s="6" t="n">
        <v>478</v>
      </c>
      <c r="C199" t="inlineStr">
        <is>
          <t>RER</t>
        </is>
      </c>
      <c r="D199" t="inlineStr">
        <is>
          <t>kilowatt hour</t>
        </is>
      </c>
      <c r="F199" t="inlineStr">
        <is>
          <t>production</t>
        </is>
      </c>
      <c r="G199" t="inlineStr">
        <is>
          <t>electricity, medium voltage</t>
        </is>
      </c>
      <c r="H199" t="inlineStr"/>
      <c r="I199" t="n">
        <v>0</v>
      </c>
      <c r="J199" s="3" t="n"/>
    </row>
    <row r="200">
      <c r="A200" t="inlineStr">
        <is>
          <t>municipal waste incineration, at incineration plant, with semi-dry air pollution control, with flue gas condensation, with electricity recovery only, with carbon capture and storage</t>
        </is>
      </c>
      <c r="B200" t="n">
        <v>0</v>
      </c>
      <c r="C200" t="inlineStr">
        <is>
          <t>RER</t>
        </is>
      </c>
      <c r="D200" t="inlineStr">
        <is>
          <t>megajoule</t>
        </is>
      </c>
      <c r="F200" t="inlineStr">
        <is>
          <t>production</t>
        </is>
      </c>
      <c r="G200" t="inlineStr">
        <is>
          <t>heat, district or industrial, other than natural gas</t>
        </is>
      </c>
      <c r="H200" t="inlineStr"/>
      <c r="I200" t="n">
        <v>0</v>
      </c>
      <c r="J200" s="3" t="n"/>
    </row>
    <row r="201">
      <c r="A201" t="inlineStr">
        <is>
          <t>market for diesel, low-sulfur</t>
        </is>
      </c>
      <c r="B201">
        <f>0.1*0.85</f>
        <v>8.5000000000000006E-2</v>
      </c>
      <c r="C201" t="inlineStr">
        <is>
          <t>Europe without Switzerland</t>
        </is>
      </c>
      <c r="D201" t="inlineStr">
        <is>
          <t>kilogram</t>
        </is>
      </c>
      <c r="F201" t="inlineStr">
        <is>
          <t>technosphere</t>
        </is>
      </c>
      <c r="G201" t="inlineStr">
        <is>
          <t>diesel, low-sulfur</t>
        </is>
      </c>
      <c r="H201" t="inlineStr">
        <is>
          <t>Diesel density: 0.85 kg/l</t>
        </is>
      </c>
      <c r="I201" t="n">
        <v>2</v>
      </c>
      <c r="J201" s="3">
        <f>LN(B201)</f>
        <v>-2.4651040224918206</v>
      </c>
      <c r="K201" t="n">
        <v>1</v>
      </c>
      <c r="L201" t="n">
        <v>1</v>
      </c>
      <c r="M201" t="n">
        <v>1</v>
      </c>
      <c r="N201" t="n">
        <v>1.02</v>
      </c>
      <c r="O201" t="n">
        <v>1.2</v>
      </c>
      <c r="P201" t="n">
        <v>1</v>
      </c>
      <c r="Q201" t="n">
        <v>1.05</v>
      </c>
      <c r="R201">
        <f>LN(SQRT(EXP(
SQRT(
+POWER(LN(K201),2)
+POWER(LN(L201),2)
+POWER(LN(M201),2)
+POWER(LN(N201),2)
+POWER(LN(O201),2)
+POWER(LN(P201),2)
+POWER(LN(Q201),2)
)
)))</f>
        <v>9.4886477223156879E-2</v>
      </c>
    </row>
    <row r="202">
      <c r="A202" t="inlineStr">
        <is>
          <t>market for activated carbon, granular</t>
        </is>
      </c>
      <c r="B202" t="n">
        <v>0.4</v>
      </c>
      <c r="C202" t="inlineStr">
        <is>
          <t>GLO</t>
        </is>
      </c>
      <c r="D202" t="inlineStr">
        <is>
          <t>kilogram</t>
        </is>
      </c>
      <c r="F202" t="inlineStr">
        <is>
          <t>technosphere</t>
        </is>
      </c>
      <c r="G202" t="inlineStr">
        <is>
          <t>activated carbon, granular</t>
        </is>
      </c>
      <c r="I202" t="n">
        <v>2</v>
      </c>
      <c r="J202" s="3">
        <f>LN(B202)</f>
        <v>-0.916290731874155</v>
      </c>
      <c r="K202" t="n">
        <v>1</v>
      </c>
      <c r="L202" t="n">
        <v>1</v>
      </c>
      <c r="M202" t="n">
        <v>1</v>
      </c>
      <c r="N202" t="n">
        <v>1.02</v>
      </c>
      <c r="O202" t="n">
        <v>1.2</v>
      </c>
      <c r="P202" t="n">
        <v>1</v>
      </c>
      <c r="Q202" t="n">
        <v>1.05</v>
      </c>
      <c r="R202">
        <f>LN(SQRT(EXP(
SQRT(
+POWER(LN(K202),2)
+POWER(LN(L202),2)
+POWER(LN(M202),2)
+POWER(LN(N202),2)
+POWER(LN(O202),2)
+POWER(LN(P202),2)
+POWER(LN(Q202),2)
)
)))</f>
        <v>9.4886477223156879E-2</v>
      </c>
    </row>
    <row r="203">
      <c r="A203" t="inlineStr">
        <is>
          <t>market for ammonia, anhydrous, liquid</t>
        </is>
      </c>
      <c r="B203">
        <f>4*24.5%</f>
        <v>0.98</v>
      </c>
      <c r="C203" t="inlineStr">
        <is>
          <t>RER</t>
        </is>
      </c>
      <c r="D203" t="inlineStr">
        <is>
          <t>kilogram</t>
        </is>
      </c>
      <c r="F203" t="inlineStr">
        <is>
          <t>technosphere</t>
        </is>
      </c>
      <c r="G203" t="inlineStr">
        <is>
          <t>ammonia, anhydrous, liquid</t>
        </is>
      </c>
      <c r="H203" t="inlineStr">
        <is>
          <t>100% liquid ammonia. In original publication, it is dilluated to 23.5% in water. We discount the original value by 75%.</t>
        </is>
      </c>
      <c r="I203" t="n">
        <v>2</v>
      </c>
      <c r="J203" s="3">
        <f>LN(B203)</f>
        <v>-2.0202707317519466E-2</v>
      </c>
      <c r="K203" t="n">
        <v>1</v>
      </c>
      <c r="L203" t="n">
        <v>1</v>
      </c>
      <c r="M203" t="n">
        <v>1</v>
      </c>
      <c r="N203" t="n">
        <v>1.02</v>
      </c>
      <c r="O203" t="n">
        <v>1.2</v>
      </c>
      <c r="P203" t="n">
        <v>1</v>
      </c>
      <c r="Q203" t="n">
        <v>1.05</v>
      </c>
      <c r="R203">
        <f>LN(SQRT(EXP(
SQRT(
+POWER(LN(K203),2)
+POWER(LN(L203),2)
+POWER(LN(M203),2)
+POWER(LN(N203),2)
+POWER(LN(O203),2)
+POWER(LN(P203),2)
+POWER(LN(Q203),2)
)
)))</f>
        <v>9.4886477223156879E-2</v>
      </c>
    </row>
    <row r="204">
      <c r="A204" t="inlineStr">
        <is>
          <t>market for tap water</t>
        </is>
      </c>
      <c r="B204">
        <f>4-B203</f>
        <v>3.02</v>
      </c>
      <c r="C204" t="inlineStr">
        <is>
          <t>Europe without Switzerland</t>
        </is>
      </c>
      <c r="D204" t="inlineStr">
        <is>
          <t>kilogram</t>
        </is>
      </c>
      <c r="F204" t="inlineStr">
        <is>
          <t>technosphere</t>
        </is>
      </c>
      <c r="H204" t="inlineStr">
        <is>
          <t>Used to dilute the ammonia.</t>
        </is>
      </c>
      <c r="I204" t="n">
        <v>2</v>
      </c>
      <c r="J204" s="3">
        <f>LN(B204)</f>
        <v>1.1052568313867783</v>
      </c>
      <c r="K204" t="n">
        <v>1</v>
      </c>
      <c r="L204" t="n">
        <v>1</v>
      </c>
      <c r="M204" t="n">
        <v>1</v>
      </c>
      <c r="N204" t="n">
        <v>1.02</v>
      </c>
      <c r="O204" t="n">
        <v>1.2</v>
      </c>
      <c r="P204" t="n">
        <v>1</v>
      </c>
      <c r="Q204" t="n">
        <v>1.05</v>
      </c>
      <c r="R204">
        <f>LN(SQRT(EXP(
SQRT(
+POWER(LN(K204),2)
+POWER(LN(L204),2)
+POWER(LN(M204),2)
+POWER(LN(N204),2)
+POWER(LN(O204),2)
+POWER(LN(P204),2)
+POWER(LN(Q204),2)
)
)))</f>
        <v>9.4886477223156879E-2</v>
      </c>
    </row>
    <row r="205">
      <c r="A205" t="inlineStr">
        <is>
          <t>market for calcium carbonate, precipitated</t>
        </is>
      </c>
      <c r="B205" t="n">
        <v>0</v>
      </c>
      <c r="C205" t="inlineStr">
        <is>
          <t>RER</t>
        </is>
      </c>
      <c r="D205" t="inlineStr">
        <is>
          <t>kilogram</t>
        </is>
      </c>
      <c r="F205" t="inlineStr">
        <is>
          <t>technosphere</t>
        </is>
      </c>
      <c r="G205" t="inlineStr">
        <is>
          <t>calcium carbonate, precipitated</t>
        </is>
      </c>
      <c r="I205" t="n">
        <v>0</v>
      </c>
      <c r="J205" s="3" t="n"/>
    </row>
    <row r="206">
      <c r="A206" t="inlineStr">
        <is>
          <t>market for iron(III) chloride, without water, in 40% solution state</t>
        </is>
      </c>
      <c r="B206" t="n">
        <v>0</v>
      </c>
      <c r="C206" t="inlineStr">
        <is>
          <t>RER</t>
        </is>
      </c>
      <c r="D206" t="inlineStr">
        <is>
          <t>kilogram</t>
        </is>
      </c>
      <c r="F206" t="inlineStr">
        <is>
          <t>technosphere</t>
        </is>
      </c>
      <c r="G206" t="inlineStr">
        <is>
          <t>iron(III) chloride, without water, in 40% solution state</t>
        </is>
      </c>
      <c r="I206" t="n">
        <v>0</v>
      </c>
      <c r="J206" s="3" t="n"/>
    </row>
    <row r="207">
      <c r="A207" t="inlineStr">
        <is>
          <t>market for lime, hydrated, packed</t>
        </is>
      </c>
      <c r="B207" t="n">
        <v>10</v>
      </c>
      <c r="C207" t="inlineStr">
        <is>
          <t>RER</t>
        </is>
      </c>
      <c r="D207" t="inlineStr">
        <is>
          <t>kilogram</t>
        </is>
      </c>
      <c r="F207" t="inlineStr">
        <is>
          <t>technosphere</t>
        </is>
      </c>
      <c r="G207" t="inlineStr">
        <is>
          <t>lime, hydrated, packed</t>
        </is>
      </c>
      <c r="I207" t="n">
        <v>2</v>
      </c>
      <c r="J207" s="3">
        <f>LN(B207)</f>
        <v>2.3025850929940459</v>
      </c>
      <c r="K207" t="n">
        <v>1</v>
      </c>
      <c r="L207" t="n">
        <v>1</v>
      </c>
      <c r="M207" t="n">
        <v>1</v>
      </c>
      <c r="N207" t="n">
        <v>1.02</v>
      </c>
      <c r="O207" t="n">
        <v>1.2</v>
      </c>
      <c r="P207" t="n">
        <v>1</v>
      </c>
      <c r="Q207" t="n">
        <v>1.05</v>
      </c>
      <c r="R207">
        <f>LN(SQRT(EXP(
SQRT(
+POWER(LN(K207),2)
+POWER(LN(L207),2)
+POWER(LN(M207),2)
+POWER(LN(N207),2)
+POWER(LN(O207),2)
+POWER(LN(P207),2)
+POWER(LN(Q207),2)
)
)))</f>
        <v>9.4886477223156879E-2</v>
      </c>
    </row>
    <row r="208">
      <c r="A208" t="inlineStr">
        <is>
          <t>market for sodium hydroxide, without water, in 50% solution state</t>
        </is>
      </c>
      <c r="B208" t="n">
        <v>0.5</v>
      </c>
      <c r="C208" t="inlineStr">
        <is>
          <t>RER</t>
        </is>
      </c>
      <c r="D208" t="inlineStr">
        <is>
          <t>kilogram</t>
        </is>
      </c>
      <c r="F208" t="inlineStr">
        <is>
          <t>technosphere</t>
        </is>
      </c>
      <c r="G208" t="inlineStr">
        <is>
          <t>sodium hydroxide, without water, in 50% solution state</t>
        </is>
      </c>
      <c r="H208" t="inlineStr">
        <is>
          <t>50% liquid ammonia. In original publication, it is dilluated to 27% in water. We discount the original value by 50%.</t>
        </is>
      </c>
      <c r="I208" t="n">
        <v>0</v>
      </c>
      <c r="J208" s="3" t="n"/>
    </row>
    <row r="209">
      <c r="A209" t="inlineStr">
        <is>
          <t>market for monoethanolamine</t>
        </is>
      </c>
      <c r="B209" t="n">
        <v>4</v>
      </c>
      <c r="C209" t="inlineStr">
        <is>
          <t>GLO</t>
        </is>
      </c>
      <c r="D209" t="inlineStr">
        <is>
          <t>kilogram</t>
        </is>
      </c>
      <c r="F209" t="inlineStr">
        <is>
          <t>technosphere</t>
        </is>
      </c>
      <c r="G209" t="inlineStr">
        <is>
          <t>monoethanolamine</t>
        </is>
      </c>
      <c r="I209" t="n">
        <v>0</v>
      </c>
      <c r="J209" s="3" t="n"/>
    </row>
    <row r="210">
      <c r="A210" t="inlineStr">
        <is>
          <t>municipal waste incineration facility construction</t>
        </is>
      </c>
      <c r="B210" s="8" t="n">
        <v>2.5e-07</v>
      </c>
      <c r="C210" t="inlineStr">
        <is>
          <t>CH</t>
        </is>
      </c>
      <c r="D210" t="inlineStr">
        <is>
          <t>unit</t>
        </is>
      </c>
      <c r="F210" t="inlineStr">
        <is>
          <t>technosphere</t>
        </is>
      </c>
      <c r="G210" t="inlineStr">
        <is>
          <t>municipal waste incineration facility</t>
        </is>
      </c>
      <c r="H210" t="inlineStr">
        <is>
          <t>Lifetime: 4'000'000 tons MSWI treated.</t>
        </is>
      </c>
      <c r="I210" t="n">
        <v>2</v>
      </c>
      <c r="J210" s="3">
        <f>LN(B210)</f>
        <v>-15.201804919084164</v>
      </c>
      <c r="K210" t="n">
        <v>1</v>
      </c>
      <c r="L210" t="n">
        <v>1</v>
      </c>
      <c r="M210" t="n">
        <v>1</v>
      </c>
      <c r="N210" t="n">
        <v>1.02</v>
      </c>
      <c r="O210" t="n">
        <v>1.2</v>
      </c>
      <c r="P210" t="n">
        <v>1</v>
      </c>
      <c r="Q210" t="n">
        <v>3</v>
      </c>
      <c r="R210">
        <f>LN(SQRT(EXP(
SQRT(
+POWER(LN(K210),2)
+POWER(LN(L210),2)
+POWER(LN(M210),2)
+POWER(LN(N210),2)
+POWER(LN(O210),2)
+POWER(LN(P210),2)
+POWER(LN(Q210),2)
)
)))</f>
        <v>0.5569071410325479</v>
      </c>
    </row>
    <row r="211">
      <c r="A211" t="inlineStr">
        <is>
          <t>carbon dioxide storage at wood burning power plant 20 MW post, pipeline 200km, storage 1000m</t>
        </is>
      </c>
      <c r="B211" s="6">
        <f>SUM(374,594)-SUM(B223:B224)</f>
        <v>823</v>
      </c>
      <c r="C211" t="inlineStr">
        <is>
          <t>RER</t>
        </is>
      </c>
      <c r="D211" t="inlineStr">
        <is>
          <t>kilogram</t>
        </is>
      </c>
      <c r="F211" t="inlineStr">
        <is>
          <t>technosphere</t>
        </is>
      </c>
      <c r="G211" t="inlineStr">
        <is>
          <t>carbon dioxide storage at wood burning power plant 20 MW post, pipeline 200km, storage 1000m</t>
        </is>
      </c>
      <c r="I211" t="n">
        <v>2</v>
      </c>
      <c r="J211" s="3">
        <f>LN(B211)</f>
        <v>6.7129562006770698</v>
      </c>
      <c r="K211" t="n">
        <v>1</v>
      </c>
      <c r="L211" t="n">
        <v>1</v>
      </c>
      <c r="M211" t="n">
        <v>1</v>
      </c>
      <c r="N211" t="n">
        <v>1.02</v>
      </c>
      <c r="O211" t="n">
        <v>1.2</v>
      </c>
      <c r="P211" t="n">
        <v>1</v>
      </c>
      <c r="Q211" t="n">
        <v>3</v>
      </c>
      <c r="R211">
        <f>LN(SQRT(EXP(
SQRT(
+POWER(LN(K211),2)
+POWER(LN(L211),2)
+POWER(LN(M211),2)
+POWER(LN(N211),2)
+POWER(LN(O211),2)
+POWER(LN(P211),2)
+POWER(LN(Q211),2)
)
)))</f>
        <v>0.5569071410325479</v>
      </c>
    </row>
    <row r="212">
      <c r="A212" t="inlineStr">
        <is>
          <t>Water, cooling, unspecified natural origin</t>
        </is>
      </c>
      <c r="B212" t="n">
        <v>0</v>
      </c>
      <c r="D212" t="inlineStr">
        <is>
          <t>cubic meter</t>
        </is>
      </c>
      <c r="F212" t="inlineStr">
        <is>
          <t>biosphere</t>
        </is>
      </c>
      <c r="I212" t="n">
        <v>0</v>
      </c>
      <c r="J212" s="3" t="n"/>
    </row>
    <row r="213">
      <c r="A213" t="inlineStr">
        <is>
          <t>Sulfur dioxide</t>
        </is>
      </c>
      <c r="B213" t="n">
        <v>0.006</v>
      </c>
      <c r="D213" t="inlineStr">
        <is>
          <t>kilogram</t>
        </is>
      </c>
      <c r="E213" t="inlineStr">
        <is>
          <t>air::urban air close to ground</t>
        </is>
      </c>
      <c r="F213" t="inlineStr">
        <is>
          <t>biosphere</t>
        </is>
      </c>
      <c r="I213" t="n">
        <v>2</v>
      </c>
      <c r="J213" s="3">
        <f>LN(B213)</f>
        <v>-5.1159958097540823</v>
      </c>
      <c r="K213" t="n">
        <v>1</v>
      </c>
      <c r="L213" t="n">
        <v>1</v>
      </c>
      <c r="M213" t="n">
        <v>1</v>
      </c>
      <c r="N213" t="n">
        <v>1.02</v>
      </c>
      <c r="O213" t="n">
        <v>1.2</v>
      </c>
      <c r="P213" t="n">
        <v>1</v>
      </c>
      <c r="Q213" t="n">
        <v>1.05</v>
      </c>
      <c r="R213">
        <f>LN(SQRT(EXP(
SQRT(
+POWER(LN(K213),2)
+POWER(LN(L213),2)
+POWER(LN(M213),2)
+POWER(LN(N213),2)
+POWER(LN(O213),2)
+POWER(LN(P213),2)
+POWER(LN(Q213),2)
)
)))</f>
        <v>9.4886477223156879E-2</v>
      </c>
    </row>
    <row r="214">
      <c r="A214" t="inlineStr">
        <is>
          <t>Hydrochloric acid</t>
        </is>
      </c>
      <c r="B214" t="n">
        <v>0.003</v>
      </c>
      <c r="D214" t="inlineStr">
        <is>
          <t>kilogram</t>
        </is>
      </c>
      <c r="E214" t="inlineStr">
        <is>
          <t>air::urban air close to ground</t>
        </is>
      </c>
      <c r="F214" t="inlineStr">
        <is>
          <t>biosphere</t>
        </is>
      </c>
      <c r="I214" t="n">
        <v>2</v>
      </c>
      <c r="J214" s="3">
        <f>LN(B214)</f>
        <v>-5.8091429903140277</v>
      </c>
      <c r="K214" t="n">
        <v>1</v>
      </c>
      <c r="L214" t="n">
        <v>1</v>
      </c>
      <c r="M214" t="n">
        <v>1</v>
      </c>
      <c r="N214" t="n">
        <v>1.02</v>
      </c>
      <c r="O214" t="n">
        <v>1.2</v>
      </c>
      <c r="P214" t="n">
        <v>1</v>
      </c>
      <c r="Q214" t="n">
        <v>1.5</v>
      </c>
      <c r="R214">
        <f>LN(SQRT(EXP(
SQRT(
+POWER(LN(K214),2)
+POWER(LN(L214),2)
+POWER(LN(M214),2)
+POWER(LN(N214),2)
+POWER(LN(O214),2)
+POWER(LN(P214),2)
+POWER(LN(Q214),2)
)
)))</f>
        <v>0.22250575723605889</v>
      </c>
    </row>
    <row r="215">
      <c r="A215" t="inlineStr">
        <is>
          <t>Nitrogen oxides</t>
        </is>
      </c>
      <c r="B215" t="n">
        <v>0.677</v>
      </c>
      <c r="D215" t="inlineStr">
        <is>
          <t>kilogram</t>
        </is>
      </c>
      <c r="E215" t="inlineStr">
        <is>
          <t>air::urban air close to ground</t>
        </is>
      </c>
      <c r="F215" t="inlineStr">
        <is>
          <t>biosphere</t>
        </is>
      </c>
      <c r="I215" t="n">
        <v>2</v>
      </c>
      <c r="J215" s="3">
        <f>LN(B215)</f>
        <v>-0.39008400606986199</v>
      </c>
      <c r="K215" t="n">
        <v>1</v>
      </c>
      <c r="L215" t="n">
        <v>1</v>
      </c>
      <c r="M215" t="n">
        <v>1</v>
      </c>
      <c r="N215" t="n">
        <v>1.02</v>
      </c>
      <c r="O215" t="n">
        <v>1.2</v>
      </c>
      <c r="P215" t="n">
        <v>1</v>
      </c>
      <c r="Q215" t="n">
        <v>1.5</v>
      </c>
      <c r="R215">
        <f>LN(SQRT(EXP(
SQRT(
+POWER(LN(K215),2)
+POWER(LN(L215),2)
+POWER(LN(M215),2)
+POWER(LN(N215),2)
+POWER(LN(O215),2)
+POWER(LN(P215),2)
+POWER(LN(Q215),2)
)
)))</f>
        <v>0.22250575723605889</v>
      </c>
    </row>
    <row r="216">
      <c r="A216" t="inlineStr">
        <is>
          <t>Ammonia</t>
        </is>
      </c>
      <c r="B216" t="n">
        <v>0.02</v>
      </c>
      <c r="D216" t="inlineStr">
        <is>
          <t>kilogram</t>
        </is>
      </c>
      <c r="E216" t="inlineStr">
        <is>
          <t>air::urban air close to ground</t>
        </is>
      </c>
      <c r="F216" t="inlineStr">
        <is>
          <t>biosphere</t>
        </is>
      </c>
      <c r="I216" t="n">
        <v>2</v>
      </c>
      <c r="J216" s="3">
        <f>LN(B216)</f>
        <v>-3.912023005428146</v>
      </c>
      <c r="K216" t="n">
        <v>1</v>
      </c>
      <c r="L216" t="n">
        <v>1</v>
      </c>
      <c r="M216" t="n">
        <v>1</v>
      </c>
      <c r="N216" t="n">
        <v>1.02</v>
      </c>
      <c r="O216" t="n">
        <v>1.2</v>
      </c>
      <c r="P216" t="n">
        <v>1</v>
      </c>
      <c r="Q216" t="n">
        <v>1.5</v>
      </c>
      <c r="R216">
        <f>LN(SQRT(EXP(
SQRT(
+POWER(LN(K216),2)
+POWER(LN(L216),2)
+POWER(LN(M216),2)
+POWER(LN(N216),2)
+POWER(LN(O216),2)
+POWER(LN(P216),2)
+POWER(LN(Q216),2)
)
)))</f>
        <v>0.22250575723605889</v>
      </c>
    </row>
    <row r="217">
      <c r="A217" t="inlineStr">
        <is>
          <t>Particulate Matter, &lt; 2.5 um</t>
        </is>
      </c>
      <c r="B217" t="n">
        <v>0.006</v>
      </c>
      <c r="D217" t="inlineStr">
        <is>
          <t>kilogram</t>
        </is>
      </c>
      <c r="E217" t="inlineStr">
        <is>
          <t>air::urban air close to ground</t>
        </is>
      </c>
      <c r="F217" t="inlineStr">
        <is>
          <t>biosphere</t>
        </is>
      </c>
      <c r="I217" t="n">
        <v>2</v>
      </c>
      <c r="J217" s="3">
        <f>LN(B217)</f>
        <v>-5.1159958097540823</v>
      </c>
      <c r="K217" t="n">
        <v>1</v>
      </c>
      <c r="L217" t="n">
        <v>1</v>
      </c>
      <c r="M217" t="n">
        <v>1</v>
      </c>
      <c r="N217" t="n">
        <v>1.02</v>
      </c>
      <c r="O217" t="n">
        <v>1.2</v>
      </c>
      <c r="P217" t="n">
        <v>1</v>
      </c>
      <c r="Q217" t="n">
        <v>3</v>
      </c>
      <c r="R217">
        <f>LN(SQRT(EXP(
SQRT(
+POWER(LN(K217),2)
+POWER(LN(L217),2)
+POWER(LN(M217),2)
+POWER(LN(N217),2)
+POWER(LN(O217),2)
+POWER(LN(P217),2)
+POWER(LN(Q217),2)
)
)))</f>
        <v>0.5569071410325479</v>
      </c>
    </row>
    <row r="218">
      <c r="A218" t="inlineStr">
        <is>
          <t>Mercury II</t>
        </is>
      </c>
      <c r="B218" t="n">
        <v>6e-06</v>
      </c>
      <c r="D218" t="inlineStr">
        <is>
          <t>kilogram</t>
        </is>
      </c>
      <c r="E218" t="inlineStr">
        <is>
          <t>air::urban air close to ground</t>
        </is>
      </c>
      <c r="F218" t="inlineStr">
        <is>
          <t>biosphere</t>
        </is>
      </c>
      <c r="I218" t="n">
        <v>2</v>
      </c>
      <c r="J218" s="3">
        <f>LN(B218)</f>
        <v>-12.023751088736219</v>
      </c>
      <c r="K218" t="n">
        <v>1</v>
      </c>
      <c r="L218" t="n">
        <v>1</v>
      </c>
      <c r="M218" t="n">
        <v>1</v>
      </c>
      <c r="N218" t="n">
        <v>1.02</v>
      </c>
      <c r="O218" t="n">
        <v>1.2</v>
      </c>
      <c r="P218" t="n">
        <v>1</v>
      </c>
      <c r="Q218" t="n">
        <v>5</v>
      </c>
      <c r="R218">
        <f>LN(SQRT(EXP(
SQRT(
+POWER(LN(K218),2)
+POWER(LN(L218),2)
+POWER(LN(M218),2)
+POWER(LN(N218),2)
+POWER(LN(O218),2)
+POWER(LN(P218),2)
+POWER(LN(Q218),2)
)
)))</f>
        <v>0.80992649174166365</v>
      </c>
    </row>
    <row r="219">
      <c r="A219" t="inlineStr">
        <is>
          <t>Lead II</t>
        </is>
      </c>
      <c r="B219" t="n">
        <v>6e-06</v>
      </c>
      <c r="D219" t="inlineStr">
        <is>
          <t>kilogram</t>
        </is>
      </c>
      <c r="E219" t="inlineStr">
        <is>
          <t>air::urban air close to ground</t>
        </is>
      </c>
      <c r="F219" t="inlineStr">
        <is>
          <t>biosphere</t>
        </is>
      </c>
      <c r="I219" t="n">
        <v>2</v>
      </c>
      <c r="J219" s="3">
        <f>LN(B219)</f>
        <v>-12.023751088736219</v>
      </c>
      <c r="K219" t="n">
        <v>1</v>
      </c>
      <c r="L219" t="n">
        <v>1</v>
      </c>
      <c r="M219" t="n">
        <v>1</v>
      </c>
      <c r="N219" t="n">
        <v>1.02</v>
      </c>
      <c r="O219" t="n">
        <v>1.2</v>
      </c>
      <c r="P219" t="n">
        <v>1</v>
      </c>
      <c r="Q219" t="n">
        <v>5</v>
      </c>
      <c r="R219">
        <f>LN(SQRT(EXP(
SQRT(
+POWER(LN(K219),2)
+POWER(LN(L219),2)
+POWER(LN(M219),2)
+POWER(LN(N219),2)
+POWER(LN(O219),2)
+POWER(LN(P219),2)
+POWER(LN(Q219),2)
)
)))</f>
        <v>0.80992649174166365</v>
      </c>
    </row>
    <row r="220">
      <c r="A220" t="inlineStr">
        <is>
          <t>Cadmium II</t>
        </is>
      </c>
      <c r="B220" t="n">
        <v>3e-06</v>
      </c>
      <c r="D220" t="inlineStr">
        <is>
          <t>kilogram</t>
        </is>
      </c>
      <c r="E220" t="inlineStr">
        <is>
          <t>air::urban air close to ground</t>
        </is>
      </c>
      <c r="F220" t="inlineStr">
        <is>
          <t>biosphere</t>
        </is>
      </c>
      <c r="I220" t="n">
        <v>2</v>
      </c>
      <c r="J220" s="3">
        <f>LN(B220)</f>
        <v>-12.716898269296165</v>
      </c>
      <c r="K220" t="n">
        <v>1</v>
      </c>
      <c r="L220" t="n">
        <v>1</v>
      </c>
      <c r="M220" t="n">
        <v>1</v>
      </c>
      <c r="N220" t="n">
        <v>1.02</v>
      </c>
      <c r="O220" t="n">
        <v>1.2</v>
      </c>
      <c r="P220" t="n">
        <v>1</v>
      </c>
      <c r="Q220" t="n">
        <v>5</v>
      </c>
      <c r="R220">
        <f>LN(SQRT(EXP(
SQRT(
+POWER(LN(K220),2)
+POWER(LN(L220),2)
+POWER(LN(M220),2)
+POWER(LN(N220),2)
+POWER(LN(O220),2)
+POWER(LN(P220),2)
+POWER(LN(Q220),2)
)
)))</f>
        <v>0.80992649174166365</v>
      </c>
    </row>
    <row r="221">
      <c r="A221" t="inlineStr">
        <is>
          <t>Arsenic ion</t>
        </is>
      </c>
      <c r="B221" t="n">
        <v>3e-06</v>
      </c>
      <c r="D221" t="inlineStr">
        <is>
          <t>kilogram</t>
        </is>
      </c>
      <c r="E221" t="inlineStr">
        <is>
          <t>air::urban air close to ground</t>
        </is>
      </c>
      <c r="F221" t="inlineStr">
        <is>
          <t>biosphere</t>
        </is>
      </c>
      <c r="I221" t="n">
        <v>2</v>
      </c>
      <c r="J221" s="3">
        <f>LN(B221)</f>
        <v>-12.716898269296165</v>
      </c>
      <c r="K221" t="n">
        <v>1</v>
      </c>
      <c r="L221" t="n">
        <v>1</v>
      </c>
      <c r="M221" t="n">
        <v>1</v>
      </c>
      <c r="N221" t="n">
        <v>1.02</v>
      </c>
      <c r="O221" t="n">
        <v>1.2</v>
      </c>
      <c r="P221" t="n">
        <v>1</v>
      </c>
      <c r="Q221" t="n">
        <v>5</v>
      </c>
      <c r="R221">
        <f>LN(SQRT(EXP(
SQRT(
+POWER(LN(K221),2)
+POWER(LN(L221),2)
+POWER(LN(M221),2)
+POWER(LN(N221),2)
+POWER(LN(O221),2)
+POWER(LN(P221),2)
+POWER(LN(Q221),2)
)
)))</f>
        <v>0.80992649174166365</v>
      </c>
    </row>
    <row r="222">
      <c r="A222" t="inlineStr">
        <is>
          <t>Dioxins, measured as 2,3,7,8-tetrachlorodibenzo-p-dioxin</t>
        </is>
      </c>
      <c r="B222">
        <f>0.11*0.000000001</f>
        <v>1.1000000000000001E-10</v>
      </c>
      <c r="D222" t="inlineStr">
        <is>
          <t>kilogram</t>
        </is>
      </c>
      <c r="E222" t="inlineStr">
        <is>
          <t>air::urban air close to ground</t>
        </is>
      </c>
      <c r="F222" t="inlineStr">
        <is>
          <t>biosphere</t>
        </is>
      </c>
      <c r="I222" t="n">
        <v>2</v>
      </c>
      <c r="J222" s="3">
        <f>LN(B222)</f>
        <v>-22.930540750136132</v>
      </c>
      <c r="K222" t="n">
        <v>1</v>
      </c>
      <c r="L222" t="n">
        <v>1</v>
      </c>
      <c r="M222" t="n">
        <v>1</v>
      </c>
      <c r="N222" t="n">
        <v>1.02</v>
      </c>
      <c r="O222" t="n">
        <v>1.2</v>
      </c>
      <c r="P222" t="n">
        <v>1</v>
      </c>
      <c r="Q222" t="n">
        <v>5</v>
      </c>
      <c r="R222">
        <f>LN(SQRT(EXP(
SQRT(
+POWER(LN(K222),2)
+POWER(LN(L222),2)
+POWER(LN(M222),2)
+POWER(LN(N222),2)
+POWER(LN(O222),2)
+POWER(LN(P222),2)
+POWER(LN(Q222),2)
)
)))</f>
        <v>0.80992649174166365</v>
      </c>
    </row>
    <row r="223">
      <c r="A223" t="inlineStr">
        <is>
          <t>Carbon dioxide, fossil</t>
        </is>
      </c>
      <c r="B223" t="n">
        <v>56</v>
      </c>
      <c r="D223" t="inlineStr">
        <is>
          <t>kilogram</t>
        </is>
      </c>
      <c r="E223" t="inlineStr">
        <is>
          <t>air::urban air close to ground</t>
        </is>
      </c>
      <c r="F223" t="inlineStr">
        <is>
          <t>biosphere</t>
        </is>
      </c>
      <c r="I223" t="n">
        <v>2</v>
      </c>
      <c r="J223" s="3">
        <f>LN(B223)</f>
        <v>4.0253516907351496</v>
      </c>
      <c r="K223" t="n">
        <v>1</v>
      </c>
      <c r="L223" t="n">
        <v>1</v>
      </c>
      <c r="M223" t="n">
        <v>1</v>
      </c>
      <c r="N223" t="n">
        <v>1.02</v>
      </c>
      <c r="O223" t="n">
        <v>1.2</v>
      </c>
      <c r="P223" t="n">
        <v>1</v>
      </c>
      <c r="Q223" t="n">
        <v>1.05</v>
      </c>
      <c r="R223">
        <f>LN(SQRT(EXP(
SQRT(
+POWER(LN(K223),2)
+POWER(LN(L223),2)
+POWER(LN(M223),2)
+POWER(LN(N223),2)
+POWER(LN(O223),2)
+POWER(LN(P223),2)
+POWER(LN(Q223),2)
)
)))</f>
        <v>9.4886477223156879E-2</v>
      </c>
    </row>
    <row r="224">
      <c r="A224" t="inlineStr">
        <is>
          <t>Carbon dioxide, non-fossil</t>
        </is>
      </c>
      <c r="B224" t="n">
        <v>89</v>
      </c>
      <c r="D224" t="inlineStr">
        <is>
          <t>kilogram</t>
        </is>
      </c>
      <c r="E224" t="inlineStr">
        <is>
          <t>air::urban air close to ground</t>
        </is>
      </c>
      <c r="F224" t="inlineStr">
        <is>
          <t>biosphere</t>
        </is>
      </c>
      <c r="I224" t="n">
        <v>2</v>
      </c>
      <c r="J224" s="3">
        <f>LN(B224)</f>
        <v>4.4886363697321396</v>
      </c>
      <c r="K224" t="n">
        <v>1</v>
      </c>
      <c r="L224" t="n">
        <v>1</v>
      </c>
      <c r="M224" t="n">
        <v>1</v>
      </c>
      <c r="N224" t="n">
        <v>1.02</v>
      </c>
      <c r="O224" t="n">
        <v>1.2</v>
      </c>
      <c r="P224" t="n">
        <v>1</v>
      </c>
      <c r="Q224" t="n">
        <v>1.05</v>
      </c>
      <c r="R224">
        <f>LN(SQRT(EXP(
SQRT(
+POWER(LN(K224),2)
+POWER(LN(L224),2)
+POWER(LN(M224),2)
+POWER(LN(N224),2)
+POWER(LN(O224),2)
+POWER(LN(P224),2)
+POWER(LN(Q224),2)
)
)))</f>
        <v>9.4886477223156879E-2</v>
      </c>
    </row>
    <row r="225">
      <c r="A225" t="inlineStr">
        <is>
          <t>Carbon dioxide, in air</t>
        </is>
      </c>
      <c r="B225">
        <f>594-89</f>
        <v>505</v>
      </c>
      <c r="D225" t="inlineStr">
        <is>
          <t>kilogram</t>
        </is>
      </c>
      <c r="E225" t="inlineStr">
        <is>
          <t>natural resource::in air</t>
        </is>
      </c>
      <c r="H225" t="inlineStr">
        <is>
          <t>To reflect the permanent storage of non-fossil CO.</t>
        </is>
      </c>
      <c r="I225" t="n">
        <v>2</v>
      </c>
      <c r="J225" s="3">
        <f>LN(B225)</f>
        <v>6.2245584292753602</v>
      </c>
      <c r="K225" t="n">
        <v>1</v>
      </c>
      <c r="L225" t="n">
        <v>1</v>
      </c>
      <c r="M225" t="n">
        <v>1</v>
      </c>
      <c r="N225" t="n">
        <v>1.02</v>
      </c>
      <c r="O225" t="n">
        <v>1.2</v>
      </c>
      <c r="P225" t="n">
        <v>1</v>
      </c>
      <c r="Q225" t="n">
        <v>1.05</v>
      </c>
      <c r="R225">
        <f>LN(SQRT(EXP(
SQRT(
+POWER(LN(K225),2)
+POWER(LN(L225),2)
+POWER(LN(M225),2)
+POWER(LN(N225),2)
+POWER(LN(O225),2)
+POWER(LN(P225),2)
+POWER(LN(Q225),2)
)
)))</f>
        <v>9.4886477223156879E-2</v>
      </c>
    </row>
    <row r="226"/>
    <row r="227">
      <c r="A227" s="1" t="inlineStr">
        <is>
          <t>Activity</t>
        </is>
      </c>
      <c r="B227" s="1" t="inlineStr">
        <is>
          <t>municipal waste incineration, at incineration plant, with semi-dry air pollution control, with flue gas condensation, with electricity and heat recovery, with carbon capture and storage</t>
        </is>
      </c>
    </row>
    <row r="228">
      <c r="A228" t="inlineStr">
        <is>
          <t>location</t>
        </is>
      </c>
      <c r="B228" t="inlineStr">
        <is>
          <t>RER</t>
        </is>
      </c>
    </row>
    <row r="229">
      <c r="A229" t="inlineStr">
        <is>
          <t>production amount</t>
        </is>
      </c>
      <c r="B229" t="n">
        <v>1</v>
      </c>
    </row>
    <row r="230">
      <c r="A230" s="2" t="inlineStr">
        <is>
          <t>source</t>
        </is>
      </c>
      <c r="B23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231">
      <c r="A231" t="inlineStr">
        <is>
          <t>reference product</t>
        </is>
      </c>
    </row>
    <row r="232">
      <c r="A232" t="inlineStr">
        <is>
          <t>type</t>
        </is>
      </c>
      <c r="B232" t="inlineStr">
        <is>
          <t>process</t>
        </is>
      </c>
    </row>
    <row r="233">
      <c r="A233" t="inlineStr">
        <is>
          <t>unit</t>
        </is>
      </c>
    </row>
    <row r="234">
      <c r="A234" t="inlineStr">
        <is>
          <t>comment</t>
        </is>
      </c>
      <c r="B23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Yes. Electricity production per ton MSWI incinerated: 312 kWh. Heat production per ton MSWI incinerated: 7'400 MJ.</t>
        </is>
      </c>
    </row>
    <row r="235">
      <c r="A235" s="1" t="inlineStr">
        <is>
          <t>Exchanges</t>
        </is>
      </c>
    </row>
    <row r="236">
      <c r="A236" s="7" t="inlineStr">
        <is>
          <t>name</t>
        </is>
      </c>
      <c r="B236" s="7" t="inlineStr">
        <is>
          <t>amount</t>
        </is>
      </c>
      <c r="C236" s="7" t="inlineStr">
        <is>
          <t>location</t>
        </is>
      </c>
      <c r="D236" s="7" t="inlineStr">
        <is>
          <t>unit</t>
        </is>
      </c>
      <c r="E236" s="7" t="inlineStr">
        <is>
          <t>categories</t>
        </is>
      </c>
      <c r="F236" s="7" t="inlineStr">
        <is>
          <t>type</t>
        </is>
      </c>
      <c r="G236" s="7" t="inlineStr">
        <is>
          <t>reference product</t>
        </is>
      </c>
      <c r="H236" s="7" t="inlineStr">
        <is>
          <t>comment</t>
        </is>
      </c>
      <c r="I236" s="7" t="inlineStr">
        <is>
          <t>uncertainty type</t>
        </is>
      </c>
      <c r="J236" s="7" t="inlineStr">
        <is>
          <t>loc</t>
        </is>
      </c>
      <c r="K236" s="1" t="inlineStr">
        <is>
          <t>u1</t>
        </is>
      </c>
      <c r="L236" s="1" t="inlineStr">
        <is>
          <t>u2</t>
        </is>
      </c>
      <c r="M236" s="1" t="inlineStr">
        <is>
          <t>u3</t>
        </is>
      </c>
      <c r="N236" s="1" t="inlineStr">
        <is>
          <t>u4</t>
        </is>
      </c>
      <c r="O236" s="1" t="inlineStr">
        <is>
          <t>u5</t>
        </is>
      </c>
      <c r="P236" s="1" t="inlineStr">
        <is>
          <t>u6</t>
        </is>
      </c>
      <c r="Q236" s="1" t="inlineStr">
        <is>
          <t>ub</t>
        </is>
      </c>
      <c r="R236" s="1" t="inlineStr">
        <is>
          <t>scale</t>
        </is>
      </c>
      <c r="S236" s="1" t="inlineStr">
        <is>
          <t>negative</t>
        </is>
      </c>
    </row>
    <row r="237">
      <c r="A237" t="inlineStr">
        <is>
          <t>municipal waste incineration, at incineration plant, with semi-dry air pollution control, with flue gas condensation, with electricity and heat recovery, with carbon capture and storage</t>
        </is>
      </c>
      <c r="B237" t="n">
        <v>1000</v>
      </c>
      <c r="C237" t="inlineStr">
        <is>
          <t>RER</t>
        </is>
      </c>
      <c r="D237" t="inlineStr">
        <is>
          <t>kilogram</t>
        </is>
      </c>
      <c r="F237" t="inlineStr">
        <is>
          <t>production</t>
        </is>
      </c>
      <c r="G237" t="inlineStr">
        <is>
          <t>municipal solid waste</t>
        </is>
      </c>
      <c r="H237" t="inlineStr"/>
      <c r="I237" t="n">
        <v>0</v>
      </c>
      <c r="K237" s="5" t="n"/>
      <c r="L237" s="5" t="n"/>
      <c r="M237" s="5" t="n"/>
      <c r="N237" s="5" t="n"/>
      <c r="O237" s="5" t="n"/>
      <c r="P237" s="5" t="n"/>
    </row>
    <row r="238">
      <c r="A238" t="inlineStr">
        <is>
          <t>municipal waste incineration, at incineration plant, with semi-dry air pollution control, with flue gas condensation, with electricity and heat recovery, with carbon capture and storage</t>
        </is>
      </c>
      <c r="B238" s="6" t="n">
        <v>312</v>
      </c>
      <c r="C238" t="inlineStr">
        <is>
          <t>RER</t>
        </is>
      </c>
      <c r="D238" t="inlineStr">
        <is>
          <t>kilowatt hour</t>
        </is>
      </c>
      <c r="F238" t="inlineStr">
        <is>
          <t>production</t>
        </is>
      </c>
      <c r="G238" t="inlineStr">
        <is>
          <t>electricity, medium voltage</t>
        </is>
      </c>
      <c r="H238" t="inlineStr"/>
      <c r="I238" t="n">
        <v>0</v>
      </c>
      <c r="J238" s="3" t="n"/>
    </row>
    <row r="239">
      <c r="A239" t="inlineStr">
        <is>
          <t>municipal waste incineration, at incineration plant, with semi-dry air pollution control, with flue gas condensation, with electricity and heat recovery, with carbon capture and storage</t>
        </is>
      </c>
      <c r="B239" t="n">
        <v>7400</v>
      </c>
      <c r="C239" t="inlineStr">
        <is>
          <t>RER</t>
        </is>
      </c>
      <c r="D239" t="inlineStr">
        <is>
          <t>megajoule</t>
        </is>
      </c>
      <c r="F239" t="inlineStr">
        <is>
          <t>production</t>
        </is>
      </c>
      <c r="G239" t="inlineStr">
        <is>
          <t>heat, district or industrial, other than natural gas</t>
        </is>
      </c>
      <c r="H239" t="inlineStr"/>
      <c r="I239" t="n">
        <v>0</v>
      </c>
      <c r="J239" s="3" t="n"/>
    </row>
    <row r="240">
      <c r="A240" t="inlineStr">
        <is>
          <t>market for diesel, low-sulfur</t>
        </is>
      </c>
      <c r="B240">
        <f>0.1*0.85</f>
        <v>8.5000000000000006E-2</v>
      </c>
      <c r="C240" t="inlineStr">
        <is>
          <t>Europe without Switzerland</t>
        </is>
      </c>
      <c r="D240" t="inlineStr">
        <is>
          <t>kilogram</t>
        </is>
      </c>
      <c r="F240" t="inlineStr">
        <is>
          <t>technosphere</t>
        </is>
      </c>
      <c r="G240" t="inlineStr">
        <is>
          <t>diesel, low-sulfur</t>
        </is>
      </c>
      <c r="H240" t="inlineStr">
        <is>
          <t>Diesel density: 0.85 kg/l</t>
        </is>
      </c>
      <c r="I240" t="n">
        <v>2</v>
      </c>
      <c r="J240" s="3">
        <f>LN(B240)</f>
        <v>-2.4651040224918206</v>
      </c>
      <c r="K240" t="n">
        <v>1</v>
      </c>
      <c r="L240" t="n">
        <v>1</v>
      </c>
      <c r="M240" t="n">
        <v>1</v>
      </c>
      <c r="N240" t="n">
        <v>1.02</v>
      </c>
      <c r="O240" t="n">
        <v>1.2</v>
      </c>
      <c r="P240" t="n">
        <v>1</v>
      </c>
      <c r="Q240" t="n">
        <v>1.05</v>
      </c>
      <c r="R240">
        <f>LN(SQRT(EXP(
SQRT(
+POWER(LN(K240),2)
+POWER(LN(L240),2)
+POWER(LN(M240),2)
+POWER(LN(N240),2)
+POWER(LN(O240),2)
+POWER(LN(P240),2)
+POWER(LN(Q240),2)
)
)))</f>
        <v>9.4886477223156879E-2</v>
      </c>
    </row>
    <row r="241">
      <c r="A241" t="inlineStr">
        <is>
          <t>market for activated carbon, granular</t>
        </is>
      </c>
      <c r="B241" t="n">
        <v>0.4</v>
      </c>
      <c r="C241" t="inlineStr">
        <is>
          <t>GLO</t>
        </is>
      </c>
      <c r="D241" t="inlineStr">
        <is>
          <t>kilogram</t>
        </is>
      </c>
      <c r="F241" t="inlineStr">
        <is>
          <t>technosphere</t>
        </is>
      </c>
      <c r="G241" t="inlineStr">
        <is>
          <t>activated carbon, granular</t>
        </is>
      </c>
      <c r="I241" t="n">
        <v>2</v>
      </c>
      <c r="J241" s="3">
        <f>LN(B241)</f>
        <v>-0.916290731874155</v>
      </c>
      <c r="K241" t="n">
        <v>1</v>
      </c>
      <c r="L241" t="n">
        <v>1</v>
      </c>
      <c r="M241" t="n">
        <v>1</v>
      </c>
      <c r="N241" t="n">
        <v>1.02</v>
      </c>
      <c r="O241" t="n">
        <v>1.2</v>
      </c>
      <c r="P241" t="n">
        <v>1</v>
      </c>
      <c r="Q241" t="n">
        <v>1.05</v>
      </c>
      <c r="R241">
        <f>LN(SQRT(EXP(
SQRT(
+POWER(LN(K241),2)
+POWER(LN(L241),2)
+POWER(LN(M241),2)
+POWER(LN(N241),2)
+POWER(LN(O241),2)
+POWER(LN(P241),2)
+POWER(LN(Q241),2)
)
)))</f>
        <v>9.4886477223156879E-2</v>
      </c>
    </row>
    <row r="242">
      <c r="A242" t="inlineStr">
        <is>
          <t>market for ammonia, anhydrous, liquid</t>
        </is>
      </c>
      <c r="B242">
        <f>4*24.5%</f>
        <v>0.98</v>
      </c>
      <c r="C242" t="inlineStr">
        <is>
          <t>RER</t>
        </is>
      </c>
      <c r="D242" t="inlineStr">
        <is>
          <t>kilogram</t>
        </is>
      </c>
      <c r="F242" t="inlineStr">
        <is>
          <t>technosphere</t>
        </is>
      </c>
      <c r="G242" t="inlineStr">
        <is>
          <t>ammonia, anhydrous, liquid</t>
        </is>
      </c>
      <c r="H242" t="inlineStr">
        <is>
          <t>100% liquid ammonia. In original publication, it is dilluated to 23.5% in water. We discount the original value by 75%.</t>
        </is>
      </c>
      <c r="I242" t="n">
        <v>2</v>
      </c>
      <c r="J242" s="3">
        <f>LN(B242)</f>
        <v>-2.0202707317519466E-2</v>
      </c>
      <c r="K242" t="n">
        <v>1</v>
      </c>
      <c r="L242" t="n">
        <v>1</v>
      </c>
      <c r="M242" t="n">
        <v>1</v>
      </c>
      <c r="N242" t="n">
        <v>1.02</v>
      </c>
      <c r="O242" t="n">
        <v>1.2</v>
      </c>
      <c r="P242" t="n">
        <v>1</v>
      </c>
      <c r="Q242" t="n">
        <v>1.05</v>
      </c>
      <c r="R242">
        <f>LN(SQRT(EXP(
SQRT(
+POWER(LN(K242),2)
+POWER(LN(L242),2)
+POWER(LN(M242),2)
+POWER(LN(N242),2)
+POWER(LN(O242),2)
+POWER(LN(P242),2)
+POWER(LN(Q242),2)
)
)))</f>
        <v>9.4886477223156879E-2</v>
      </c>
    </row>
    <row r="243">
      <c r="A243" t="inlineStr">
        <is>
          <t>market for tap water</t>
        </is>
      </c>
      <c r="B243">
        <f>4-B242</f>
        <v>3.02</v>
      </c>
      <c r="C243" t="inlineStr">
        <is>
          <t>Europe without Switzerland</t>
        </is>
      </c>
      <c r="D243" t="inlineStr">
        <is>
          <t>kilogram</t>
        </is>
      </c>
      <c r="F243" t="inlineStr">
        <is>
          <t>technosphere</t>
        </is>
      </c>
      <c r="H243" t="inlineStr">
        <is>
          <t>Used to dilute the ammonia.</t>
        </is>
      </c>
      <c r="I243" t="n">
        <v>2</v>
      </c>
      <c r="J243" s="3">
        <f>LN(B243)</f>
        <v>1.1052568313867783</v>
      </c>
      <c r="K243" t="n">
        <v>1</v>
      </c>
      <c r="L243" t="n">
        <v>1</v>
      </c>
      <c r="M243" t="n">
        <v>1</v>
      </c>
      <c r="N243" t="n">
        <v>1.02</v>
      </c>
      <c r="O243" t="n">
        <v>1.2</v>
      </c>
      <c r="P243" t="n">
        <v>1</v>
      </c>
      <c r="Q243" t="n">
        <v>1.05</v>
      </c>
      <c r="R243">
        <f>LN(SQRT(EXP(
SQRT(
+POWER(LN(K243),2)
+POWER(LN(L243),2)
+POWER(LN(M243),2)
+POWER(LN(N243),2)
+POWER(LN(O243),2)
+POWER(LN(P243),2)
+POWER(LN(Q243),2)
)
)))</f>
        <v>9.4886477223156879E-2</v>
      </c>
    </row>
    <row r="244">
      <c r="A244" t="inlineStr">
        <is>
          <t>market for calcium carbonate, precipitated</t>
        </is>
      </c>
      <c r="B244" t="n">
        <v>0</v>
      </c>
      <c r="C244" t="inlineStr">
        <is>
          <t>RER</t>
        </is>
      </c>
      <c r="D244" t="inlineStr">
        <is>
          <t>kilogram</t>
        </is>
      </c>
      <c r="F244" t="inlineStr">
        <is>
          <t>technosphere</t>
        </is>
      </c>
      <c r="G244" t="inlineStr">
        <is>
          <t>calcium carbonate, precipitated</t>
        </is>
      </c>
      <c r="I244" t="n">
        <v>0</v>
      </c>
      <c r="J244" s="3" t="n"/>
    </row>
    <row r="245">
      <c r="A245" t="inlineStr">
        <is>
          <t>market for iron(III) chloride, without water, in 40% solution state</t>
        </is>
      </c>
      <c r="B245" t="n">
        <v>0</v>
      </c>
      <c r="C245" t="inlineStr">
        <is>
          <t>RER</t>
        </is>
      </c>
      <c r="D245" t="inlineStr">
        <is>
          <t>kilogram</t>
        </is>
      </c>
      <c r="F245" t="inlineStr">
        <is>
          <t>technosphere</t>
        </is>
      </c>
      <c r="G245" t="inlineStr">
        <is>
          <t>iron(III) chloride, without water, in 40% solution state</t>
        </is>
      </c>
      <c r="I245" t="n">
        <v>0</v>
      </c>
      <c r="J245" s="3" t="n"/>
    </row>
    <row r="246">
      <c r="A246" t="inlineStr">
        <is>
          <t>market for lime, hydrated, packed</t>
        </is>
      </c>
      <c r="B246" t="n">
        <v>10</v>
      </c>
      <c r="C246" t="inlineStr">
        <is>
          <t>RER</t>
        </is>
      </c>
      <c r="D246" t="inlineStr">
        <is>
          <t>kilogram</t>
        </is>
      </c>
      <c r="F246" t="inlineStr">
        <is>
          <t>technosphere</t>
        </is>
      </c>
      <c r="G246" t="inlineStr">
        <is>
          <t>lime, hydrated, packed</t>
        </is>
      </c>
      <c r="I246" t="n">
        <v>2</v>
      </c>
      <c r="J246" s="3">
        <f>LN(B246)</f>
        <v>2.3025850929940459</v>
      </c>
      <c r="K246" t="n">
        <v>1</v>
      </c>
      <c r="L246" t="n">
        <v>1</v>
      </c>
      <c r="M246" t="n">
        <v>1</v>
      </c>
      <c r="N246" t="n">
        <v>1.02</v>
      </c>
      <c r="O246" t="n">
        <v>1.2</v>
      </c>
      <c r="P246" t="n">
        <v>1</v>
      </c>
      <c r="Q246" t="n">
        <v>1.05</v>
      </c>
      <c r="R246">
        <f>LN(SQRT(EXP(
SQRT(
+POWER(LN(K246),2)
+POWER(LN(L246),2)
+POWER(LN(M246),2)
+POWER(LN(N246),2)
+POWER(LN(O246),2)
+POWER(LN(P246),2)
+POWER(LN(Q246),2)
)
)))</f>
        <v>9.4886477223156879E-2</v>
      </c>
    </row>
    <row r="247">
      <c r="A247" t="inlineStr">
        <is>
          <t>market for sodium hydroxide, without water, in 50% solution state</t>
        </is>
      </c>
      <c r="B247" t="n">
        <v>0.25</v>
      </c>
      <c r="C247" t="inlineStr">
        <is>
          <t>RER</t>
        </is>
      </c>
      <c r="D247" t="inlineStr">
        <is>
          <t>kilogram</t>
        </is>
      </c>
      <c r="F247" t="inlineStr">
        <is>
          <t>technosphere</t>
        </is>
      </c>
      <c r="G247" t="inlineStr">
        <is>
          <t>sodium hydroxide, without water, in 50% solution state</t>
        </is>
      </c>
      <c r="H247" t="inlineStr">
        <is>
          <t>50% liquid ammonia. In original publication, it is dilluated to 27% in water. We discount the original value by 50%.</t>
        </is>
      </c>
      <c r="I247" t="n">
        <v>0</v>
      </c>
      <c r="J247" s="3" t="n"/>
    </row>
    <row r="248">
      <c r="A248" t="inlineStr">
        <is>
          <t>market for monoethanolamine</t>
        </is>
      </c>
      <c r="B248" t="n">
        <v>4</v>
      </c>
      <c r="C248" t="inlineStr">
        <is>
          <t>GLO</t>
        </is>
      </c>
      <c r="D248" t="inlineStr">
        <is>
          <t>kilogram</t>
        </is>
      </c>
      <c r="F248" t="inlineStr">
        <is>
          <t>technosphere</t>
        </is>
      </c>
      <c r="G248" t="inlineStr">
        <is>
          <t>monoethanolamine</t>
        </is>
      </c>
      <c r="I248" t="n">
        <v>0</v>
      </c>
      <c r="J248" s="3" t="n"/>
    </row>
    <row r="249">
      <c r="A249" t="inlineStr">
        <is>
          <t>municipal waste incineration facility construction</t>
        </is>
      </c>
      <c r="B249" s="8" t="n">
        <v>2.5e-07</v>
      </c>
      <c r="C249" t="inlineStr">
        <is>
          <t>CH</t>
        </is>
      </c>
      <c r="D249" t="inlineStr">
        <is>
          <t>unit</t>
        </is>
      </c>
      <c r="F249" t="inlineStr">
        <is>
          <t>technosphere</t>
        </is>
      </c>
      <c r="G249" t="inlineStr">
        <is>
          <t>municipal waste incineration facility</t>
        </is>
      </c>
      <c r="H249" t="inlineStr">
        <is>
          <t>Lifetime: 4'000'000 tons MSWI treated.</t>
        </is>
      </c>
      <c r="I249" t="n">
        <v>2</v>
      </c>
      <c r="J249" s="3">
        <f>LN(B249)</f>
        <v>-15.201804919084164</v>
      </c>
      <c r="K249" t="n">
        <v>1</v>
      </c>
      <c r="L249" t="n">
        <v>1</v>
      </c>
      <c r="M249" t="n">
        <v>1</v>
      </c>
      <c r="N249" t="n">
        <v>1.02</v>
      </c>
      <c r="O249" t="n">
        <v>1.2</v>
      </c>
      <c r="P249" t="n">
        <v>1</v>
      </c>
      <c r="Q249" t="n">
        <v>3</v>
      </c>
      <c r="R249">
        <f>LN(SQRT(EXP(
SQRT(
+POWER(LN(K249),2)
+POWER(LN(L249),2)
+POWER(LN(M249),2)
+POWER(LN(N249),2)
+POWER(LN(O249),2)
+POWER(LN(P249),2)
+POWER(LN(Q249),2)
)
)))</f>
        <v>0.5569071410325479</v>
      </c>
    </row>
    <row r="250">
      <c r="A250" t="inlineStr">
        <is>
          <t>carbon dioxide storage at wood burning power plant 20 MW post, pipeline 200km, storage 1000m</t>
        </is>
      </c>
      <c r="B250" s="6">
        <f>SUM(374,594)-SUM(B262:B263)</f>
        <v>823</v>
      </c>
      <c r="C250" t="inlineStr">
        <is>
          <t>RER</t>
        </is>
      </c>
      <c r="D250" t="inlineStr">
        <is>
          <t>kilogram</t>
        </is>
      </c>
      <c r="F250" t="inlineStr">
        <is>
          <t>technosphere</t>
        </is>
      </c>
      <c r="G250" t="inlineStr">
        <is>
          <t>carbon dioxide storage at wood burning power plant 20 MW post, pipeline 200km, storage 1000m</t>
        </is>
      </c>
      <c r="I250" t="n">
        <v>2</v>
      </c>
      <c r="J250" s="3">
        <f>LN(B250)</f>
        <v>6.7129562006770698</v>
      </c>
      <c r="K250" t="n">
        <v>1</v>
      </c>
      <c r="L250" t="n">
        <v>1</v>
      </c>
      <c r="M250" t="n">
        <v>1</v>
      </c>
      <c r="N250" t="n">
        <v>1.02</v>
      </c>
      <c r="O250" t="n">
        <v>1.2</v>
      </c>
      <c r="P250" t="n">
        <v>1</v>
      </c>
      <c r="Q250" t="n">
        <v>3</v>
      </c>
      <c r="R250">
        <f>LN(SQRT(EXP(
SQRT(
+POWER(LN(K250),2)
+POWER(LN(L250),2)
+POWER(LN(M250),2)
+POWER(LN(N250),2)
+POWER(LN(O250),2)
+POWER(LN(P250),2)
+POWER(LN(Q250),2)
)
)))</f>
        <v>0.5569071410325479</v>
      </c>
    </row>
    <row r="251">
      <c r="A251" t="inlineStr">
        <is>
          <t>Water, cooling, unspecified natural origin</t>
        </is>
      </c>
      <c r="B251" t="n">
        <v>0</v>
      </c>
      <c r="D251" t="inlineStr">
        <is>
          <t>cubic meter</t>
        </is>
      </c>
      <c r="F251" t="inlineStr">
        <is>
          <t>biosphere</t>
        </is>
      </c>
      <c r="I251" t="n">
        <v>0</v>
      </c>
      <c r="J251" s="3" t="n"/>
    </row>
    <row r="252">
      <c r="A252" t="inlineStr">
        <is>
          <t>Sulfur dioxide</t>
        </is>
      </c>
      <c r="B252" t="n">
        <v>0.006</v>
      </c>
      <c r="D252" t="inlineStr">
        <is>
          <t>kilogram</t>
        </is>
      </c>
      <c r="E252" t="inlineStr">
        <is>
          <t>air::urban air close to ground</t>
        </is>
      </c>
      <c r="F252" t="inlineStr">
        <is>
          <t>biosphere</t>
        </is>
      </c>
      <c r="I252" t="n">
        <v>2</v>
      </c>
      <c r="J252" s="3">
        <f>LN(B252)</f>
        <v>-5.1159958097540823</v>
      </c>
      <c r="K252" t="n">
        <v>1</v>
      </c>
      <c r="L252" t="n">
        <v>1</v>
      </c>
      <c r="M252" t="n">
        <v>1</v>
      </c>
      <c r="N252" t="n">
        <v>1.02</v>
      </c>
      <c r="O252" t="n">
        <v>1.2</v>
      </c>
      <c r="P252" t="n">
        <v>1</v>
      </c>
      <c r="Q252" t="n">
        <v>1.05</v>
      </c>
      <c r="R252">
        <f>LN(SQRT(EXP(
SQRT(
+POWER(LN(K252),2)
+POWER(LN(L252),2)
+POWER(LN(M252),2)
+POWER(LN(N252),2)
+POWER(LN(O252),2)
+POWER(LN(P252),2)
+POWER(LN(Q252),2)
)
)))</f>
        <v>9.4886477223156879E-2</v>
      </c>
    </row>
    <row r="253">
      <c r="A253" t="inlineStr">
        <is>
          <t>Hydrochloric acid</t>
        </is>
      </c>
      <c r="B253" t="n">
        <v>0.003</v>
      </c>
      <c r="D253" t="inlineStr">
        <is>
          <t>kilogram</t>
        </is>
      </c>
      <c r="E253" t="inlineStr">
        <is>
          <t>air::urban air close to ground</t>
        </is>
      </c>
      <c r="F253" t="inlineStr">
        <is>
          <t>biosphere</t>
        </is>
      </c>
      <c r="I253" t="n">
        <v>2</v>
      </c>
      <c r="J253" s="3">
        <f>LN(B253)</f>
        <v>-5.8091429903140277</v>
      </c>
      <c r="K253" t="n">
        <v>1</v>
      </c>
      <c r="L253" t="n">
        <v>1</v>
      </c>
      <c r="M253" t="n">
        <v>1</v>
      </c>
      <c r="N253" t="n">
        <v>1.02</v>
      </c>
      <c r="O253" t="n">
        <v>1.2</v>
      </c>
      <c r="P253" t="n">
        <v>1</v>
      </c>
      <c r="Q253" t="n">
        <v>1.5</v>
      </c>
      <c r="R253">
        <f>LN(SQRT(EXP(
SQRT(
+POWER(LN(K253),2)
+POWER(LN(L253),2)
+POWER(LN(M253),2)
+POWER(LN(N253),2)
+POWER(LN(O253),2)
+POWER(LN(P253),2)
+POWER(LN(Q253),2)
)
)))</f>
        <v>0.22250575723605889</v>
      </c>
    </row>
    <row r="254">
      <c r="A254" t="inlineStr">
        <is>
          <t>Nitrogen oxides</t>
        </is>
      </c>
      <c r="B254" t="n">
        <v>0.677</v>
      </c>
      <c r="D254" t="inlineStr">
        <is>
          <t>kilogram</t>
        </is>
      </c>
      <c r="E254" t="inlineStr">
        <is>
          <t>air::urban air close to ground</t>
        </is>
      </c>
      <c r="F254" t="inlineStr">
        <is>
          <t>biosphere</t>
        </is>
      </c>
      <c r="I254" t="n">
        <v>2</v>
      </c>
      <c r="J254" s="3">
        <f>LN(B254)</f>
        <v>-0.39008400606986199</v>
      </c>
      <c r="K254" t="n">
        <v>1</v>
      </c>
      <c r="L254" t="n">
        <v>1</v>
      </c>
      <c r="M254" t="n">
        <v>1</v>
      </c>
      <c r="N254" t="n">
        <v>1.02</v>
      </c>
      <c r="O254" t="n">
        <v>1.2</v>
      </c>
      <c r="P254" t="n">
        <v>1</v>
      </c>
      <c r="Q254" t="n">
        <v>1.5</v>
      </c>
      <c r="R254">
        <f>LN(SQRT(EXP(
SQRT(
+POWER(LN(K254),2)
+POWER(LN(L254),2)
+POWER(LN(M254),2)
+POWER(LN(N254),2)
+POWER(LN(O254),2)
+POWER(LN(P254),2)
+POWER(LN(Q254),2)
)
)))</f>
        <v>0.22250575723605889</v>
      </c>
    </row>
    <row r="255">
      <c r="A255" t="inlineStr">
        <is>
          <t>Ammonia</t>
        </is>
      </c>
      <c r="B255" t="n">
        <v>0.02</v>
      </c>
      <c r="D255" t="inlineStr">
        <is>
          <t>kilogram</t>
        </is>
      </c>
      <c r="E255" t="inlineStr">
        <is>
          <t>air::urban air close to ground</t>
        </is>
      </c>
      <c r="F255" t="inlineStr">
        <is>
          <t>biosphere</t>
        </is>
      </c>
      <c r="I255" t="n">
        <v>2</v>
      </c>
      <c r="J255" s="3">
        <f>LN(B255)</f>
        <v>-3.912023005428146</v>
      </c>
      <c r="K255" t="n">
        <v>1</v>
      </c>
      <c r="L255" t="n">
        <v>1</v>
      </c>
      <c r="M255" t="n">
        <v>1</v>
      </c>
      <c r="N255" t="n">
        <v>1.02</v>
      </c>
      <c r="O255" t="n">
        <v>1.2</v>
      </c>
      <c r="P255" t="n">
        <v>1</v>
      </c>
      <c r="Q255" t="n">
        <v>1.5</v>
      </c>
      <c r="R255">
        <f>LN(SQRT(EXP(
SQRT(
+POWER(LN(K255),2)
+POWER(LN(L255),2)
+POWER(LN(M255),2)
+POWER(LN(N255),2)
+POWER(LN(O255),2)
+POWER(LN(P255),2)
+POWER(LN(Q255),2)
)
)))</f>
        <v>0.22250575723605889</v>
      </c>
    </row>
    <row r="256">
      <c r="A256" t="inlineStr">
        <is>
          <t>Particulate Matter, &lt; 2.5 um</t>
        </is>
      </c>
      <c r="B256" t="n">
        <v>0.006</v>
      </c>
      <c r="D256" t="inlineStr">
        <is>
          <t>kilogram</t>
        </is>
      </c>
      <c r="E256" t="inlineStr">
        <is>
          <t>air::urban air close to ground</t>
        </is>
      </c>
      <c r="F256" t="inlineStr">
        <is>
          <t>biosphere</t>
        </is>
      </c>
      <c r="I256" t="n">
        <v>2</v>
      </c>
      <c r="J256" s="3">
        <f>LN(B256)</f>
        <v>-5.1159958097540823</v>
      </c>
      <c r="K256" t="n">
        <v>1</v>
      </c>
      <c r="L256" t="n">
        <v>1</v>
      </c>
      <c r="M256" t="n">
        <v>1</v>
      </c>
      <c r="N256" t="n">
        <v>1.02</v>
      </c>
      <c r="O256" t="n">
        <v>1.2</v>
      </c>
      <c r="P256" t="n">
        <v>1</v>
      </c>
      <c r="Q256" t="n">
        <v>3</v>
      </c>
      <c r="R256">
        <f>LN(SQRT(EXP(
SQRT(
+POWER(LN(K256),2)
+POWER(LN(L256),2)
+POWER(LN(M256),2)
+POWER(LN(N256),2)
+POWER(LN(O256),2)
+POWER(LN(P256),2)
+POWER(LN(Q256),2)
)
)))</f>
        <v>0.5569071410325479</v>
      </c>
    </row>
    <row r="257">
      <c r="A257" t="inlineStr">
        <is>
          <t>Mercury II</t>
        </is>
      </c>
      <c r="B257" t="n">
        <v>6e-06</v>
      </c>
      <c r="D257" t="inlineStr">
        <is>
          <t>kilogram</t>
        </is>
      </c>
      <c r="E257" t="inlineStr">
        <is>
          <t>air::urban air close to ground</t>
        </is>
      </c>
      <c r="F257" t="inlineStr">
        <is>
          <t>biosphere</t>
        </is>
      </c>
      <c r="I257" t="n">
        <v>2</v>
      </c>
      <c r="J257" s="3">
        <f>LN(B257)</f>
        <v>-12.023751088736219</v>
      </c>
      <c r="K257" t="n">
        <v>1</v>
      </c>
      <c r="L257" t="n">
        <v>1</v>
      </c>
      <c r="M257" t="n">
        <v>1</v>
      </c>
      <c r="N257" t="n">
        <v>1.02</v>
      </c>
      <c r="O257" t="n">
        <v>1.2</v>
      </c>
      <c r="P257" t="n">
        <v>1</v>
      </c>
      <c r="Q257" t="n">
        <v>5</v>
      </c>
      <c r="R257">
        <f>LN(SQRT(EXP(
SQRT(
+POWER(LN(K257),2)
+POWER(LN(L257),2)
+POWER(LN(M257),2)
+POWER(LN(N257),2)
+POWER(LN(O257),2)
+POWER(LN(P257),2)
+POWER(LN(Q257),2)
)
)))</f>
        <v>0.80992649174166365</v>
      </c>
    </row>
    <row r="258">
      <c r="A258" t="inlineStr">
        <is>
          <t>Lead II</t>
        </is>
      </c>
      <c r="B258" t="n">
        <v>6e-06</v>
      </c>
      <c r="D258" t="inlineStr">
        <is>
          <t>kilogram</t>
        </is>
      </c>
      <c r="E258" t="inlineStr">
        <is>
          <t>air::urban air close to ground</t>
        </is>
      </c>
      <c r="F258" t="inlineStr">
        <is>
          <t>biosphere</t>
        </is>
      </c>
      <c r="I258" t="n">
        <v>2</v>
      </c>
      <c r="J258" s="3">
        <f>LN(B258)</f>
        <v>-12.023751088736219</v>
      </c>
      <c r="K258" t="n">
        <v>1</v>
      </c>
      <c r="L258" t="n">
        <v>1</v>
      </c>
      <c r="M258" t="n">
        <v>1</v>
      </c>
      <c r="N258" t="n">
        <v>1.02</v>
      </c>
      <c r="O258" t="n">
        <v>1.2</v>
      </c>
      <c r="P258" t="n">
        <v>1</v>
      </c>
      <c r="Q258" t="n">
        <v>5</v>
      </c>
      <c r="R258">
        <f>LN(SQRT(EXP(
SQRT(
+POWER(LN(K258),2)
+POWER(LN(L258),2)
+POWER(LN(M258),2)
+POWER(LN(N258),2)
+POWER(LN(O258),2)
+POWER(LN(P258),2)
+POWER(LN(Q258),2)
)
)))</f>
        <v>0.80992649174166365</v>
      </c>
    </row>
    <row r="259">
      <c r="A259" t="inlineStr">
        <is>
          <t>Cadmium II</t>
        </is>
      </c>
      <c r="B259" t="n">
        <v>3e-06</v>
      </c>
      <c r="D259" t="inlineStr">
        <is>
          <t>kilogram</t>
        </is>
      </c>
      <c r="E259" t="inlineStr">
        <is>
          <t>air::urban air close to ground</t>
        </is>
      </c>
      <c r="F259" t="inlineStr">
        <is>
          <t>biosphere</t>
        </is>
      </c>
      <c r="I259" t="n">
        <v>2</v>
      </c>
      <c r="J259" s="3">
        <f>LN(B259)</f>
        <v>-12.716898269296165</v>
      </c>
      <c r="K259" t="n">
        <v>1</v>
      </c>
      <c r="L259" t="n">
        <v>1</v>
      </c>
      <c r="M259" t="n">
        <v>1</v>
      </c>
      <c r="N259" t="n">
        <v>1.02</v>
      </c>
      <c r="O259" t="n">
        <v>1.2</v>
      </c>
      <c r="P259" t="n">
        <v>1</v>
      </c>
      <c r="Q259" t="n">
        <v>5</v>
      </c>
      <c r="R259">
        <f>LN(SQRT(EXP(
SQRT(
+POWER(LN(K259),2)
+POWER(LN(L259),2)
+POWER(LN(M259),2)
+POWER(LN(N259),2)
+POWER(LN(O259),2)
+POWER(LN(P259),2)
+POWER(LN(Q259),2)
)
)))</f>
        <v>0.80992649174166365</v>
      </c>
    </row>
    <row r="260">
      <c r="A260" t="inlineStr">
        <is>
          <t>Arsenic ion</t>
        </is>
      </c>
      <c r="B260" t="n">
        <v>3e-06</v>
      </c>
      <c r="D260" t="inlineStr">
        <is>
          <t>kilogram</t>
        </is>
      </c>
      <c r="E260" t="inlineStr">
        <is>
          <t>air::urban air close to ground</t>
        </is>
      </c>
      <c r="F260" t="inlineStr">
        <is>
          <t>biosphere</t>
        </is>
      </c>
      <c r="I260" t="n">
        <v>2</v>
      </c>
      <c r="J260" s="3">
        <f>LN(B260)</f>
        <v>-12.716898269296165</v>
      </c>
      <c r="K260" t="n">
        <v>1</v>
      </c>
      <c r="L260" t="n">
        <v>1</v>
      </c>
      <c r="M260" t="n">
        <v>1</v>
      </c>
      <c r="N260" t="n">
        <v>1.02</v>
      </c>
      <c r="O260" t="n">
        <v>1.2</v>
      </c>
      <c r="P260" t="n">
        <v>1</v>
      </c>
      <c r="Q260" t="n">
        <v>5</v>
      </c>
      <c r="R260">
        <f>LN(SQRT(EXP(
SQRT(
+POWER(LN(K260),2)
+POWER(LN(L260),2)
+POWER(LN(M260),2)
+POWER(LN(N260),2)
+POWER(LN(O260),2)
+POWER(LN(P260),2)
+POWER(LN(Q260),2)
)
)))</f>
        <v>0.80992649174166365</v>
      </c>
    </row>
    <row r="261">
      <c r="A261" t="inlineStr">
        <is>
          <t>Dioxins, measured as 2,3,7,8-tetrachlorodibenzo-p-dioxin</t>
        </is>
      </c>
      <c r="B261">
        <f>0.11*0.000000001</f>
        <v>1.1000000000000001E-10</v>
      </c>
      <c r="D261" t="inlineStr">
        <is>
          <t>kilogram</t>
        </is>
      </c>
      <c r="E261" t="inlineStr">
        <is>
          <t>air::urban air close to ground</t>
        </is>
      </c>
      <c r="F261" t="inlineStr">
        <is>
          <t>biosphere</t>
        </is>
      </c>
      <c r="I261" t="n">
        <v>2</v>
      </c>
      <c r="J261" s="3">
        <f>LN(B261)</f>
        <v>-22.930540750136132</v>
      </c>
      <c r="K261" t="n">
        <v>1</v>
      </c>
      <c r="L261" t="n">
        <v>1</v>
      </c>
      <c r="M261" t="n">
        <v>1</v>
      </c>
      <c r="N261" t="n">
        <v>1.02</v>
      </c>
      <c r="O261" t="n">
        <v>1.2</v>
      </c>
      <c r="P261" t="n">
        <v>1</v>
      </c>
      <c r="Q261" t="n">
        <v>5</v>
      </c>
      <c r="R261">
        <f>LN(SQRT(EXP(
SQRT(
+POWER(LN(K261),2)
+POWER(LN(L261),2)
+POWER(LN(M261),2)
+POWER(LN(N261),2)
+POWER(LN(O261),2)
+POWER(LN(P261),2)
+POWER(LN(Q261),2)
)
)))</f>
        <v>0.80992649174166365</v>
      </c>
    </row>
    <row r="262">
      <c r="A262" t="inlineStr">
        <is>
          <t>Carbon dioxide, fossil</t>
        </is>
      </c>
      <c r="B262" t="n">
        <v>56</v>
      </c>
      <c r="D262" t="inlineStr">
        <is>
          <t>kilogram</t>
        </is>
      </c>
      <c r="E262" t="inlineStr">
        <is>
          <t>air::urban air close to ground</t>
        </is>
      </c>
      <c r="F262" t="inlineStr">
        <is>
          <t>biosphere</t>
        </is>
      </c>
      <c r="I262" t="n">
        <v>2</v>
      </c>
      <c r="J262" s="3">
        <f>LN(B262)</f>
        <v>4.0253516907351496</v>
      </c>
      <c r="K262" t="n">
        <v>1</v>
      </c>
      <c r="L262" t="n">
        <v>1</v>
      </c>
      <c r="M262" t="n">
        <v>1</v>
      </c>
      <c r="N262" t="n">
        <v>1.02</v>
      </c>
      <c r="O262" t="n">
        <v>1.2</v>
      </c>
      <c r="P262" t="n">
        <v>1</v>
      </c>
      <c r="Q262" t="n">
        <v>1.05</v>
      </c>
      <c r="R262">
        <f>LN(SQRT(EXP(
SQRT(
+POWER(LN(K262),2)
+POWER(LN(L262),2)
+POWER(LN(M262),2)
+POWER(LN(N262),2)
+POWER(LN(O262),2)
+POWER(LN(P262),2)
+POWER(LN(Q262),2)
)
)))</f>
        <v>9.4886477223156879E-2</v>
      </c>
    </row>
    <row r="263">
      <c r="A263" t="inlineStr">
        <is>
          <t>Carbon dioxide, non-fossil</t>
        </is>
      </c>
      <c r="B263" t="n">
        <v>89</v>
      </c>
      <c r="D263" t="inlineStr">
        <is>
          <t>kilogram</t>
        </is>
      </c>
      <c r="E263" t="inlineStr">
        <is>
          <t>air::urban air close to ground</t>
        </is>
      </c>
      <c r="F263" t="inlineStr">
        <is>
          <t>biosphere</t>
        </is>
      </c>
      <c r="I263" t="n">
        <v>2</v>
      </c>
      <c r="J263" s="3">
        <f>LN(B263)</f>
        <v>4.4886363697321396</v>
      </c>
      <c r="K263" t="n">
        <v>1</v>
      </c>
      <c r="L263" t="n">
        <v>1</v>
      </c>
      <c r="M263" t="n">
        <v>1</v>
      </c>
      <c r="N263" t="n">
        <v>1.02</v>
      </c>
      <c r="O263" t="n">
        <v>1.2</v>
      </c>
      <c r="P263" t="n">
        <v>1</v>
      </c>
      <c r="Q263" t="n">
        <v>1.05</v>
      </c>
      <c r="R263">
        <f>LN(SQRT(EXP(
SQRT(
+POWER(LN(K263),2)
+POWER(LN(L263),2)
+POWER(LN(M263),2)
+POWER(LN(N263),2)
+POWER(LN(O263),2)
+POWER(LN(P263),2)
+POWER(LN(Q263),2)
)
)))</f>
        <v>9.4886477223156879E-2</v>
      </c>
    </row>
    <row r="264">
      <c r="A264" t="inlineStr">
        <is>
          <t>Carbon dioxide, in air</t>
        </is>
      </c>
      <c r="B264">
        <f>594-89</f>
        <v>505</v>
      </c>
      <c r="D264" t="inlineStr">
        <is>
          <t>kilogram</t>
        </is>
      </c>
      <c r="E264" t="inlineStr">
        <is>
          <t>natural resource::in air</t>
        </is>
      </c>
      <c r="H264" t="inlineStr">
        <is>
          <t>To reflect the permanent storage of non-fossil CO.</t>
        </is>
      </c>
      <c r="I264" t="n">
        <v>2</v>
      </c>
      <c r="J264" s="3">
        <f>LN(B264)</f>
        <v>6.2245584292753602</v>
      </c>
      <c r="K264" t="n">
        <v>1</v>
      </c>
      <c r="L264" t="n">
        <v>1</v>
      </c>
      <c r="M264" t="n">
        <v>1</v>
      </c>
      <c r="N264" t="n">
        <v>1.02</v>
      </c>
      <c r="O264" t="n">
        <v>1.2</v>
      </c>
      <c r="P264" t="n">
        <v>1</v>
      </c>
      <c r="Q264" t="n">
        <v>1.05</v>
      </c>
      <c r="R264">
        <f>LN(SQRT(EXP(
SQRT(
+POWER(LN(K264),2)
+POWER(LN(L264),2)
+POWER(LN(M264),2)
+POWER(LN(N264),2)
+POWER(LN(O264),2)
+POWER(LN(P264),2)
+POWER(LN(Q264),2)
)
)))</f>
        <v>9.4886477223156879E-2</v>
      </c>
    </row>
    <row r="265"/>
    <row r="266">
      <c r="A266" s="1" t="inlineStr">
        <is>
          <t>Activity</t>
        </is>
      </c>
      <c r="B266" s="1" t="inlineStr">
        <is>
          <t>municipal waste incineration, at incineration plant, with wet air pollution control, with flue gas condensation, with electricity and heat recovery, with carbon capture and storage</t>
        </is>
      </c>
    </row>
    <row r="267">
      <c r="A267" t="inlineStr">
        <is>
          <t>location</t>
        </is>
      </c>
      <c r="B267" t="inlineStr">
        <is>
          <t>RER</t>
        </is>
      </c>
    </row>
    <row r="268">
      <c r="A268" t="inlineStr">
        <is>
          <t>production amount</t>
        </is>
      </c>
      <c r="B268" t="n">
        <v>1</v>
      </c>
    </row>
    <row r="269">
      <c r="A269" s="2" t="inlineStr">
        <is>
          <t>source</t>
        </is>
      </c>
      <c r="B269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270">
      <c r="A270" t="inlineStr">
        <is>
          <t>reference product</t>
        </is>
      </c>
    </row>
    <row r="271">
      <c r="A271" t="inlineStr">
        <is>
          <t>type</t>
        </is>
      </c>
      <c r="B271" t="inlineStr">
        <is>
          <t>process</t>
        </is>
      </c>
    </row>
    <row r="272">
      <c r="A272" t="inlineStr">
        <is>
          <t>unit</t>
        </is>
      </c>
    </row>
    <row r="273">
      <c r="A273" t="inlineStr">
        <is>
          <t>comment</t>
        </is>
      </c>
      <c r="B273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274">
      <c r="A274" s="1" t="inlineStr">
        <is>
          <t>Exchanges</t>
        </is>
      </c>
    </row>
    <row r="275">
      <c r="A275" s="7" t="inlineStr">
        <is>
          <t>name</t>
        </is>
      </c>
      <c r="B275" s="7" t="inlineStr">
        <is>
          <t>amount</t>
        </is>
      </c>
      <c r="C275" s="7" t="inlineStr">
        <is>
          <t>location</t>
        </is>
      </c>
      <c r="D275" s="7" t="inlineStr">
        <is>
          <t>unit</t>
        </is>
      </c>
      <c r="E275" s="7" t="inlineStr">
        <is>
          <t>categories</t>
        </is>
      </c>
      <c r="F275" s="7" t="inlineStr">
        <is>
          <t>type</t>
        </is>
      </c>
      <c r="G275" s="7" t="inlineStr">
        <is>
          <t>reference product</t>
        </is>
      </c>
      <c r="H275" s="7" t="inlineStr">
        <is>
          <t>comment</t>
        </is>
      </c>
      <c r="I275" s="7" t="inlineStr">
        <is>
          <t>uncertainty type</t>
        </is>
      </c>
      <c r="J275" s="7" t="inlineStr">
        <is>
          <t>loc</t>
        </is>
      </c>
      <c r="K275" s="1" t="inlineStr">
        <is>
          <t>u1</t>
        </is>
      </c>
      <c r="L275" s="1" t="inlineStr">
        <is>
          <t>u2</t>
        </is>
      </c>
      <c r="M275" s="1" t="inlineStr">
        <is>
          <t>u3</t>
        </is>
      </c>
      <c r="N275" s="1" t="inlineStr">
        <is>
          <t>u4</t>
        </is>
      </c>
      <c r="O275" s="1" t="inlineStr">
        <is>
          <t>u5</t>
        </is>
      </c>
      <c r="P275" s="1" t="inlineStr">
        <is>
          <t>u6</t>
        </is>
      </c>
      <c r="Q275" s="1" t="inlineStr">
        <is>
          <t>ub</t>
        </is>
      </c>
      <c r="R275" s="1" t="inlineStr">
        <is>
          <t>scale</t>
        </is>
      </c>
      <c r="S275" s="1" t="inlineStr">
        <is>
          <t>negative</t>
        </is>
      </c>
    </row>
    <row r="276">
      <c r="A276" t="inlineStr">
        <is>
          <t>municipal waste incineration, at incineration plant, with wet air pollution control, with flue gas condensation, with electricity and heat recovery, with carbon capture and storage</t>
        </is>
      </c>
      <c r="B276" t="n">
        <v>1000</v>
      </c>
      <c r="C276" t="inlineStr">
        <is>
          <t>RER</t>
        </is>
      </c>
      <c r="D276" t="inlineStr">
        <is>
          <t>kilogram</t>
        </is>
      </c>
      <c r="F276" t="inlineStr">
        <is>
          <t>production</t>
        </is>
      </c>
      <c r="G276" t="inlineStr">
        <is>
          <t>municipal solid waste</t>
        </is>
      </c>
      <c r="H276" t="inlineStr"/>
      <c r="I276" t="n">
        <v>0</v>
      </c>
      <c r="K276" s="5" t="n"/>
      <c r="L276" s="5" t="n"/>
      <c r="M276" s="5" t="n"/>
      <c r="N276" s="5" t="n"/>
      <c r="O276" s="5" t="n"/>
      <c r="P276" s="5" t="n"/>
    </row>
    <row r="277">
      <c r="A277" t="inlineStr">
        <is>
          <t>municipal waste incineration, at incineration plant, with wet air pollution control, with flue gas condensation, with electricity and heat recovery, with carbon capture and storage</t>
        </is>
      </c>
      <c r="B277" s="6" t="n">
        <v>317</v>
      </c>
      <c r="C277" t="inlineStr">
        <is>
          <t>RER</t>
        </is>
      </c>
      <c r="D277" t="inlineStr">
        <is>
          <t>kilowatt hour</t>
        </is>
      </c>
      <c r="F277" t="inlineStr">
        <is>
          <t>production</t>
        </is>
      </c>
      <c r="G277" t="inlineStr">
        <is>
          <t>electricity, medium voltage</t>
        </is>
      </c>
      <c r="H277" t="inlineStr"/>
      <c r="I277" t="n">
        <v>0</v>
      </c>
      <c r="J277" s="3" t="n"/>
    </row>
    <row r="278">
      <c r="A278" t="inlineStr">
        <is>
          <t>municipal waste incineration, at incineration plant, with wet air pollution control, with flue gas condensation, with electricity and heat recovery, with carbon capture and storage</t>
        </is>
      </c>
      <c r="B278" t="n">
        <v>7400</v>
      </c>
      <c r="C278" t="inlineStr">
        <is>
          <t>RER</t>
        </is>
      </c>
      <c r="D278" t="inlineStr">
        <is>
          <t>megajoule</t>
        </is>
      </c>
      <c r="F278" t="inlineStr">
        <is>
          <t>production</t>
        </is>
      </c>
      <c r="G278" t="inlineStr">
        <is>
          <t>heat, district or industrial, other than natural gas</t>
        </is>
      </c>
      <c r="H278" t="inlineStr"/>
      <c r="I278" t="n">
        <v>0</v>
      </c>
      <c r="J278" s="3" t="n"/>
    </row>
    <row r="279">
      <c r="A279" t="inlineStr">
        <is>
          <t>market for diesel, low-sulfur</t>
        </is>
      </c>
      <c r="B279">
        <f>0.1*0.85</f>
        <v>8.5000000000000006E-2</v>
      </c>
      <c r="C279" t="inlineStr">
        <is>
          <t>Europe without Switzerland</t>
        </is>
      </c>
      <c r="D279" t="inlineStr">
        <is>
          <t>kilogram</t>
        </is>
      </c>
      <c r="F279" t="inlineStr">
        <is>
          <t>technosphere</t>
        </is>
      </c>
      <c r="G279" t="inlineStr">
        <is>
          <t>diesel, low-sulfur</t>
        </is>
      </c>
      <c r="H279" t="inlineStr">
        <is>
          <t>Diesel density: 0.85 kg/l</t>
        </is>
      </c>
      <c r="I279" t="n">
        <v>2</v>
      </c>
      <c r="J279" s="3">
        <f>LN(B279)</f>
        <v>-2.4651040224918206</v>
      </c>
      <c r="K279" t="n">
        <v>1</v>
      </c>
      <c r="L279" t="n">
        <v>1</v>
      </c>
      <c r="M279" t="n">
        <v>1</v>
      </c>
      <c r="N279" t="n">
        <v>1.02</v>
      </c>
      <c r="O279" t="n">
        <v>1.2</v>
      </c>
      <c r="P279" t="n">
        <v>1</v>
      </c>
      <c r="Q279" t="n">
        <v>1.05</v>
      </c>
      <c r="R279">
        <f>LN(SQRT(EXP(
SQRT(
+POWER(LN(K279),2)
+POWER(LN(L279),2)
+POWER(LN(M279),2)
+POWER(LN(N279),2)
+POWER(LN(O279),2)
+POWER(LN(P279),2)
+POWER(LN(Q279),2)
)
)))</f>
        <v>9.4886477223156879E-2</v>
      </c>
    </row>
    <row r="280">
      <c r="A280" t="inlineStr">
        <is>
          <t>market for activated carbon, granular</t>
        </is>
      </c>
      <c r="B280" t="n">
        <v>0.4</v>
      </c>
      <c r="C280" t="inlineStr">
        <is>
          <t>GLO</t>
        </is>
      </c>
      <c r="D280" t="inlineStr">
        <is>
          <t>kilogram</t>
        </is>
      </c>
      <c r="F280" t="inlineStr">
        <is>
          <t>technosphere</t>
        </is>
      </c>
      <c r="G280" t="inlineStr">
        <is>
          <t>activated carbon, granular</t>
        </is>
      </c>
      <c r="I280" t="n">
        <v>2</v>
      </c>
      <c r="J280" s="3">
        <f>LN(B280)</f>
        <v>-0.916290731874155</v>
      </c>
      <c r="K280" t="n">
        <v>1</v>
      </c>
      <c r="L280" t="n">
        <v>1</v>
      </c>
      <c r="M280" t="n">
        <v>1</v>
      </c>
      <c r="N280" t="n">
        <v>1.02</v>
      </c>
      <c r="O280" t="n">
        <v>1.2</v>
      </c>
      <c r="P280" t="n">
        <v>1</v>
      </c>
      <c r="Q280" t="n">
        <v>1.05</v>
      </c>
      <c r="R280">
        <f>LN(SQRT(EXP(
SQRT(
+POWER(LN(K280),2)
+POWER(LN(L280),2)
+POWER(LN(M280),2)
+POWER(LN(N280),2)
+POWER(LN(O280),2)
+POWER(LN(P280),2)
+POWER(LN(Q280),2)
)
)))</f>
        <v>9.4886477223156879E-2</v>
      </c>
    </row>
    <row r="281">
      <c r="A281" t="inlineStr">
        <is>
          <t>market for ammonia, anhydrous, liquid</t>
        </is>
      </c>
      <c r="B281">
        <f>4*24.5%</f>
        <v>0.98</v>
      </c>
      <c r="C281" t="inlineStr">
        <is>
          <t>RER</t>
        </is>
      </c>
      <c r="D281" t="inlineStr">
        <is>
          <t>kilogram</t>
        </is>
      </c>
      <c r="F281" t="inlineStr">
        <is>
          <t>technosphere</t>
        </is>
      </c>
      <c r="G281" t="inlineStr">
        <is>
          <t>ammonia, anhydrous, liquid</t>
        </is>
      </c>
      <c r="H281" t="inlineStr">
        <is>
          <t>100% liquid ammonia. In original publication, it is dilluated to 23.5% in water. We discount the original value by 75%.</t>
        </is>
      </c>
      <c r="I281" t="n">
        <v>2</v>
      </c>
      <c r="J281" s="3">
        <f>LN(B281)</f>
        <v>-2.0202707317519466E-2</v>
      </c>
      <c r="K281" t="n">
        <v>1</v>
      </c>
      <c r="L281" t="n">
        <v>1</v>
      </c>
      <c r="M281" t="n">
        <v>1</v>
      </c>
      <c r="N281" t="n">
        <v>1.02</v>
      </c>
      <c r="O281" t="n">
        <v>1.2</v>
      </c>
      <c r="P281" t="n">
        <v>1</v>
      </c>
      <c r="Q281" t="n">
        <v>1.05</v>
      </c>
      <c r="R281">
        <f>LN(SQRT(EXP(
SQRT(
+POWER(LN(K281),2)
+POWER(LN(L281),2)
+POWER(LN(M281),2)
+POWER(LN(N281),2)
+POWER(LN(O281),2)
+POWER(LN(P281),2)
+POWER(LN(Q281),2)
)
)))</f>
        <v>9.4886477223156879E-2</v>
      </c>
    </row>
    <row r="282">
      <c r="A282" t="inlineStr">
        <is>
          <t>market for tap water</t>
        </is>
      </c>
      <c r="B282">
        <f>4-B281</f>
        <v>3.02</v>
      </c>
      <c r="C282" t="inlineStr">
        <is>
          <t>Europe without Switzerland</t>
        </is>
      </c>
      <c r="D282" t="inlineStr">
        <is>
          <t>kilogram</t>
        </is>
      </c>
      <c r="F282" t="inlineStr">
        <is>
          <t>technosphere</t>
        </is>
      </c>
      <c r="H282" t="inlineStr">
        <is>
          <t>Used to dilute the ammonia.</t>
        </is>
      </c>
      <c r="I282" t="n">
        <v>2</v>
      </c>
      <c r="J282" s="3">
        <f>LN(B282)</f>
        <v>1.1052568313867783</v>
      </c>
      <c r="K282" t="n">
        <v>1</v>
      </c>
      <c r="L282" t="n">
        <v>1</v>
      </c>
      <c r="M282" t="n">
        <v>1</v>
      </c>
      <c r="N282" t="n">
        <v>1.02</v>
      </c>
      <c r="O282" t="n">
        <v>1.2</v>
      </c>
      <c r="P282" t="n">
        <v>1</v>
      </c>
      <c r="Q282" t="n">
        <v>1.05</v>
      </c>
      <c r="R282">
        <f>LN(SQRT(EXP(
SQRT(
+POWER(LN(K282),2)
+POWER(LN(L282),2)
+POWER(LN(M282),2)
+POWER(LN(N282),2)
+POWER(LN(O282),2)
+POWER(LN(P282),2)
+POWER(LN(Q282),2)
)
)))</f>
        <v>9.4886477223156879E-2</v>
      </c>
    </row>
    <row r="283">
      <c r="A283" t="inlineStr">
        <is>
          <t>market for calcium carbonate, precipitated</t>
        </is>
      </c>
      <c r="B283" t="n">
        <v>7</v>
      </c>
      <c r="C283" t="inlineStr">
        <is>
          <t>RER</t>
        </is>
      </c>
      <c r="D283" t="inlineStr">
        <is>
          <t>kilogram</t>
        </is>
      </c>
      <c r="F283" t="inlineStr">
        <is>
          <t>technosphere</t>
        </is>
      </c>
      <c r="G283" t="inlineStr">
        <is>
          <t>calcium carbonate, precipitated</t>
        </is>
      </c>
      <c r="I283" t="n">
        <v>0</v>
      </c>
      <c r="J283" s="3" t="n"/>
    </row>
    <row r="284">
      <c r="A284" t="inlineStr">
        <is>
          <t>market for iron(III) chloride, without water, in 40% solution state</t>
        </is>
      </c>
      <c r="B284" t="n">
        <v>0.05</v>
      </c>
      <c r="C284" t="inlineStr">
        <is>
          <t>RER</t>
        </is>
      </c>
      <c r="D284" t="inlineStr">
        <is>
          <t>kilogram</t>
        </is>
      </c>
      <c r="F284" t="inlineStr">
        <is>
          <t>technosphere</t>
        </is>
      </c>
      <c r="G284" t="inlineStr">
        <is>
          <t>iron(III) chloride, without water, in 40% solution state</t>
        </is>
      </c>
      <c r="I284" t="n">
        <v>0</v>
      </c>
      <c r="J284" s="3" t="n"/>
    </row>
    <row r="285">
      <c r="A285" t="inlineStr">
        <is>
          <t>market for lime, hydrated, packed</t>
        </is>
      </c>
      <c r="B285" t="n">
        <v>0</v>
      </c>
      <c r="C285" t="inlineStr">
        <is>
          <t>RER</t>
        </is>
      </c>
      <c r="D285" t="inlineStr">
        <is>
          <t>kilogram</t>
        </is>
      </c>
      <c r="F285" t="inlineStr">
        <is>
          <t>technosphere</t>
        </is>
      </c>
      <c r="G285" t="inlineStr">
        <is>
          <t>lime, hydrated, packed</t>
        </is>
      </c>
      <c r="I285" t="n">
        <v>0</v>
      </c>
      <c r="J285" s="3" t="n"/>
    </row>
    <row r="286">
      <c r="A286" t="inlineStr">
        <is>
          <t>market for sodium hydroxide, without water, in 50% solution state</t>
        </is>
      </c>
      <c r="B286" t="n">
        <v>0.5</v>
      </c>
      <c r="C286" t="inlineStr">
        <is>
          <t>RER</t>
        </is>
      </c>
      <c r="D286" t="inlineStr">
        <is>
          <t>kilogram</t>
        </is>
      </c>
      <c r="F286" t="inlineStr">
        <is>
          <t>technosphere</t>
        </is>
      </c>
      <c r="G286" t="inlineStr">
        <is>
          <t>sodium hydroxide, without water, in 50% solution state</t>
        </is>
      </c>
      <c r="H286" t="inlineStr">
        <is>
          <t>50% liquid ammonia. In original publication, it is dilluated to 27% in water. We discount the original value by 50%.</t>
        </is>
      </c>
      <c r="I286" t="n">
        <v>0</v>
      </c>
      <c r="J286" s="3" t="n"/>
    </row>
    <row r="287">
      <c r="A287" t="inlineStr">
        <is>
          <t>market for monoethanolamine</t>
        </is>
      </c>
      <c r="B287" t="n">
        <v>4</v>
      </c>
      <c r="C287" t="inlineStr">
        <is>
          <t>GLO</t>
        </is>
      </c>
      <c r="D287" t="inlineStr">
        <is>
          <t>kilogram</t>
        </is>
      </c>
      <c r="F287" t="inlineStr">
        <is>
          <t>technosphere</t>
        </is>
      </c>
      <c r="G287" t="inlineStr">
        <is>
          <t>monoethanolamine</t>
        </is>
      </c>
      <c r="I287" t="n">
        <v>0</v>
      </c>
      <c r="J287" s="3" t="n"/>
    </row>
    <row r="288">
      <c r="A288" t="inlineStr">
        <is>
          <t>municipal waste incineration facility construction</t>
        </is>
      </c>
      <c r="B288" s="8" t="n">
        <v>2.5e-07</v>
      </c>
      <c r="C288" t="inlineStr">
        <is>
          <t>CH</t>
        </is>
      </c>
      <c r="D288" t="inlineStr">
        <is>
          <t>unit</t>
        </is>
      </c>
      <c r="F288" t="inlineStr">
        <is>
          <t>technosphere</t>
        </is>
      </c>
      <c r="G288" t="inlineStr">
        <is>
          <t>municipal waste incineration facility</t>
        </is>
      </c>
      <c r="H288" t="inlineStr">
        <is>
          <t>Lifetime: 4'000'000 tons MSWI treated.</t>
        </is>
      </c>
      <c r="I288" t="n">
        <v>2</v>
      </c>
      <c r="J288" s="3">
        <f>LN(B288)</f>
        <v>-15.201804919084164</v>
      </c>
      <c r="K288" t="n">
        <v>1</v>
      </c>
      <c r="L288" t="n">
        <v>1</v>
      </c>
      <c r="M288" t="n">
        <v>1</v>
      </c>
      <c r="N288" t="n">
        <v>1.02</v>
      </c>
      <c r="O288" t="n">
        <v>1.2</v>
      </c>
      <c r="P288" t="n">
        <v>1</v>
      </c>
      <c r="Q288" t="n">
        <v>3</v>
      </c>
      <c r="R288">
        <f>LN(SQRT(EXP(
SQRT(
+POWER(LN(K288),2)
+POWER(LN(L288),2)
+POWER(LN(M288),2)
+POWER(LN(N288),2)
+POWER(LN(O288),2)
+POWER(LN(P288),2)
+POWER(LN(Q288),2)
)
)))</f>
        <v>0.5569071410325479</v>
      </c>
    </row>
    <row r="289">
      <c r="A289" t="inlineStr">
        <is>
          <t>carbon dioxide storage at wood burning power plant 20 MW post, pipeline 200km, storage 1000m</t>
        </is>
      </c>
      <c r="B289" s="6">
        <f>SUM(374,594)-SUM(B301:B302)</f>
        <v>823</v>
      </c>
      <c r="C289" t="inlineStr">
        <is>
          <t>RER</t>
        </is>
      </c>
      <c r="D289" t="inlineStr">
        <is>
          <t>kilogram</t>
        </is>
      </c>
      <c r="F289" t="inlineStr">
        <is>
          <t>technosphere</t>
        </is>
      </c>
      <c r="G289" t="inlineStr">
        <is>
          <t>carbon dioxide storage at wood burning power plant 20 MW post, pipeline 200km, storage 1000m</t>
        </is>
      </c>
      <c r="I289" t="n">
        <v>2</v>
      </c>
      <c r="J289" s="3">
        <f>LN(B289)</f>
        <v>6.7129562006770698</v>
      </c>
      <c r="K289" t="n">
        <v>1</v>
      </c>
      <c r="L289" t="n">
        <v>1</v>
      </c>
      <c r="M289" t="n">
        <v>1</v>
      </c>
      <c r="N289" t="n">
        <v>1.02</v>
      </c>
      <c r="O289" t="n">
        <v>1.2</v>
      </c>
      <c r="P289" t="n">
        <v>1</v>
      </c>
      <c r="Q289" t="n">
        <v>3</v>
      </c>
      <c r="R289">
        <f>LN(SQRT(EXP(
SQRT(
+POWER(LN(K289),2)
+POWER(LN(L289),2)
+POWER(LN(M289),2)
+POWER(LN(N289),2)
+POWER(LN(O289),2)
+POWER(LN(P289),2)
+POWER(LN(Q289),2)
)
)))</f>
        <v>0.5569071410325479</v>
      </c>
    </row>
    <row r="290">
      <c r="A290" t="inlineStr">
        <is>
          <t>Water, cooling, unspecified natural origin</t>
        </is>
      </c>
      <c r="B290" t="n">
        <v>0</v>
      </c>
      <c r="D290" t="inlineStr">
        <is>
          <t>cubic meter</t>
        </is>
      </c>
      <c r="F290" t="inlineStr">
        <is>
          <t>biosphere</t>
        </is>
      </c>
      <c r="I290" t="n">
        <v>0</v>
      </c>
      <c r="J290" s="3" t="n"/>
    </row>
    <row r="291">
      <c r="A291" t="inlineStr">
        <is>
          <t>Sulfur dioxide</t>
        </is>
      </c>
      <c r="B291" t="n">
        <v>0.006</v>
      </c>
      <c r="D291" t="inlineStr">
        <is>
          <t>kilogram</t>
        </is>
      </c>
      <c r="E291" t="inlineStr">
        <is>
          <t>air::urban air close to ground</t>
        </is>
      </c>
      <c r="F291" t="inlineStr">
        <is>
          <t>biosphere</t>
        </is>
      </c>
      <c r="I291" t="n">
        <v>2</v>
      </c>
      <c r="J291" s="3">
        <f>LN(B291)</f>
        <v>-5.1159958097540823</v>
      </c>
      <c r="K291" t="n">
        <v>1</v>
      </c>
      <c r="L291" t="n">
        <v>1</v>
      </c>
      <c r="M291" t="n">
        <v>1</v>
      </c>
      <c r="N291" t="n">
        <v>1.02</v>
      </c>
      <c r="O291" t="n">
        <v>1.2</v>
      </c>
      <c r="P291" t="n">
        <v>1</v>
      </c>
      <c r="Q291" t="n">
        <v>1.05</v>
      </c>
      <c r="R291">
        <f>LN(SQRT(EXP(
SQRT(
+POWER(LN(K291),2)
+POWER(LN(L291),2)
+POWER(LN(M291),2)
+POWER(LN(N291),2)
+POWER(LN(O291),2)
+POWER(LN(P291),2)
+POWER(LN(Q291),2)
)
)))</f>
        <v>9.4886477223156879E-2</v>
      </c>
    </row>
    <row r="292">
      <c r="A292" t="inlineStr">
        <is>
          <t>Hydrochloric acid</t>
        </is>
      </c>
      <c r="B292" t="n">
        <v>0.003</v>
      </c>
      <c r="D292" t="inlineStr">
        <is>
          <t>kilogram</t>
        </is>
      </c>
      <c r="E292" t="inlineStr">
        <is>
          <t>air::urban air close to ground</t>
        </is>
      </c>
      <c r="F292" t="inlineStr">
        <is>
          <t>biosphere</t>
        </is>
      </c>
      <c r="I292" t="n">
        <v>2</v>
      </c>
      <c r="J292" s="3">
        <f>LN(B292)</f>
        <v>-5.8091429903140277</v>
      </c>
      <c r="K292" t="n">
        <v>1</v>
      </c>
      <c r="L292" t="n">
        <v>1</v>
      </c>
      <c r="M292" t="n">
        <v>1</v>
      </c>
      <c r="N292" t="n">
        <v>1.02</v>
      </c>
      <c r="O292" t="n">
        <v>1.2</v>
      </c>
      <c r="P292" t="n">
        <v>1</v>
      </c>
      <c r="Q292" t="n">
        <v>1.5</v>
      </c>
      <c r="R292">
        <f>LN(SQRT(EXP(
SQRT(
+POWER(LN(K292),2)
+POWER(LN(L292),2)
+POWER(LN(M292),2)
+POWER(LN(N292),2)
+POWER(LN(O292),2)
+POWER(LN(P292),2)
+POWER(LN(Q292),2)
)
)))</f>
        <v>0.22250575723605889</v>
      </c>
    </row>
    <row r="293">
      <c r="A293" t="inlineStr">
        <is>
          <t>Nitrogen oxides</t>
        </is>
      </c>
      <c r="B293" t="n">
        <v>0.677</v>
      </c>
      <c r="D293" t="inlineStr">
        <is>
          <t>kilogram</t>
        </is>
      </c>
      <c r="E293" t="inlineStr">
        <is>
          <t>air::urban air close to ground</t>
        </is>
      </c>
      <c r="F293" t="inlineStr">
        <is>
          <t>biosphere</t>
        </is>
      </c>
      <c r="I293" t="n">
        <v>2</v>
      </c>
      <c r="J293" s="3">
        <f>LN(B293)</f>
        <v>-0.39008400606986199</v>
      </c>
      <c r="K293" t="n">
        <v>1</v>
      </c>
      <c r="L293" t="n">
        <v>1</v>
      </c>
      <c r="M293" t="n">
        <v>1</v>
      </c>
      <c r="N293" t="n">
        <v>1.02</v>
      </c>
      <c r="O293" t="n">
        <v>1.2</v>
      </c>
      <c r="P293" t="n">
        <v>1</v>
      </c>
      <c r="Q293" t="n">
        <v>1.5</v>
      </c>
      <c r="R293">
        <f>LN(SQRT(EXP(
SQRT(
+POWER(LN(K293),2)
+POWER(LN(L293),2)
+POWER(LN(M293),2)
+POWER(LN(N293),2)
+POWER(LN(O293),2)
+POWER(LN(P293),2)
+POWER(LN(Q293),2)
)
)))</f>
        <v>0.22250575723605889</v>
      </c>
    </row>
    <row r="294">
      <c r="A294" t="inlineStr">
        <is>
          <t>Ammonia</t>
        </is>
      </c>
      <c r="B294" t="n">
        <v>0.02</v>
      </c>
      <c r="D294" t="inlineStr">
        <is>
          <t>kilogram</t>
        </is>
      </c>
      <c r="E294" t="inlineStr">
        <is>
          <t>air::urban air close to ground</t>
        </is>
      </c>
      <c r="F294" t="inlineStr">
        <is>
          <t>biosphere</t>
        </is>
      </c>
      <c r="I294" t="n">
        <v>2</v>
      </c>
      <c r="J294" s="3">
        <f>LN(B294)</f>
        <v>-3.912023005428146</v>
      </c>
      <c r="K294" t="n">
        <v>1</v>
      </c>
      <c r="L294" t="n">
        <v>1</v>
      </c>
      <c r="M294" t="n">
        <v>1</v>
      </c>
      <c r="N294" t="n">
        <v>1.02</v>
      </c>
      <c r="O294" t="n">
        <v>1.2</v>
      </c>
      <c r="P294" t="n">
        <v>1</v>
      </c>
      <c r="Q294" t="n">
        <v>1.5</v>
      </c>
      <c r="R294">
        <f>LN(SQRT(EXP(
SQRT(
+POWER(LN(K294),2)
+POWER(LN(L294),2)
+POWER(LN(M294),2)
+POWER(LN(N294),2)
+POWER(LN(O294),2)
+POWER(LN(P294),2)
+POWER(LN(Q294),2)
)
)))</f>
        <v>0.22250575723605889</v>
      </c>
    </row>
    <row r="295">
      <c r="A295" t="inlineStr">
        <is>
          <t>Particulate Matter, &lt; 2.5 um</t>
        </is>
      </c>
      <c r="B295" t="n">
        <v>0.006</v>
      </c>
      <c r="D295" t="inlineStr">
        <is>
          <t>kilogram</t>
        </is>
      </c>
      <c r="E295" t="inlineStr">
        <is>
          <t>air::urban air close to ground</t>
        </is>
      </c>
      <c r="F295" t="inlineStr">
        <is>
          <t>biosphere</t>
        </is>
      </c>
      <c r="I295" t="n">
        <v>2</v>
      </c>
      <c r="J295" s="3">
        <f>LN(B295)</f>
        <v>-5.1159958097540823</v>
      </c>
      <c r="K295" t="n">
        <v>1</v>
      </c>
      <c r="L295" t="n">
        <v>1</v>
      </c>
      <c r="M295" t="n">
        <v>1</v>
      </c>
      <c r="N295" t="n">
        <v>1.02</v>
      </c>
      <c r="O295" t="n">
        <v>1.2</v>
      </c>
      <c r="P295" t="n">
        <v>1</v>
      </c>
      <c r="Q295" t="n">
        <v>3</v>
      </c>
      <c r="R295">
        <f>LN(SQRT(EXP(
SQRT(
+POWER(LN(K295),2)
+POWER(LN(L295),2)
+POWER(LN(M295),2)
+POWER(LN(N295),2)
+POWER(LN(O295),2)
+POWER(LN(P295),2)
+POWER(LN(Q295),2)
)
)))</f>
        <v>0.5569071410325479</v>
      </c>
    </row>
    <row r="296">
      <c r="A296" t="inlineStr">
        <is>
          <t>Mercury II</t>
        </is>
      </c>
      <c r="B296" t="n">
        <v>6e-06</v>
      </c>
      <c r="D296" t="inlineStr">
        <is>
          <t>kilogram</t>
        </is>
      </c>
      <c r="E296" t="inlineStr">
        <is>
          <t>air::urban air close to ground</t>
        </is>
      </c>
      <c r="F296" t="inlineStr">
        <is>
          <t>biosphere</t>
        </is>
      </c>
      <c r="I296" t="n">
        <v>2</v>
      </c>
      <c r="J296" s="3">
        <f>LN(B296)</f>
        <v>-12.023751088736219</v>
      </c>
      <c r="K296" t="n">
        <v>1</v>
      </c>
      <c r="L296" t="n">
        <v>1</v>
      </c>
      <c r="M296" t="n">
        <v>1</v>
      </c>
      <c r="N296" t="n">
        <v>1.02</v>
      </c>
      <c r="O296" t="n">
        <v>1.2</v>
      </c>
      <c r="P296" t="n">
        <v>1</v>
      </c>
      <c r="Q296" t="n">
        <v>5</v>
      </c>
      <c r="R296">
        <f>LN(SQRT(EXP(
SQRT(
+POWER(LN(K296),2)
+POWER(LN(L296),2)
+POWER(LN(M296),2)
+POWER(LN(N296),2)
+POWER(LN(O296),2)
+POWER(LN(P296),2)
+POWER(LN(Q296),2)
)
)))</f>
        <v>0.80992649174166365</v>
      </c>
    </row>
    <row r="297">
      <c r="A297" t="inlineStr">
        <is>
          <t>Lead II</t>
        </is>
      </c>
      <c r="B297" t="n">
        <v>6e-06</v>
      </c>
      <c r="D297" t="inlineStr">
        <is>
          <t>kilogram</t>
        </is>
      </c>
      <c r="E297" t="inlineStr">
        <is>
          <t>air::urban air close to ground</t>
        </is>
      </c>
      <c r="F297" t="inlineStr">
        <is>
          <t>biosphere</t>
        </is>
      </c>
      <c r="I297" t="n">
        <v>2</v>
      </c>
      <c r="J297" s="3">
        <f>LN(B297)</f>
        <v>-12.023751088736219</v>
      </c>
      <c r="K297" t="n">
        <v>1</v>
      </c>
      <c r="L297" t="n">
        <v>1</v>
      </c>
      <c r="M297" t="n">
        <v>1</v>
      </c>
      <c r="N297" t="n">
        <v>1.02</v>
      </c>
      <c r="O297" t="n">
        <v>1.2</v>
      </c>
      <c r="P297" t="n">
        <v>1</v>
      </c>
      <c r="Q297" t="n">
        <v>5</v>
      </c>
      <c r="R297">
        <f>LN(SQRT(EXP(
SQRT(
+POWER(LN(K297),2)
+POWER(LN(L297),2)
+POWER(LN(M297),2)
+POWER(LN(N297),2)
+POWER(LN(O297),2)
+POWER(LN(P297),2)
+POWER(LN(Q297),2)
)
)))</f>
        <v>0.80992649174166365</v>
      </c>
    </row>
    <row r="298">
      <c r="A298" t="inlineStr">
        <is>
          <t>Cadmium II</t>
        </is>
      </c>
      <c r="B298" t="n">
        <v>3e-06</v>
      </c>
      <c r="D298" t="inlineStr">
        <is>
          <t>kilogram</t>
        </is>
      </c>
      <c r="E298" t="inlineStr">
        <is>
          <t>air::urban air close to ground</t>
        </is>
      </c>
      <c r="F298" t="inlineStr">
        <is>
          <t>biosphere</t>
        </is>
      </c>
      <c r="I298" t="n">
        <v>2</v>
      </c>
      <c r="J298" s="3">
        <f>LN(B298)</f>
        <v>-12.716898269296165</v>
      </c>
      <c r="K298" t="n">
        <v>1</v>
      </c>
      <c r="L298" t="n">
        <v>1</v>
      </c>
      <c r="M298" t="n">
        <v>1</v>
      </c>
      <c r="N298" t="n">
        <v>1.02</v>
      </c>
      <c r="O298" t="n">
        <v>1.2</v>
      </c>
      <c r="P298" t="n">
        <v>1</v>
      </c>
      <c r="Q298" t="n">
        <v>5</v>
      </c>
      <c r="R298">
        <f>LN(SQRT(EXP(
SQRT(
+POWER(LN(K298),2)
+POWER(LN(L298),2)
+POWER(LN(M298),2)
+POWER(LN(N298),2)
+POWER(LN(O298),2)
+POWER(LN(P298),2)
+POWER(LN(Q298),2)
)
)))</f>
        <v>0.80992649174166365</v>
      </c>
    </row>
    <row r="299">
      <c r="A299" t="inlineStr">
        <is>
          <t>Arsenic ion</t>
        </is>
      </c>
      <c r="B299" t="n">
        <v>3e-06</v>
      </c>
      <c r="D299" t="inlineStr">
        <is>
          <t>kilogram</t>
        </is>
      </c>
      <c r="E299" t="inlineStr">
        <is>
          <t>air::urban air close to ground</t>
        </is>
      </c>
      <c r="F299" t="inlineStr">
        <is>
          <t>biosphere</t>
        </is>
      </c>
      <c r="I299" t="n">
        <v>2</v>
      </c>
      <c r="J299" s="3">
        <f>LN(B299)</f>
        <v>-12.716898269296165</v>
      </c>
      <c r="K299" t="n">
        <v>1</v>
      </c>
      <c r="L299" t="n">
        <v>1</v>
      </c>
      <c r="M299" t="n">
        <v>1</v>
      </c>
      <c r="N299" t="n">
        <v>1.02</v>
      </c>
      <c r="O299" t="n">
        <v>1.2</v>
      </c>
      <c r="P299" t="n">
        <v>1</v>
      </c>
      <c r="Q299" t="n">
        <v>5</v>
      </c>
      <c r="R299">
        <f>LN(SQRT(EXP(
SQRT(
+POWER(LN(K299),2)
+POWER(LN(L299),2)
+POWER(LN(M299),2)
+POWER(LN(N299),2)
+POWER(LN(O299),2)
+POWER(LN(P299),2)
+POWER(LN(Q299),2)
)
)))</f>
        <v>0.80992649174166365</v>
      </c>
    </row>
    <row r="300">
      <c r="A300" t="inlineStr">
        <is>
          <t>Dioxins, measured as 2,3,7,8-tetrachlorodibenzo-p-dioxin</t>
        </is>
      </c>
      <c r="B300">
        <f>0.11*0.000000001</f>
        <v>1.1000000000000001E-10</v>
      </c>
      <c r="D300" t="inlineStr">
        <is>
          <t>kilogram</t>
        </is>
      </c>
      <c r="E300" t="inlineStr">
        <is>
          <t>air::urban air close to ground</t>
        </is>
      </c>
      <c r="F300" t="inlineStr">
        <is>
          <t>biosphere</t>
        </is>
      </c>
      <c r="I300" t="n">
        <v>2</v>
      </c>
      <c r="J300" s="3">
        <f>LN(B300)</f>
        <v>-22.930540750136132</v>
      </c>
      <c r="K300" t="n">
        <v>1</v>
      </c>
      <c r="L300" t="n">
        <v>1</v>
      </c>
      <c r="M300" t="n">
        <v>1</v>
      </c>
      <c r="N300" t="n">
        <v>1.02</v>
      </c>
      <c r="O300" t="n">
        <v>1.2</v>
      </c>
      <c r="P300" t="n">
        <v>1</v>
      </c>
      <c r="Q300" t="n">
        <v>5</v>
      </c>
      <c r="R300">
        <f>LN(SQRT(EXP(
SQRT(
+POWER(LN(K300),2)
+POWER(LN(L300),2)
+POWER(LN(M300),2)
+POWER(LN(N300),2)
+POWER(LN(O300),2)
+POWER(LN(P300),2)
+POWER(LN(Q300),2)
)
)))</f>
        <v>0.80992649174166365</v>
      </c>
    </row>
    <row r="301">
      <c r="A301" t="inlineStr">
        <is>
          <t>Carbon dioxide, fossil</t>
        </is>
      </c>
      <c r="B301" t="n">
        <v>56</v>
      </c>
      <c r="D301" t="inlineStr">
        <is>
          <t>kilogram</t>
        </is>
      </c>
      <c r="E301" t="inlineStr">
        <is>
          <t>air::urban air close to ground</t>
        </is>
      </c>
      <c r="F301" t="inlineStr">
        <is>
          <t>biosphere</t>
        </is>
      </c>
      <c r="I301" t="n">
        <v>2</v>
      </c>
      <c r="J301" s="3">
        <f>LN(B301)</f>
        <v>4.0253516907351496</v>
      </c>
      <c r="K301" t="n">
        <v>1</v>
      </c>
      <c r="L301" t="n">
        <v>1</v>
      </c>
      <c r="M301" t="n">
        <v>1</v>
      </c>
      <c r="N301" t="n">
        <v>1.02</v>
      </c>
      <c r="O301" t="n">
        <v>1.2</v>
      </c>
      <c r="P301" t="n">
        <v>1</v>
      </c>
      <c r="Q301" t="n">
        <v>1.05</v>
      </c>
      <c r="R301">
        <f>LN(SQRT(EXP(
SQRT(
+POWER(LN(K301),2)
+POWER(LN(L301),2)
+POWER(LN(M301),2)
+POWER(LN(N301),2)
+POWER(LN(O301),2)
+POWER(LN(P301),2)
+POWER(LN(Q301),2)
)
)))</f>
        <v>9.4886477223156879E-2</v>
      </c>
    </row>
    <row r="302">
      <c r="A302" t="inlineStr">
        <is>
          <t>Carbon dioxide, non-fossil</t>
        </is>
      </c>
      <c r="B302" t="n">
        <v>89</v>
      </c>
      <c r="D302" t="inlineStr">
        <is>
          <t>kilogram</t>
        </is>
      </c>
      <c r="E302" t="inlineStr">
        <is>
          <t>air::urban air close to ground</t>
        </is>
      </c>
      <c r="F302" t="inlineStr">
        <is>
          <t>biosphere</t>
        </is>
      </c>
      <c r="I302" t="n">
        <v>2</v>
      </c>
      <c r="J302" s="3">
        <f>LN(B302)</f>
        <v>4.4886363697321396</v>
      </c>
      <c r="K302" t="n">
        <v>1</v>
      </c>
      <c r="L302" t="n">
        <v>1</v>
      </c>
      <c r="M302" t="n">
        <v>1</v>
      </c>
      <c r="N302" t="n">
        <v>1.02</v>
      </c>
      <c r="O302" t="n">
        <v>1.2</v>
      </c>
      <c r="P302" t="n">
        <v>1</v>
      </c>
      <c r="Q302" t="n">
        <v>1.05</v>
      </c>
      <c r="R302">
        <f>LN(SQRT(EXP(
SQRT(
+POWER(LN(K302),2)
+POWER(LN(L302),2)
+POWER(LN(M302),2)
+POWER(LN(N302),2)
+POWER(LN(O302),2)
+POWER(LN(P302),2)
+POWER(LN(Q302),2)
)
)))</f>
        <v>9.4886477223156879E-2</v>
      </c>
    </row>
    <row r="303">
      <c r="A303" t="inlineStr">
        <is>
          <t>Carbon dioxide, in air</t>
        </is>
      </c>
      <c r="B303">
        <f>594-89</f>
        <v>505</v>
      </c>
      <c r="D303" t="inlineStr">
        <is>
          <t>kilogram</t>
        </is>
      </c>
      <c r="E303" t="inlineStr">
        <is>
          <t>natural resource::in air</t>
        </is>
      </c>
      <c r="H303" t="inlineStr">
        <is>
          <t>To reflect the permanent storage of non-fossil CO.</t>
        </is>
      </c>
      <c r="I303" t="n">
        <v>2</v>
      </c>
      <c r="J303" s="3">
        <f>LN(B303)</f>
        <v>6.2245584292753602</v>
      </c>
      <c r="K303" t="n">
        <v>1</v>
      </c>
      <c r="L303" t="n">
        <v>1</v>
      </c>
      <c r="M303" t="n">
        <v>1</v>
      </c>
      <c r="N303" t="n">
        <v>1.02</v>
      </c>
      <c r="O303" t="n">
        <v>1.2</v>
      </c>
      <c r="P303" t="n">
        <v>1</v>
      </c>
      <c r="Q303" t="n">
        <v>1.05</v>
      </c>
      <c r="R303">
        <f>LN(SQRT(EXP(
SQRT(
+POWER(LN(K303),2)
+POWER(LN(L303),2)
+POWER(LN(M303),2)
+POWER(LN(N303),2)
+POWER(LN(O303),2)
+POWER(LN(P303),2)
+POWER(LN(Q303),2)
)
)))</f>
        <v>9.4886477223156879E-2</v>
      </c>
    </row>
    <row r="304"/>
    <row r="305">
      <c r="A305" s="1" t="inlineStr">
        <is>
          <t>Activity</t>
        </is>
      </c>
      <c r="B305" s="1" t="inlineStr">
        <is>
          <t>municipal waste incineration, at incineration plant, with wet air pollution control, with flue gas condensation, with electricity and optimized heat recovery, with carbon capture and storage</t>
        </is>
      </c>
    </row>
    <row r="306">
      <c r="A306" t="inlineStr">
        <is>
          <t>location</t>
        </is>
      </c>
      <c r="B306" t="inlineStr">
        <is>
          <t>RER</t>
        </is>
      </c>
    </row>
    <row r="307">
      <c r="A307" t="inlineStr">
        <is>
          <t>production amount</t>
        </is>
      </c>
      <c r="B307" t="n">
        <v>1</v>
      </c>
    </row>
    <row r="308">
      <c r="A308" s="2" t="inlineStr">
        <is>
          <t>source</t>
        </is>
      </c>
      <c r="B308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309">
      <c r="A309" t="inlineStr">
        <is>
          <t>reference product</t>
        </is>
      </c>
    </row>
    <row r="310">
      <c r="A310" t="inlineStr">
        <is>
          <t>type</t>
        </is>
      </c>
      <c r="B310" t="inlineStr">
        <is>
          <t>process</t>
        </is>
      </c>
    </row>
    <row r="311">
      <c r="A311" t="inlineStr">
        <is>
          <t>unit</t>
        </is>
      </c>
    </row>
    <row r="312">
      <c r="A312" t="inlineStr">
        <is>
          <t>comment</t>
        </is>
      </c>
      <c r="B312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313">
      <c r="A313" s="1" t="inlineStr">
        <is>
          <t>Exchanges</t>
        </is>
      </c>
    </row>
    <row r="314">
      <c r="A314" s="7" t="inlineStr">
        <is>
          <t>name</t>
        </is>
      </c>
      <c r="B314" s="7" t="inlineStr">
        <is>
          <t>amount</t>
        </is>
      </c>
      <c r="C314" s="7" t="inlineStr">
        <is>
          <t>location</t>
        </is>
      </c>
      <c r="D314" s="7" t="inlineStr">
        <is>
          <t>unit</t>
        </is>
      </c>
      <c r="E314" s="7" t="inlineStr">
        <is>
          <t>categories</t>
        </is>
      </c>
      <c r="F314" s="7" t="inlineStr">
        <is>
          <t>type</t>
        </is>
      </c>
      <c r="G314" s="7" t="inlineStr">
        <is>
          <t>reference product</t>
        </is>
      </c>
      <c r="H314" s="7" t="inlineStr">
        <is>
          <t>comment</t>
        </is>
      </c>
      <c r="I314" s="7" t="inlineStr">
        <is>
          <t>uncertainty type</t>
        </is>
      </c>
      <c r="J314" s="7" t="inlineStr">
        <is>
          <t>loc</t>
        </is>
      </c>
      <c r="K314" s="1" t="inlineStr">
        <is>
          <t>u1</t>
        </is>
      </c>
      <c r="L314" s="1" t="inlineStr">
        <is>
          <t>u2</t>
        </is>
      </c>
      <c r="M314" s="1" t="inlineStr">
        <is>
          <t>u3</t>
        </is>
      </c>
      <c r="N314" s="1" t="inlineStr">
        <is>
          <t>u4</t>
        </is>
      </c>
      <c r="O314" s="1" t="inlineStr">
        <is>
          <t>u5</t>
        </is>
      </c>
      <c r="P314" s="1" t="inlineStr">
        <is>
          <t>u6</t>
        </is>
      </c>
      <c r="Q314" s="1" t="inlineStr">
        <is>
          <t>ub</t>
        </is>
      </c>
      <c r="R314" s="1" t="inlineStr">
        <is>
          <t>scale</t>
        </is>
      </c>
      <c r="S314" s="1" t="inlineStr">
        <is>
          <t>negative</t>
        </is>
      </c>
    </row>
    <row r="315">
      <c r="A315" t="inlineStr">
        <is>
          <t>municipal waste incineration, at incineration plant, with wet air pollution control, with flue gas condensation, with electricity and optimized heat recovery, with carbon capture and storage</t>
        </is>
      </c>
      <c r="B315" t="n">
        <v>1000</v>
      </c>
      <c r="C315" t="inlineStr">
        <is>
          <t>RER</t>
        </is>
      </c>
      <c r="D315" t="inlineStr">
        <is>
          <t>kilogram</t>
        </is>
      </c>
      <c r="F315" t="inlineStr">
        <is>
          <t>production</t>
        </is>
      </c>
      <c r="G315" t="inlineStr">
        <is>
          <t>municipal solid waste</t>
        </is>
      </c>
      <c r="H315" t="inlineStr"/>
      <c r="I315" t="n">
        <v>0</v>
      </c>
      <c r="K315" s="5" t="n"/>
      <c r="L315" s="5" t="n"/>
      <c r="M315" s="5" t="n"/>
      <c r="N315" s="5" t="n"/>
      <c r="O315" s="5" t="n"/>
      <c r="P315" s="5" t="n"/>
    </row>
    <row r="316">
      <c r="A316" t="inlineStr">
        <is>
          <t>municipal waste incineration, at incineration plant, with wet air pollution control, with flue gas condensation, with electricity and optimized heat recovery, with carbon capture and storage</t>
        </is>
      </c>
      <c r="B316" s="6" t="n">
        <v>473</v>
      </c>
      <c r="C316" t="inlineStr">
        <is>
          <t>RER</t>
        </is>
      </c>
      <c r="D316" t="inlineStr">
        <is>
          <t>kilowatt hour</t>
        </is>
      </c>
      <c r="F316" t="inlineStr">
        <is>
          <t>production</t>
        </is>
      </c>
      <c r="G316" t="inlineStr">
        <is>
          <t>electricity, medium voltage</t>
        </is>
      </c>
      <c r="H316" t="inlineStr"/>
      <c r="I316" t="n">
        <v>0</v>
      </c>
      <c r="J316" s="3" t="n"/>
    </row>
    <row r="317">
      <c r="A317" t="inlineStr">
        <is>
          <t>municipal waste incineration, at incineration plant, with wet air pollution control, with flue gas condensation, with electricity and optimized heat recovery, with carbon capture and storage</t>
        </is>
      </c>
      <c r="B317" t="n">
        <v>8510</v>
      </c>
      <c r="C317" t="inlineStr">
        <is>
          <t>RER</t>
        </is>
      </c>
      <c r="D317" t="inlineStr">
        <is>
          <t>megajoule</t>
        </is>
      </c>
      <c r="F317" t="inlineStr">
        <is>
          <t>production</t>
        </is>
      </c>
      <c r="G317" t="inlineStr">
        <is>
          <t>heat, district or industrial, other than natural gas</t>
        </is>
      </c>
      <c r="H317" t="inlineStr"/>
      <c r="I317" t="n">
        <v>0</v>
      </c>
      <c r="J317" s="3" t="n"/>
    </row>
    <row r="318">
      <c r="A318" t="inlineStr">
        <is>
          <t>market for diesel, low-sulfur</t>
        </is>
      </c>
      <c r="B318">
        <f>0.1*0.85</f>
        <v>8.5000000000000006E-2</v>
      </c>
      <c r="C318" t="inlineStr">
        <is>
          <t>Europe without Switzerland</t>
        </is>
      </c>
      <c r="D318" t="inlineStr">
        <is>
          <t>kilogram</t>
        </is>
      </c>
      <c r="F318" t="inlineStr">
        <is>
          <t>technosphere</t>
        </is>
      </c>
      <c r="G318" t="inlineStr">
        <is>
          <t>diesel, low-sulfur</t>
        </is>
      </c>
      <c r="H318" t="inlineStr">
        <is>
          <t>Diesel density: 0.85 kg/l</t>
        </is>
      </c>
      <c r="I318" t="n">
        <v>2</v>
      </c>
      <c r="J318" s="3">
        <f>LN(B318)</f>
        <v>-2.4651040224918206</v>
      </c>
      <c r="K318" t="n">
        <v>1</v>
      </c>
      <c r="L318" t="n">
        <v>1</v>
      </c>
      <c r="M318" t="n">
        <v>1</v>
      </c>
      <c r="N318" t="n">
        <v>1.02</v>
      </c>
      <c r="O318" t="n">
        <v>1.2</v>
      </c>
      <c r="P318" t="n">
        <v>1</v>
      </c>
      <c r="Q318" t="n">
        <v>1.05</v>
      </c>
      <c r="R318">
        <f>LN(SQRT(EXP(
SQRT(
+POWER(LN(K318),2)
+POWER(LN(L318),2)
+POWER(LN(M318),2)
+POWER(LN(N318),2)
+POWER(LN(O318),2)
+POWER(LN(P318),2)
+POWER(LN(Q318),2)
)
)))</f>
        <v>9.4886477223156879E-2</v>
      </c>
    </row>
    <row r="319">
      <c r="A319" t="inlineStr">
        <is>
          <t>market for activated carbon, granular</t>
        </is>
      </c>
      <c r="B319" t="n">
        <v>0.4</v>
      </c>
      <c r="C319" t="inlineStr">
        <is>
          <t>GLO</t>
        </is>
      </c>
      <c r="D319" t="inlineStr">
        <is>
          <t>kilogram</t>
        </is>
      </c>
      <c r="F319" t="inlineStr">
        <is>
          <t>technosphere</t>
        </is>
      </c>
      <c r="G319" t="inlineStr">
        <is>
          <t>activated carbon, granular</t>
        </is>
      </c>
      <c r="I319" t="n">
        <v>2</v>
      </c>
      <c r="J319" s="3">
        <f>LN(B319)</f>
        <v>-0.916290731874155</v>
      </c>
      <c r="K319" t="n">
        <v>1</v>
      </c>
      <c r="L319" t="n">
        <v>1</v>
      </c>
      <c r="M319" t="n">
        <v>1</v>
      </c>
      <c r="N319" t="n">
        <v>1.02</v>
      </c>
      <c r="O319" t="n">
        <v>1.2</v>
      </c>
      <c r="P319" t="n">
        <v>1</v>
      </c>
      <c r="Q319" t="n">
        <v>1.05</v>
      </c>
      <c r="R319">
        <f>LN(SQRT(EXP(
SQRT(
+POWER(LN(K319),2)
+POWER(LN(L319),2)
+POWER(LN(M319),2)
+POWER(LN(N319),2)
+POWER(LN(O319),2)
+POWER(LN(P319),2)
+POWER(LN(Q319),2)
)
)))</f>
        <v>9.4886477223156879E-2</v>
      </c>
    </row>
    <row r="320">
      <c r="A320" t="inlineStr">
        <is>
          <t>market for ammonia, anhydrous, liquid</t>
        </is>
      </c>
      <c r="B320">
        <f>4*24.5%</f>
        <v>0.98</v>
      </c>
      <c r="C320" t="inlineStr">
        <is>
          <t>RER</t>
        </is>
      </c>
      <c r="D320" t="inlineStr">
        <is>
          <t>kilogram</t>
        </is>
      </c>
      <c r="F320" t="inlineStr">
        <is>
          <t>technosphere</t>
        </is>
      </c>
      <c r="G320" t="inlineStr">
        <is>
          <t>ammonia, anhydrous, liquid</t>
        </is>
      </c>
      <c r="H320" t="inlineStr">
        <is>
          <t>100% liquid ammonia. In original publication, it is dilluated to 23.5% in water. We discount the original value by 75%.</t>
        </is>
      </c>
      <c r="I320" t="n">
        <v>2</v>
      </c>
      <c r="J320" s="3">
        <f>LN(B320)</f>
        <v>-2.0202707317519466E-2</v>
      </c>
      <c r="K320" t="n">
        <v>1</v>
      </c>
      <c r="L320" t="n">
        <v>1</v>
      </c>
      <c r="M320" t="n">
        <v>1</v>
      </c>
      <c r="N320" t="n">
        <v>1.02</v>
      </c>
      <c r="O320" t="n">
        <v>1.2</v>
      </c>
      <c r="P320" t="n">
        <v>1</v>
      </c>
      <c r="Q320" t="n">
        <v>1.05</v>
      </c>
      <c r="R320">
        <f>LN(SQRT(EXP(
SQRT(
+POWER(LN(K320),2)
+POWER(LN(L320),2)
+POWER(LN(M320),2)
+POWER(LN(N320),2)
+POWER(LN(O320),2)
+POWER(LN(P320),2)
+POWER(LN(Q320),2)
)
)))</f>
        <v>9.4886477223156879E-2</v>
      </c>
    </row>
    <row r="321">
      <c r="A321" t="inlineStr">
        <is>
          <t>market for tap water</t>
        </is>
      </c>
      <c r="B321">
        <f>4-B320</f>
        <v>3.02</v>
      </c>
      <c r="C321" t="inlineStr">
        <is>
          <t>Europe without Switzerland</t>
        </is>
      </c>
      <c r="D321" t="inlineStr">
        <is>
          <t>kilogram</t>
        </is>
      </c>
      <c r="F321" t="inlineStr">
        <is>
          <t>technosphere</t>
        </is>
      </c>
      <c r="H321" t="inlineStr">
        <is>
          <t>Used to dilute the ammonia.</t>
        </is>
      </c>
      <c r="I321" t="n">
        <v>2</v>
      </c>
      <c r="J321" s="3">
        <f>LN(B321)</f>
        <v>1.1052568313867783</v>
      </c>
      <c r="K321" t="n">
        <v>1</v>
      </c>
      <c r="L321" t="n">
        <v>1</v>
      </c>
      <c r="M321" t="n">
        <v>1</v>
      </c>
      <c r="N321" t="n">
        <v>1.02</v>
      </c>
      <c r="O321" t="n">
        <v>1.2</v>
      </c>
      <c r="P321" t="n">
        <v>1</v>
      </c>
      <c r="Q321" t="n">
        <v>1.05</v>
      </c>
      <c r="R321">
        <f>LN(SQRT(EXP(
SQRT(
+POWER(LN(K321),2)
+POWER(LN(L321),2)
+POWER(LN(M321),2)
+POWER(LN(N321),2)
+POWER(LN(O321),2)
+POWER(LN(P321),2)
+POWER(LN(Q321),2)
)
)))</f>
        <v>9.4886477223156879E-2</v>
      </c>
    </row>
    <row r="322">
      <c r="A322" t="inlineStr">
        <is>
          <t>market for calcium carbonate, precipitated</t>
        </is>
      </c>
      <c r="B322" t="n">
        <v>7</v>
      </c>
      <c r="C322" t="inlineStr">
        <is>
          <t>RER</t>
        </is>
      </c>
      <c r="D322" t="inlineStr">
        <is>
          <t>kilogram</t>
        </is>
      </c>
      <c r="F322" t="inlineStr">
        <is>
          <t>technosphere</t>
        </is>
      </c>
      <c r="G322" t="inlineStr">
        <is>
          <t>calcium carbonate, precipitated</t>
        </is>
      </c>
      <c r="I322" t="n">
        <v>0</v>
      </c>
      <c r="J322" s="3" t="n"/>
    </row>
    <row r="323">
      <c r="A323" t="inlineStr">
        <is>
          <t>market for iron(III) chloride, without water, in 40% solution state</t>
        </is>
      </c>
      <c r="B323" t="n">
        <v>0.05</v>
      </c>
      <c r="C323" t="inlineStr">
        <is>
          <t>RER</t>
        </is>
      </c>
      <c r="D323" t="inlineStr">
        <is>
          <t>kilogram</t>
        </is>
      </c>
      <c r="F323" t="inlineStr">
        <is>
          <t>technosphere</t>
        </is>
      </c>
      <c r="G323" t="inlineStr">
        <is>
          <t>iron(III) chloride, without water, in 40% solution state</t>
        </is>
      </c>
      <c r="I323" t="n">
        <v>0</v>
      </c>
      <c r="J323" s="3" t="n"/>
    </row>
    <row r="324">
      <c r="A324" t="inlineStr">
        <is>
          <t>market for lime, hydrated, packed</t>
        </is>
      </c>
      <c r="B324" t="n">
        <v>0</v>
      </c>
      <c r="C324" t="inlineStr">
        <is>
          <t>RER</t>
        </is>
      </c>
      <c r="D324" t="inlineStr">
        <is>
          <t>kilogram</t>
        </is>
      </c>
      <c r="F324" t="inlineStr">
        <is>
          <t>technosphere</t>
        </is>
      </c>
      <c r="G324" t="inlineStr">
        <is>
          <t>lime, hydrated, packed</t>
        </is>
      </c>
      <c r="I324" t="n">
        <v>0</v>
      </c>
      <c r="J324" s="3" t="n"/>
    </row>
    <row r="325">
      <c r="A325" t="inlineStr">
        <is>
          <t>market for sodium hydroxide, without water, in 50% solution state</t>
        </is>
      </c>
      <c r="B325" t="n">
        <v>0.5</v>
      </c>
      <c r="C325" t="inlineStr">
        <is>
          <t>RER</t>
        </is>
      </c>
      <c r="D325" t="inlineStr">
        <is>
          <t>kilogram</t>
        </is>
      </c>
      <c r="F325" t="inlineStr">
        <is>
          <t>technosphere</t>
        </is>
      </c>
      <c r="G325" t="inlineStr">
        <is>
          <t>sodium hydroxide, without water, in 50% solution state</t>
        </is>
      </c>
      <c r="H325" t="inlineStr">
        <is>
          <t>50% liquid ammonia. In original publication, it is dilluated to 27% in water. We discount the original value by 50%.</t>
        </is>
      </c>
      <c r="I325" t="n">
        <v>0</v>
      </c>
      <c r="J325" s="3" t="n"/>
    </row>
    <row r="326">
      <c r="A326" t="inlineStr">
        <is>
          <t>market for monoethanolamine</t>
        </is>
      </c>
      <c r="B326" t="n">
        <v>4</v>
      </c>
      <c r="C326" t="inlineStr">
        <is>
          <t>GLO</t>
        </is>
      </c>
      <c r="D326" t="inlineStr">
        <is>
          <t>kilogram</t>
        </is>
      </c>
      <c r="F326" t="inlineStr">
        <is>
          <t>technosphere</t>
        </is>
      </c>
      <c r="G326" t="inlineStr">
        <is>
          <t>monoethanolamine</t>
        </is>
      </c>
      <c r="I326" t="n">
        <v>0</v>
      </c>
      <c r="J326" s="3" t="n"/>
    </row>
    <row r="327">
      <c r="A327" t="inlineStr">
        <is>
          <t>municipal waste incineration facility construction</t>
        </is>
      </c>
      <c r="B327" s="8" t="n">
        <v>2.5e-07</v>
      </c>
      <c r="C327" t="inlineStr">
        <is>
          <t>CH</t>
        </is>
      </c>
      <c r="D327" t="inlineStr">
        <is>
          <t>unit</t>
        </is>
      </c>
      <c r="F327" t="inlineStr">
        <is>
          <t>technosphere</t>
        </is>
      </c>
      <c r="G327" t="inlineStr">
        <is>
          <t>municipal waste incineration facility</t>
        </is>
      </c>
      <c r="H327" t="inlineStr">
        <is>
          <t>Lifetime: 4'000'000 tons MSWI treated.</t>
        </is>
      </c>
      <c r="I327" t="n">
        <v>2</v>
      </c>
      <c r="J327" s="3">
        <f>LN(B327)</f>
        <v>-15.201804919084164</v>
      </c>
      <c r="K327" t="n">
        <v>1</v>
      </c>
      <c r="L327" t="n">
        <v>1</v>
      </c>
      <c r="M327" t="n">
        <v>1</v>
      </c>
      <c r="N327" t="n">
        <v>1.02</v>
      </c>
      <c r="O327" t="n">
        <v>1.2</v>
      </c>
      <c r="P327" t="n">
        <v>1</v>
      </c>
      <c r="Q327" t="n">
        <v>3</v>
      </c>
      <c r="R327">
        <f>LN(SQRT(EXP(
SQRT(
+POWER(LN(K327),2)
+POWER(LN(L327),2)
+POWER(LN(M327),2)
+POWER(LN(N327),2)
+POWER(LN(O327),2)
+POWER(LN(P327),2)
+POWER(LN(Q327),2)
)
)))</f>
        <v>0.5569071410325479</v>
      </c>
    </row>
    <row r="328">
      <c r="A328" t="inlineStr">
        <is>
          <t>carbon dioxide storage at wood burning power plant 20 MW post, pipeline 200km, storage 1000m</t>
        </is>
      </c>
      <c r="B328" s="6">
        <f>SUM(374,594)-SUM(B340:B341)</f>
        <v>823</v>
      </c>
      <c r="C328" t="inlineStr">
        <is>
          <t>RER</t>
        </is>
      </c>
      <c r="D328" t="inlineStr">
        <is>
          <t>kilogram</t>
        </is>
      </c>
      <c r="F328" t="inlineStr">
        <is>
          <t>technosphere</t>
        </is>
      </c>
      <c r="G328" t="inlineStr">
        <is>
          <t>carbon dioxide storage at wood burning power plant 20 MW post, pipeline 200km, storage 1000m</t>
        </is>
      </c>
      <c r="I328" t="n">
        <v>2</v>
      </c>
      <c r="J328" s="3">
        <f>LN(B328)</f>
        <v>6.7129562006770698</v>
      </c>
      <c r="K328" t="n">
        <v>1</v>
      </c>
      <c r="L328" t="n">
        <v>1</v>
      </c>
      <c r="M328" t="n">
        <v>1</v>
      </c>
      <c r="N328" t="n">
        <v>1.02</v>
      </c>
      <c r="O328" t="n">
        <v>1.2</v>
      </c>
      <c r="P328" t="n">
        <v>1</v>
      </c>
      <c r="Q328" t="n">
        <v>3</v>
      </c>
      <c r="R328">
        <f>LN(SQRT(EXP(
SQRT(
+POWER(LN(K328),2)
+POWER(LN(L328),2)
+POWER(LN(M328),2)
+POWER(LN(N328),2)
+POWER(LN(O328),2)
+POWER(LN(P328),2)
+POWER(LN(Q328),2)
)
)))</f>
        <v>0.5569071410325479</v>
      </c>
    </row>
    <row r="329">
      <c r="A329" t="inlineStr">
        <is>
          <t>Water, cooling, unspecified natural origin</t>
        </is>
      </c>
      <c r="B329" t="n">
        <v>0</v>
      </c>
      <c r="D329" t="inlineStr">
        <is>
          <t>cubic meter</t>
        </is>
      </c>
      <c r="F329" t="inlineStr">
        <is>
          <t>biosphere</t>
        </is>
      </c>
      <c r="I329" t="n">
        <v>0</v>
      </c>
      <c r="J329" s="3" t="n"/>
    </row>
    <row r="330">
      <c r="A330" t="inlineStr">
        <is>
          <t>Sulfur dioxide</t>
        </is>
      </c>
      <c r="B330" t="n">
        <v>0.006</v>
      </c>
      <c r="D330" t="inlineStr">
        <is>
          <t>kilogram</t>
        </is>
      </c>
      <c r="E330" t="inlineStr">
        <is>
          <t>air::urban air close to ground</t>
        </is>
      </c>
      <c r="F330" t="inlineStr">
        <is>
          <t>biosphere</t>
        </is>
      </c>
      <c r="I330" t="n">
        <v>2</v>
      </c>
      <c r="J330" s="3">
        <f>LN(B330)</f>
        <v>-5.1159958097540823</v>
      </c>
      <c r="K330" t="n">
        <v>1</v>
      </c>
      <c r="L330" t="n">
        <v>1</v>
      </c>
      <c r="M330" t="n">
        <v>1</v>
      </c>
      <c r="N330" t="n">
        <v>1.02</v>
      </c>
      <c r="O330" t="n">
        <v>1.2</v>
      </c>
      <c r="P330" t="n">
        <v>1</v>
      </c>
      <c r="Q330" t="n">
        <v>1.05</v>
      </c>
      <c r="R330">
        <f>LN(SQRT(EXP(
SQRT(
+POWER(LN(K330),2)
+POWER(LN(L330),2)
+POWER(LN(M330),2)
+POWER(LN(N330),2)
+POWER(LN(O330),2)
+POWER(LN(P330),2)
+POWER(LN(Q330),2)
)
)))</f>
        <v>9.4886477223156879E-2</v>
      </c>
    </row>
    <row r="331">
      <c r="A331" t="inlineStr">
        <is>
          <t>Hydrochloric acid</t>
        </is>
      </c>
      <c r="B331" t="n">
        <v>0.003</v>
      </c>
      <c r="D331" t="inlineStr">
        <is>
          <t>kilogram</t>
        </is>
      </c>
      <c r="E331" t="inlineStr">
        <is>
          <t>air::urban air close to ground</t>
        </is>
      </c>
      <c r="F331" t="inlineStr">
        <is>
          <t>biosphere</t>
        </is>
      </c>
      <c r="I331" t="n">
        <v>2</v>
      </c>
      <c r="J331" s="3">
        <f>LN(B331)</f>
        <v>-5.8091429903140277</v>
      </c>
      <c r="K331" t="n">
        <v>1</v>
      </c>
      <c r="L331" t="n">
        <v>1</v>
      </c>
      <c r="M331" t="n">
        <v>1</v>
      </c>
      <c r="N331" t="n">
        <v>1.02</v>
      </c>
      <c r="O331" t="n">
        <v>1.2</v>
      </c>
      <c r="P331" t="n">
        <v>1</v>
      </c>
      <c r="Q331" t="n">
        <v>1.5</v>
      </c>
      <c r="R331">
        <f>LN(SQRT(EXP(
SQRT(
+POWER(LN(K331),2)
+POWER(LN(L331),2)
+POWER(LN(M331),2)
+POWER(LN(N331),2)
+POWER(LN(O331),2)
+POWER(LN(P331),2)
+POWER(LN(Q331),2)
)
)))</f>
        <v>0.22250575723605889</v>
      </c>
    </row>
    <row r="332">
      <c r="A332" t="inlineStr">
        <is>
          <t>Nitrogen oxides</t>
        </is>
      </c>
      <c r="B332" t="n">
        <v>0.677</v>
      </c>
      <c r="D332" t="inlineStr">
        <is>
          <t>kilogram</t>
        </is>
      </c>
      <c r="E332" t="inlineStr">
        <is>
          <t>air::urban air close to ground</t>
        </is>
      </c>
      <c r="F332" t="inlineStr">
        <is>
          <t>biosphere</t>
        </is>
      </c>
      <c r="I332" t="n">
        <v>2</v>
      </c>
      <c r="J332" s="3">
        <f>LN(B332)</f>
        <v>-0.39008400606986199</v>
      </c>
      <c r="K332" t="n">
        <v>1</v>
      </c>
      <c r="L332" t="n">
        <v>1</v>
      </c>
      <c r="M332" t="n">
        <v>1</v>
      </c>
      <c r="N332" t="n">
        <v>1.02</v>
      </c>
      <c r="O332" t="n">
        <v>1.2</v>
      </c>
      <c r="P332" t="n">
        <v>1</v>
      </c>
      <c r="Q332" t="n">
        <v>1.5</v>
      </c>
      <c r="R332">
        <f>LN(SQRT(EXP(
SQRT(
+POWER(LN(K332),2)
+POWER(LN(L332),2)
+POWER(LN(M332),2)
+POWER(LN(N332),2)
+POWER(LN(O332),2)
+POWER(LN(P332),2)
+POWER(LN(Q332),2)
)
)))</f>
        <v>0.22250575723605889</v>
      </c>
    </row>
    <row r="333">
      <c r="A333" t="inlineStr">
        <is>
          <t>Ammonia</t>
        </is>
      </c>
      <c r="B333" t="n">
        <v>0.02</v>
      </c>
      <c r="D333" t="inlineStr">
        <is>
          <t>kilogram</t>
        </is>
      </c>
      <c r="E333" t="inlineStr">
        <is>
          <t>air::urban air close to ground</t>
        </is>
      </c>
      <c r="F333" t="inlineStr">
        <is>
          <t>biosphere</t>
        </is>
      </c>
      <c r="I333" t="n">
        <v>2</v>
      </c>
      <c r="J333" s="3">
        <f>LN(B333)</f>
        <v>-3.912023005428146</v>
      </c>
      <c r="K333" t="n">
        <v>1</v>
      </c>
      <c r="L333" t="n">
        <v>1</v>
      </c>
      <c r="M333" t="n">
        <v>1</v>
      </c>
      <c r="N333" t="n">
        <v>1.02</v>
      </c>
      <c r="O333" t="n">
        <v>1.2</v>
      </c>
      <c r="P333" t="n">
        <v>1</v>
      </c>
      <c r="Q333" t="n">
        <v>1.5</v>
      </c>
      <c r="R333">
        <f>LN(SQRT(EXP(
SQRT(
+POWER(LN(K333),2)
+POWER(LN(L333),2)
+POWER(LN(M333),2)
+POWER(LN(N333),2)
+POWER(LN(O333),2)
+POWER(LN(P333),2)
+POWER(LN(Q333),2)
)
)))</f>
        <v>0.22250575723605889</v>
      </c>
    </row>
    <row r="334">
      <c r="A334" t="inlineStr">
        <is>
          <t>Particulate Matter, &lt; 2.5 um</t>
        </is>
      </c>
      <c r="B334" t="n">
        <v>0.006</v>
      </c>
      <c r="D334" t="inlineStr">
        <is>
          <t>kilogram</t>
        </is>
      </c>
      <c r="E334" t="inlineStr">
        <is>
          <t>air::urban air close to ground</t>
        </is>
      </c>
      <c r="F334" t="inlineStr">
        <is>
          <t>biosphere</t>
        </is>
      </c>
      <c r="I334" t="n">
        <v>2</v>
      </c>
      <c r="J334" s="3">
        <f>LN(B334)</f>
        <v>-5.1159958097540823</v>
      </c>
      <c r="K334" t="n">
        <v>1</v>
      </c>
      <c r="L334" t="n">
        <v>1</v>
      </c>
      <c r="M334" t="n">
        <v>1</v>
      </c>
      <c r="N334" t="n">
        <v>1.02</v>
      </c>
      <c r="O334" t="n">
        <v>1.2</v>
      </c>
      <c r="P334" t="n">
        <v>1</v>
      </c>
      <c r="Q334" t="n">
        <v>3</v>
      </c>
      <c r="R334">
        <f>LN(SQRT(EXP(
SQRT(
+POWER(LN(K334),2)
+POWER(LN(L334),2)
+POWER(LN(M334),2)
+POWER(LN(N334),2)
+POWER(LN(O334),2)
+POWER(LN(P334),2)
+POWER(LN(Q334),2)
)
)))</f>
        <v>0.5569071410325479</v>
      </c>
    </row>
    <row r="335">
      <c r="A335" t="inlineStr">
        <is>
          <t>Mercury II</t>
        </is>
      </c>
      <c r="B335" t="n">
        <v>6e-06</v>
      </c>
      <c r="D335" t="inlineStr">
        <is>
          <t>kilogram</t>
        </is>
      </c>
      <c r="E335" t="inlineStr">
        <is>
          <t>air::urban air close to ground</t>
        </is>
      </c>
      <c r="F335" t="inlineStr">
        <is>
          <t>biosphere</t>
        </is>
      </c>
      <c r="I335" t="n">
        <v>2</v>
      </c>
      <c r="J335" s="3">
        <f>LN(B335)</f>
        <v>-12.023751088736219</v>
      </c>
      <c r="K335" t="n">
        <v>1</v>
      </c>
      <c r="L335" t="n">
        <v>1</v>
      </c>
      <c r="M335" t="n">
        <v>1</v>
      </c>
      <c r="N335" t="n">
        <v>1.02</v>
      </c>
      <c r="O335" t="n">
        <v>1.2</v>
      </c>
      <c r="P335" t="n">
        <v>1</v>
      </c>
      <c r="Q335" t="n">
        <v>5</v>
      </c>
      <c r="R335">
        <f>LN(SQRT(EXP(
SQRT(
+POWER(LN(K335),2)
+POWER(LN(L335),2)
+POWER(LN(M335),2)
+POWER(LN(N335),2)
+POWER(LN(O335),2)
+POWER(LN(P335),2)
+POWER(LN(Q335),2)
)
)))</f>
        <v>0.80992649174166365</v>
      </c>
    </row>
    <row r="336">
      <c r="A336" t="inlineStr">
        <is>
          <t>Lead II</t>
        </is>
      </c>
      <c r="B336" t="n">
        <v>6e-06</v>
      </c>
      <c r="D336" t="inlineStr">
        <is>
          <t>kilogram</t>
        </is>
      </c>
      <c r="E336" t="inlineStr">
        <is>
          <t>air::urban air close to ground</t>
        </is>
      </c>
      <c r="F336" t="inlineStr">
        <is>
          <t>biosphere</t>
        </is>
      </c>
      <c r="I336" t="n">
        <v>2</v>
      </c>
      <c r="J336" s="3">
        <f>LN(B336)</f>
        <v>-12.023751088736219</v>
      </c>
      <c r="K336" t="n">
        <v>1</v>
      </c>
      <c r="L336" t="n">
        <v>1</v>
      </c>
      <c r="M336" t="n">
        <v>1</v>
      </c>
      <c r="N336" t="n">
        <v>1.02</v>
      </c>
      <c r="O336" t="n">
        <v>1.2</v>
      </c>
      <c r="P336" t="n">
        <v>1</v>
      </c>
      <c r="Q336" t="n">
        <v>5</v>
      </c>
      <c r="R336">
        <f>LN(SQRT(EXP(
SQRT(
+POWER(LN(K336),2)
+POWER(LN(L336),2)
+POWER(LN(M336),2)
+POWER(LN(N336),2)
+POWER(LN(O336),2)
+POWER(LN(P336),2)
+POWER(LN(Q336),2)
)
)))</f>
        <v>0.80992649174166365</v>
      </c>
    </row>
    <row r="337">
      <c r="A337" t="inlineStr">
        <is>
          <t>Cadmium II</t>
        </is>
      </c>
      <c r="B337" t="n">
        <v>3e-06</v>
      </c>
      <c r="D337" t="inlineStr">
        <is>
          <t>kilogram</t>
        </is>
      </c>
      <c r="E337" t="inlineStr">
        <is>
          <t>air::urban air close to ground</t>
        </is>
      </c>
      <c r="F337" t="inlineStr">
        <is>
          <t>biosphere</t>
        </is>
      </c>
      <c r="I337" t="n">
        <v>2</v>
      </c>
      <c r="J337" s="3">
        <f>LN(B337)</f>
        <v>-12.716898269296165</v>
      </c>
      <c r="K337" t="n">
        <v>1</v>
      </c>
      <c r="L337" t="n">
        <v>1</v>
      </c>
      <c r="M337" t="n">
        <v>1</v>
      </c>
      <c r="N337" t="n">
        <v>1.02</v>
      </c>
      <c r="O337" t="n">
        <v>1.2</v>
      </c>
      <c r="P337" t="n">
        <v>1</v>
      </c>
      <c r="Q337" t="n">
        <v>5</v>
      </c>
      <c r="R337">
        <f>LN(SQRT(EXP(
SQRT(
+POWER(LN(K337),2)
+POWER(LN(L337),2)
+POWER(LN(M337),2)
+POWER(LN(N337),2)
+POWER(LN(O337),2)
+POWER(LN(P337),2)
+POWER(LN(Q337),2)
)
)))</f>
        <v>0.80992649174166365</v>
      </c>
    </row>
    <row r="338">
      <c r="A338" t="inlineStr">
        <is>
          <t>Arsenic ion</t>
        </is>
      </c>
      <c r="B338" t="n">
        <v>3e-06</v>
      </c>
      <c r="D338" t="inlineStr">
        <is>
          <t>kilogram</t>
        </is>
      </c>
      <c r="E338" t="inlineStr">
        <is>
          <t>air::urban air close to ground</t>
        </is>
      </c>
      <c r="F338" t="inlineStr">
        <is>
          <t>biosphere</t>
        </is>
      </c>
      <c r="I338" t="n">
        <v>2</v>
      </c>
      <c r="J338" s="3">
        <f>LN(B338)</f>
        <v>-12.716898269296165</v>
      </c>
      <c r="K338" t="n">
        <v>1</v>
      </c>
      <c r="L338" t="n">
        <v>1</v>
      </c>
      <c r="M338" t="n">
        <v>1</v>
      </c>
      <c r="N338" t="n">
        <v>1.02</v>
      </c>
      <c r="O338" t="n">
        <v>1.2</v>
      </c>
      <c r="P338" t="n">
        <v>1</v>
      </c>
      <c r="Q338" t="n">
        <v>5</v>
      </c>
      <c r="R338">
        <f>LN(SQRT(EXP(
SQRT(
+POWER(LN(K338),2)
+POWER(LN(L338),2)
+POWER(LN(M338),2)
+POWER(LN(N338),2)
+POWER(LN(O338),2)
+POWER(LN(P338),2)
+POWER(LN(Q338),2)
)
)))</f>
        <v>0.80992649174166365</v>
      </c>
    </row>
    <row r="339">
      <c r="A339" t="inlineStr">
        <is>
          <t>Dioxins, measured as 2,3,7,8-tetrachlorodibenzo-p-dioxin</t>
        </is>
      </c>
      <c r="B339">
        <f>0.11*0.000000001</f>
        <v>1.1000000000000001E-10</v>
      </c>
      <c r="D339" t="inlineStr">
        <is>
          <t>kilogram</t>
        </is>
      </c>
      <c r="E339" t="inlineStr">
        <is>
          <t>air::urban air close to ground</t>
        </is>
      </c>
      <c r="F339" t="inlineStr">
        <is>
          <t>biosphere</t>
        </is>
      </c>
      <c r="I339" t="n">
        <v>2</v>
      </c>
      <c r="J339" s="3">
        <f>LN(B339)</f>
        <v>-22.930540750136132</v>
      </c>
      <c r="K339" t="n">
        <v>1</v>
      </c>
      <c r="L339" t="n">
        <v>1</v>
      </c>
      <c r="M339" t="n">
        <v>1</v>
      </c>
      <c r="N339" t="n">
        <v>1.02</v>
      </c>
      <c r="O339" t="n">
        <v>1.2</v>
      </c>
      <c r="P339" t="n">
        <v>1</v>
      </c>
      <c r="Q339" t="n">
        <v>5</v>
      </c>
      <c r="R339">
        <f>LN(SQRT(EXP(
SQRT(
+POWER(LN(K339),2)
+POWER(LN(L339),2)
+POWER(LN(M339),2)
+POWER(LN(N339),2)
+POWER(LN(O339),2)
+POWER(LN(P339),2)
+POWER(LN(Q339),2)
)
)))</f>
        <v>0.80992649174166365</v>
      </c>
    </row>
    <row r="340">
      <c r="A340" t="inlineStr">
        <is>
          <t>Carbon dioxide, fossil</t>
        </is>
      </c>
      <c r="B340" t="n">
        <v>56</v>
      </c>
      <c r="D340" t="inlineStr">
        <is>
          <t>kilogram</t>
        </is>
      </c>
      <c r="E340" t="inlineStr">
        <is>
          <t>air::urban air close to ground</t>
        </is>
      </c>
      <c r="F340" t="inlineStr">
        <is>
          <t>biosphere</t>
        </is>
      </c>
      <c r="I340" t="n">
        <v>2</v>
      </c>
      <c r="J340" s="3">
        <f>LN(B340)</f>
        <v>4.0253516907351496</v>
      </c>
      <c r="K340" t="n">
        <v>1</v>
      </c>
      <c r="L340" t="n">
        <v>1</v>
      </c>
      <c r="M340" t="n">
        <v>1</v>
      </c>
      <c r="N340" t="n">
        <v>1.02</v>
      </c>
      <c r="O340" t="n">
        <v>1.2</v>
      </c>
      <c r="P340" t="n">
        <v>1</v>
      </c>
      <c r="Q340" t="n">
        <v>1.05</v>
      </c>
      <c r="R340">
        <f>LN(SQRT(EXP(
SQRT(
+POWER(LN(K340),2)
+POWER(LN(L340),2)
+POWER(LN(M340),2)
+POWER(LN(N340),2)
+POWER(LN(O340),2)
+POWER(LN(P340),2)
+POWER(LN(Q340),2)
)
)))</f>
        <v>9.4886477223156879E-2</v>
      </c>
    </row>
    <row r="341">
      <c r="A341" t="inlineStr">
        <is>
          <t>Carbon dioxide, non-fossil</t>
        </is>
      </c>
      <c r="B341" t="n">
        <v>89</v>
      </c>
      <c r="D341" t="inlineStr">
        <is>
          <t>kilogram</t>
        </is>
      </c>
      <c r="E341" t="inlineStr">
        <is>
          <t>air::urban air close to ground</t>
        </is>
      </c>
      <c r="F341" t="inlineStr">
        <is>
          <t>biosphere</t>
        </is>
      </c>
      <c r="I341" t="n">
        <v>2</v>
      </c>
      <c r="J341" s="3">
        <f>LN(B341)</f>
        <v>4.4886363697321396</v>
      </c>
      <c r="K341" t="n">
        <v>1</v>
      </c>
      <c r="L341" t="n">
        <v>1</v>
      </c>
      <c r="M341" t="n">
        <v>1</v>
      </c>
      <c r="N341" t="n">
        <v>1.02</v>
      </c>
      <c r="O341" t="n">
        <v>1.2</v>
      </c>
      <c r="P341" t="n">
        <v>1</v>
      </c>
      <c r="Q341" t="n">
        <v>1.05</v>
      </c>
      <c r="R341">
        <f>LN(SQRT(EXP(
SQRT(
+POWER(LN(K341),2)
+POWER(LN(L341),2)
+POWER(LN(M341),2)
+POWER(LN(N341),2)
+POWER(LN(O341),2)
+POWER(LN(P341),2)
+POWER(LN(Q341),2)
)
)))</f>
        <v>9.4886477223156879E-2</v>
      </c>
    </row>
    <row r="342">
      <c r="A342" t="inlineStr">
        <is>
          <t>Carbon dioxide, in air</t>
        </is>
      </c>
      <c r="B342">
        <f>594-89</f>
        <v>505</v>
      </c>
      <c r="D342" t="inlineStr">
        <is>
          <t>kilogram</t>
        </is>
      </c>
      <c r="E342" t="inlineStr">
        <is>
          <t>natural resource::in air</t>
        </is>
      </c>
      <c r="H342" t="inlineStr">
        <is>
          <t>To reflect the permanent storage of non-fossil CO.</t>
        </is>
      </c>
      <c r="I342" t="n">
        <v>2</v>
      </c>
      <c r="J342" s="3">
        <f>LN(B342)</f>
        <v>6.2245584292753602</v>
      </c>
      <c r="K342" t="n">
        <v>1</v>
      </c>
      <c r="L342" t="n">
        <v>1</v>
      </c>
      <c r="M342" t="n">
        <v>1</v>
      </c>
      <c r="N342" t="n">
        <v>1.02</v>
      </c>
      <c r="O342" t="n">
        <v>1.2</v>
      </c>
      <c r="P342" t="n">
        <v>1</v>
      </c>
      <c r="Q342" t="n">
        <v>1.05</v>
      </c>
      <c r="R342">
        <f>LN(SQRT(EXP(
SQRT(
+POWER(LN(K342),2)
+POWER(LN(L342),2)
+POWER(LN(M342),2)
+POWER(LN(N342),2)
+POWER(LN(O342),2)
+POWER(LN(P342),2)
+POWER(LN(Q342),2)
)
)))</f>
        <v>9.4886477223156879E-2</v>
      </c>
    </row>
  </sheetData>
  <autoFilter ref="A1:S34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9"/>
  <sheetViews>
    <sheetView tabSelected="1" workbookViewId="0">
      <selection activeCell="H8" sqref="H8"/>
    </sheetView>
  </sheetViews>
  <sheetFormatPr baseColWidth="10" defaultRowHeight="16"/>
  <cols>
    <col width="68.33203125" customWidth="1" min="1" max="1"/>
    <col width="11.1640625" bestFit="1" customWidth="1" min="2" max="2"/>
    <col width="15.1640625" customWidth="1" min="6" max="6"/>
    <col width="29.6640625" customWidth="1" min="7" max="7"/>
    <col width="31.5" customWidth="1" min="8" max="8"/>
    <col width="14.33203125" bestFit="1" customWidth="1" min="9" max="9"/>
    <col width="11.33203125" bestFit="1" customWidth="1" min="10" max="10"/>
    <col width="11.1640625" bestFit="1" customWidth="1" min="12" max="12"/>
  </cols>
  <sheetData>
    <row r="1">
      <c r="A1" s="1" t="inlineStr">
        <is>
          <t>Activity</t>
        </is>
      </c>
      <c r="B1" s="1" t="inlineStr">
        <is>
          <t>municipal waste incineration, at incineration plant, with semi-dry air pollution control, without flue gas condensation, with electricity recovery only</t>
        </is>
      </c>
    </row>
    <row r="2">
      <c r="A2" t="inlineStr">
        <is>
          <t>location</t>
        </is>
      </c>
      <c r="B2" t="inlineStr">
        <is>
          <t>RER</t>
        </is>
      </c>
    </row>
    <row r="3">
      <c r="A3" t="inlineStr">
        <is>
          <t>production amount</t>
        </is>
      </c>
      <c r="B3" t="n">
        <v>1</v>
      </c>
    </row>
    <row r="4">
      <c r="A4" s="2" t="inlineStr">
        <is>
          <t>source</t>
        </is>
      </c>
      <c r="B4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5">
      <c r="A5" t="inlineStr">
        <is>
          <t>reference product</t>
        </is>
      </c>
      <c r="B5" t="inlineStr">
        <is>
          <t>municipal solid waste</t>
        </is>
      </c>
    </row>
    <row r="6">
      <c r="A6" t="inlineStr">
        <is>
          <t>type</t>
        </is>
      </c>
      <c r="B6" t="inlineStr">
        <is>
          <t>process</t>
        </is>
      </c>
    </row>
    <row r="7">
      <c r="A7" t="inlineStr">
        <is>
          <t>unit</t>
        </is>
      </c>
      <c r="B7" t="inlineStr">
        <is>
          <t>kilogram</t>
        </is>
      </c>
    </row>
    <row r="8">
      <c r="A8" t="inlineStr">
        <is>
          <t>comment</t>
        </is>
      </c>
      <c r="B8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No. Electricity production per ton MSWI incinerated: 739 kWh.</t>
        </is>
      </c>
    </row>
    <row r="9">
      <c r="A9" s="1" t="inlineStr">
        <is>
          <t>Exchanges</t>
        </is>
      </c>
    </row>
    <row r="10">
      <c r="A10" s="7" t="inlineStr">
        <is>
          <t>name</t>
        </is>
      </c>
      <c r="B10" s="7" t="inlineStr">
        <is>
          <t>amount</t>
        </is>
      </c>
      <c r="C10" s="7" t="inlineStr">
        <is>
          <t>location</t>
        </is>
      </c>
      <c r="D10" s="7" t="inlineStr">
        <is>
          <t>unit</t>
        </is>
      </c>
      <c r="E10" s="7" t="inlineStr">
        <is>
          <t>categories</t>
        </is>
      </c>
      <c r="F10" s="7" t="inlineStr">
        <is>
          <t>type</t>
        </is>
      </c>
      <c r="G10" s="7" t="inlineStr">
        <is>
          <t>reference product</t>
        </is>
      </c>
      <c r="H10" s="7" t="inlineStr">
        <is>
          <t>comment</t>
        </is>
      </c>
      <c r="I10" s="7" t="inlineStr">
        <is>
          <t>normalization</t>
        </is>
      </c>
      <c r="J10" s="7" t="inlineStr">
        <is>
          <t>uncertainty type</t>
        </is>
      </c>
      <c r="K10" s="7" t="inlineStr">
        <is>
          <t>loc</t>
        </is>
      </c>
      <c r="L10" s="1" t="inlineStr">
        <is>
          <t>u1</t>
        </is>
      </c>
      <c r="M10" s="1" t="inlineStr">
        <is>
          <t>u2</t>
        </is>
      </c>
      <c r="N10" s="1" t="inlineStr">
        <is>
          <t>u3</t>
        </is>
      </c>
      <c r="O10" s="1" t="inlineStr">
        <is>
          <t>u4</t>
        </is>
      </c>
      <c r="P10" s="1" t="inlineStr">
        <is>
          <t>u5</t>
        </is>
      </c>
      <c r="Q10" s="1" t="inlineStr">
        <is>
          <t>u6</t>
        </is>
      </c>
      <c r="R10" s="1" t="inlineStr">
        <is>
          <t>ub</t>
        </is>
      </c>
      <c r="S10" s="1" t="inlineStr">
        <is>
          <t>scale</t>
        </is>
      </c>
    </row>
    <row r="11">
      <c r="A11" t="inlineStr">
        <is>
          <t>municipal waste incineration, at incineration plant, with semi-dry air pollution control, without flue gas condensation, with electricity recovery only</t>
        </is>
      </c>
      <c r="B11">
        <f>unallocated!B13/I11</f>
        <v>1</v>
      </c>
      <c r="C11" t="inlineStr">
        <is>
          <t>RER</t>
        </is>
      </c>
      <c r="D11" t="inlineStr">
        <is>
          <t>kilogram</t>
        </is>
      </c>
      <c r="F11" t="inlineStr">
        <is>
          <t>production</t>
        </is>
      </c>
      <c r="G11" t="inlineStr">
        <is>
          <t>municipal solid waste</t>
        </is>
      </c>
      <c r="H11" t="inlineStr"/>
      <c r="I11" t="n">
        <v>1000</v>
      </c>
      <c r="J11" t="n">
        <v>0</v>
      </c>
      <c r="L11" s="5" t="n"/>
      <c r="M11" s="5" t="n"/>
      <c r="N11" s="5" t="n"/>
      <c r="O11" s="5" t="n"/>
      <c r="P11" s="5" t="n"/>
      <c r="Q11" s="5" t="n"/>
    </row>
    <row r="12">
      <c r="A12" t="inlineStr">
        <is>
          <t>market group for electricity, medium voltage</t>
        </is>
      </c>
      <c r="B12">
        <f>unallocated!B14/I12</f>
        <v>-0.73899999999999999</v>
      </c>
      <c r="C12" t="inlineStr">
        <is>
          <t>RER</t>
        </is>
      </c>
      <c r="D12" t="inlineStr">
        <is>
          <t>kilowatt hour</t>
        </is>
      </c>
      <c r="F12" t="inlineStr">
        <is>
          <t>technosphere</t>
        </is>
      </c>
      <c r="G12" t="inlineStr">
        <is>
          <t>electricity, medium voltage</t>
        </is>
      </c>
      <c r="H12" t="inlineStr">
        <is>
          <t>Co-produced heat and electricity.</t>
        </is>
      </c>
      <c r="I12" t="n">
        <v>-1000</v>
      </c>
      <c r="J12" t="n">
        <v>0</v>
      </c>
      <c r="K12" s="3" t="n"/>
    </row>
    <row r="13">
      <c r="A13" t="inlineStr">
        <is>
          <t>market for diesel, low-sulfur</t>
        </is>
      </c>
      <c r="B13">
        <f>unallocated!B16/I13</f>
        <v>8.5000000000000006E-5</v>
      </c>
      <c r="C13" t="inlineStr">
        <is>
          <t>Europe without Switzerland</t>
        </is>
      </c>
      <c r="D13" t="inlineStr">
        <is>
          <t>kilogram</t>
        </is>
      </c>
      <c r="F13" t="inlineStr">
        <is>
          <t>technosphere</t>
        </is>
      </c>
      <c r="G13" t="inlineStr">
        <is>
          <t>diesel, low-sulfur</t>
        </is>
      </c>
      <c r="H13" t="inlineStr">
        <is>
          <t>Diesel density: 0.85 kg/l</t>
        </is>
      </c>
      <c r="I13" t="n">
        <v>1000</v>
      </c>
      <c r="J13" t="n">
        <v>2</v>
      </c>
      <c r="K13" s="3">
        <f>LN(B13)</f>
        <v>-9.372859301473957</v>
      </c>
      <c r="L13" t="n">
        <v>1</v>
      </c>
      <c r="M13" t="n">
        <v>1</v>
      </c>
      <c r="N13" t="n">
        <v>1</v>
      </c>
      <c r="O13" t="n">
        <v>1.02</v>
      </c>
      <c r="P13" t="n">
        <v>1.2</v>
      </c>
      <c r="Q13" t="n">
        <v>1</v>
      </c>
      <c r="R13" t="n">
        <v>1.05</v>
      </c>
      <c r="S13">
        <f>LN(SQRT(EXP(
SQRT(
+POWER(LN(L13),2)
+POWER(LN(M13),2)
+POWER(LN(N13),2)
+POWER(LN(O13),2)
+POWER(LN(P13),2)
+POWER(LN(Q13),2)
+POWER(LN(R13),2)
)
)))</f>
        <v>9.4886477223156879E-2</v>
      </c>
    </row>
    <row r="14">
      <c r="A14" t="inlineStr">
        <is>
          <t>market for activated carbon, granular</t>
        </is>
      </c>
      <c r="B14">
        <f>unallocated!B17/I14</f>
        <v>4.0000000000000002E-4</v>
      </c>
      <c r="C14" t="inlineStr">
        <is>
          <t>GLO</t>
        </is>
      </c>
      <c r="D14" t="inlineStr">
        <is>
          <t>kilogram</t>
        </is>
      </c>
      <c r="F14" t="inlineStr">
        <is>
          <t>technosphere</t>
        </is>
      </c>
      <c r="G14" t="inlineStr">
        <is>
          <t>activated carbon, granular</t>
        </is>
      </c>
      <c r="I14" t="n">
        <v>1000</v>
      </c>
      <c r="J14" t="n">
        <v>2</v>
      </c>
      <c r="K14" s="3">
        <f>LN(B14)</f>
        <v>-7.8240460108562919</v>
      </c>
      <c r="L14" t="n">
        <v>1</v>
      </c>
      <c r="M14" t="n">
        <v>1</v>
      </c>
      <c r="N14" t="n">
        <v>1</v>
      </c>
      <c r="O14" t="n">
        <v>1.02</v>
      </c>
      <c r="P14" t="n">
        <v>1.2</v>
      </c>
      <c r="Q14" t="n">
        <v>1</v>
      </c>
      <c r="R14" t="n">
        <v>1.05</v>
      </c>
      <c r="S14">
        <f>LN(SQRT(EXP(
SQRT(
+POWER(LN(L14),2)
+POWER(LN(M14),2)
+POWER(LN(N14),2)
+POWER(LN(O14),2)
+POWER(LN(P14),2)
+POWER(LN(Q14),2)
+POWER(LN(R14),2)
)
)))</f>
        <v>9.4886477223156879E-2</v>
      </c>
    </row>
    <row r="15">
      <c r="A15" t="inlineStr">
        <is>
          <t>market for ammonia, anhydrous, liquid</t>
        </is>
      </c>
      <c r="B15">
        <f>unallocated!B18/I15</f>
        <v>9.7999999999999997E-4</v>
      </c>
      <c r="C15" t="inlineStr">
        <is>
          <t>RER</t>
        </is>
      </c>
      <c r="D15" t="inlineStr">
        <is>
          <t>kilogram</t>
        </is>
      </c>
      <c r="F15" t="inlineStr">
        <is>
          <t>technosphere</t>
        </is>
      </c>
      <c r="G15" t="inlineStr">
        <is>
          <t>ammonia, anhydrous, liquid</t>
        </is>
      </c>
      <c r="H15" t="inlineStr">
        <is>
          <t>100% liquid ammonia. In original publication, it is dilluated to 23.5% in water. We discount the original value by 75%.</t>
        </is>
      </c>
      <c r="I15" t="n">
        <v>1000</v>
      </c>
      <c r="J15" t="n">
        <v>2</v>
      </c>
      <c r="K15" s="3">
        <f>LN(B15)</f>
        <v>-6.9279579862996563</v>
      </c>
      <c r="L15" t="n">
        <v>1</v>
      </c>
      <c r="M15" t="n">
        <v>1</v>
      </c>
      <c r="N15" t="n">
        <v>1</v>
      </c>
      <c r="O15" t="n">
        <v>1.02</v>
      </c>
      <c r="P15" t="n">
        <v>1.2</v>
      </c>
      <c r="Q15" t="n">
        <v>1</v>
      </c>
      <c r="R15" t="n">
        <v>1.05</v>
      </c>
      <c r="S15">
        <f>LN(SQRT(EXP(
SQRT(
+POWER(LN(L15),2)
+POWER(LN(M15),2)
+POWER(LN(N15),2)
+POWER(LN(O15),2)
+POWER(LN(P15),2)
+POWER(LN(Q15),2)
+POWER(LN(R15),2)
)
)))</f>
        <v>9.4886477223156879E-2</v>
      </c>
    </row>
    <row r="16">
      <c r="A16" t="inlineStr">
        <is>
          <t>market for tap water</t>
        </is>
      </c>
      <c r="B16">
        <f>unallocated!B19/I16</f>
        <v>3.0200000000000001E-3</v>
      </c>
      <c r="C16" t="inlineStr">
        <is>
          <t>Europe without Switzerland</t>
        </is>
      </c>
      <c r="D16" t="inlineStr">
        <is>
          <t>kilogram</t>
        </is>
      </c>
      <c r="F16" t="inlineStr">
        <is>
          <t>technosphere</t>
        </is>
      </c>
      <c r="G16" t="inlineStr">
        <is>
          <t>tap water</t>
        </is>
      </c>
      <c r="H16" t="inlineStr">
        <is>
          <t>Used to dilute the ammonia.</t>
        </is>
      </c>
      <c r="I16" t="n">
        <v>1000</v>
      </c>
      <c r="J16" t="n">
        <v>2</v>
      </c>
      <c r="K16" s="3">
        <f>LN(B16)</f>
        <v>-5.8024984475953589</v>
      </c>
      <c r="L16" t="n">
        <v>1</v>
      </c>
      <c r="M16" t="n">
        <v>1</v>
      </c>
      <c r="N16" t="n">
        <v>1</v>
      </c>
      <c r="O16" t="n">
        <v>1.02</v>
      </c>
      <c r="P16" t="n">
        <v>1.2</v>
      </c>
      <c r="Q16" t="n">
        <v>1</v>
      </c>
      <c r="R16" t="n">
        <v>1.05</v>
      </c>
      <c r="S16">
        <f>LN(SQRT(EXP(
SQRT(
+POWER(LN(L16),2)
+POWER(LN(M16),2)
+POWER(LN(N16),2)
+POWER(LN(O16),2)
+POWER(LN(P16),2)
+POWER(LN(Q16),2)
+POWER(LN(R16),2)
)
)))</f>
        <v>9.4886477223156879E-2</v>
      </c>
    </row>
    <row r="17">
      <c r="A17" t="inlineStr">
        <is>
          <t>market for calcium carbonate, precipitated</t>
        </is>
      </c>
      <c r="B17">
        <f>unallocated!B20/I17</f>
        <v>0</v>
      </c>
      <c r="C17" t="inlineStr">
        <is>
          <t>RER</t>
        </is>
      </c>
      <c r="D17" t="inlineStr">
        <is>
          <t>kilogram</t>
        </is>
      </c>
      <c r="F17" t="inlineStr">
        <is>
          <t>technosphere</t>
        </is>
      </c>
      <c r="G17" t="inlineStr">
        <is>
          <t>calcium carbonate, precipitated</t>
        </is>
      </c>
      <c r="I17" t="n">
        <v>1000</v>
      </c>
      <c r="J17" t="n">
        <v>0</v>
      </c>
      <c r="K17" s="3" t="n"/>
    </row>
    <row r="18">
      <c r="A18" t="inlineStr">
        <is>
          <t>market for iron(III) chloride, without water, in 40% solution state</t>
        </is>
      </c>
      <c r="B18">
        <f>unallocated!B21/I18</f>
        <v>0</v>
      </c>
      <c r="C18" t="inlineStr">
        <is>
          <t>GLO</t>
        </is>
      </c>
      <c r="D18" t="inlineStr">
        <is>
          <t>kilogram</t>
        </is>
      </c>
      <c r="F18" t="inlineStr">
        <is>
          <t>technosphere</t>
        </is>
      </c>
      <c r="G18" t="inlineStr">
        <is>
          <t>iron(III) chloride, without water, in 40% solution state</t>
        </is>
      </c>
      <c r="I18" t="n">
        <v>1000</v>
      </c>
      <c r="J18" t="n">
        <v>0</v>
      </c>
      <c r="K18" s="3" t="n"/>
    </row>
    <row r="19">
      <c r="A19" t="inlineStr">
        <is>
          <t>market for lime, hydrated, packed</t>
        </is>
      </c>
      <c r="B19">
        <f>unallocated!B22/I19</f>
        <v>1.0999999999999999E-2</v>
      </c>
      <c r="C19" t="inlineStr">
        <is>
          <t>RER</t>
        </is>
      </c>
      <c r="D19" t="inlineStr">
        <is>
          <t>kilogram</t>
        </is>
      </c>
      <c r="F19" t="inlineStr">
        <is>
          <t>technosphere</t>
        </is>
      </c>
      <c r="G19" t="inlineStr">
        <is>
          <t>lime, hydrated, packed</t>
        </is>
      </c>
      <c r="I19" t="n">
        <v>1000</v>
      </c>
      <c r="J19" t="n">
        <v>2</v>
      </c>
      <c r="K19" s="3">
        <f>LN(B19)</f>
        <v>-4.5098600061837661</v>
      </c>
      <c r="L19" t="n">
        <v>1</v>
      </c>
      <c r="M19" t="n">
        <v>1</v>
      </c>
      <c r="N19" t="n">
        <v>1</v>
      </c>
      <c r="O19" t="n">
        <v>1.02</v>
      </c>
      <c r="P19" t="n">
        <v>1.2</v>
      </c>
      <c r="Q19" t="n">
        <v>1</v>
      </c>
      <c r="R19" t="n">
        <v>1.05</v>
      </c>
      <c r="S19">
        <f>LN(SQRT(EXP(
SQRT(
+POWER(LN(L19),2)
+POWER(LN(M19),2)
+POWER(LN(N19),2)
+POWER(LN(O19),2)
+POWER(LN(P19),2)
+POWER(LN(Q19),2)
+POWER(LN(R19),2)
)
)))</f>
        <v>9.4886477223156879E-2</v>
      </c>
    </row>
    <row r="20">
      <c r="A20" t="inlineStr">
        <is>
          <t>market for sodium hydroxide, without water, in 50% solution state</t>
        </is>
      </c>
      <c r="B20">
        <f>unallocated!B23/I20</f>
        <v>0</v>
      </c>
      <c r="C20" t="inlineStr">
        <is>
          <t>RER</t>
        </is>
      </c>
      <c r="D20" t="inlineStr">
        <is>
          <t>kilogram</t>
        </is>
      </c>
      <c r="F20" t="inlineStr">
        <is>
          <t>technosphere</t>
        </is>
      </c>
      <c r="G20" t="inlineStr">
        <is>
          <t>sodium hydroxide, without water, in 50% solution state</t>
        </is>
      </c>
      <c r="H20" t="inlineStr">
        <is>
          <t>50% liquid ammonia. In original publication, it is dilluated to 27% in water. We discount the original value by 50%.</t>
        </is>
      </c>
      <c r="I20" t="n">
        <v>1000</v>
      </c>
      <c r="J20" t="n">
        <v>0</v>
      </c>
      <c r="K20" s="3" t="n"/>
    </row>
    <row r="21">
      <c r="A21" t="inlineStr">
        <is>
          <t>market for monoethanolamine</t>
        </is>
      </c>
      <c r="B21">
        <f>unallocated!B24/I21</f>
        <v>0</v>
      </c>
      <c r="C21" t="inlineStr">
        <is>
          <t>GLO</t>
        </is>
      </c>
      <c r="D21" t="inlineStr">
        <is>
          <t>kilogram</t>
        </is>
      </c>
      <c r="F21" t="inlineStr">
        <is>
          <t>technosphere</t>
        </is>
      </c>
      <c r="G21" t="inlineStr">
        <is>
          <t>monoethanolamine</t>
        </is>
      </c>
      <c r="I21" t="n">
        <v>1000</v>
      </c>
      <c r="J21" t="n">
        <v>0</v>
      </c>
      <c r="K21" s="3" t="n"/>
    </row>
    <row r="22">
      <c r="A22" t="inlineStr">
        <is>
          <t>municipal waste incineration facility construction</t>
        </is>
      </c>
      <c r="B22">
        <f>unallocated!B25/I22</f>
        <v>2.4999999999999996E-10</v>
      </c>
      <c r="C22" t="inlineStr">
        <is>
          <t>CH</t>
        </is>
      </c>
      <c r="D22" t="inlineStr">
        <is>
          <t>unit</t>
        </is>
      </c>
      <c r="F22" t="inlineStr">
        <is>
          <t>technosphere</t>
        </is>
      </c>
      <c r="G22" t="inlineStr">
        <is>
          <t>municipal waste incineration facility</t>
        </is>
      </c>
      <c r="H22" t="inlineStr">
        <is>
          <t>Lifetime: 4'000'000 tons MSWI treated.</t>
        </is>
      </c>
      <c r="I22" t="n">
        <v>1000</v>
      </c>
      <c r="J22" t="n">
        <v>2</v>
      </c>
      <c r="K22" s="3">
        <f>LN(B22)</f>
        <v>-22.109560198066301</v>
      </c>
      <c r="L22" t="n">
        <v>1</v>
      </c>
      <c r="M22" t="n">
        <v>1</v>
      </c>
      <c r="N22" t="n">
        <v>1</v>
      </c>
      <c r="O22" t="n">
        <v>1.02</v>
      </c>
      <c r="P22" t="n">
        <v>1.2</v>
      </c>
      <c r="Q22" t="n">
        <v>1</v>
      </c>
      <c r="R22" t="n">
        <v>3</v>
      </c>
      <c r="S22">
        <f>LN(SQRT(EXP(
SQRT(
+POWER(LN(L22),2)
+POWER(LN(M22),2)
+POWER(LN(N22),2)
+POWER(LN(O22),2)
+POWER(LN(P22),2)
+POWER(LN(Q22),2)
+POWER(LN(R22),2)
)
)))</f>
        <v>0.5569071410325479</v>
      </c>
    </row>
    <row r="23">
      <c r="A23" t="inlineStr">
        <is>
          <t>Water, cooling, unspecified natural origin</t>
        </is>
      </c>
      <c r="B23">
        <f>unallocated!B26/I23</f>
        <v>1.4999999999999999E-4</v>
      </c>
      <c r="D23" t="inlineStr">
        <is>
          <t>cubic meter</t>
        </is>
      </c>
      <c r="E23" t="inlineStr">
        <is>
          <t>natural resource::in water</t>
        </is>
      </c>
      <c r="F23" t="inlineStr">
        <is>
          <t>biosphere</t>
        </is>
      </c>
      <c r="I23" t="n">
        <v>1000</v>
      </c>
      <c r="J23" t="n">
        <v>2</v>
      </c>
      <c r="K23" s="3">
        <f>LN(B23)</f>
        <v>-8.8048752638680181</v>
      </c>
      <c r="L23" t="n">
        <v>1</v>
      </c>
      <c r="M23" t="n">
        <v>1</v>
      </c>
      <c r="N23" t="n">
        <v>1</v>
      </c>
      <c r="O23" t="n">
        <v>1.02</v>
      </c>
      <c r="P23" t="n">
        <v>1.2</v>
      </c>
      <c r="Q23" t="n">
        <v>1</v>
      </c>
      <c r="R23" t="n">
        <v>1.05</v>
      </c>
      <c r="S23">
        <f>LN(SQRT(EXP(
SQRT(
+POWER(LN(L23),2)
+POWER(LN(M23),2)
+POWER(LN(N23),2)
+POWER(LN(O23),2)
+POWER(LN(P23),2)
+POWER(LN(Q23),2)
+POWER(LN(R23),2)
)
)))</f>
        <v>9.4886477223156879E-2</v>
      </c>
    </row>
    <row r="24">
      <c r="A24" t="inlineStr">
        <is>
          <t>Sulfur dioxide</t>
        </is>
      </c>
      <c r="B24">
        <f>unallocated!B27/I24</f>
        <v>1.1300000000000001E-4</v>
      </c>
      <c r="D24" t="inlineStr">
        <is>
          <t>kilogram</t>
        </is>
      </c>
      <c r="E24" t="inlineStr">
        <is>
          <t>air::urban air close to ground</t>
        </is>
      </c>
      <c r="F24" t="inlineStr">
        <is>
          <t>biosphere</t>
        </is>
      </c>
      <c r="I24" t="n">
        <v>1000</v>
      </c>
      <c r="J24" t="n">
        <v>2</v>
      </c>
      <c r="K24" s="3">
        <f>LN(B24)</f>
        <v>-9.0881227392519328</v>
      </c>
      <c r="L24" t="n">
        <v>1</v>
      </c>
      <c r="M24" t="n">
        <v>1</v>
      </c>
      <c r="N24" t="n">
        <v>1</v>
      </c>
      <c r="O24" t="n">
        <v>1.02</v>
      </c>
      <c r="P24" t="n">
        <v>1.2</v>
      </c>
      <c r="Q24" t="n">
        <v>1</v>
      </c>
      <c r="R24" t="n">
        <v>1.05</v>
      </c>
      <c r="S24">
        <f>LN(SQRT(EXP(
SQRT(
+POWER(LN(L24),2)
+POWER(LN(M24),2)
+POWER(LN(N24),2)
+POWER(LN(O24),2)
+POWER(LN(P24),2)
+POWER(LN(Q24),2)
+POWER(LN(R24),2)
)
)))</f>
        <v>9.4886477223156879E-2</v>
      </c>
    </row>
    <row r="25">
      <c r="A25" t="inlineStr">
        <is>
          <t>Hydrochloric acid</t>
        </is>
      </c>
      <c r="B25">
        <f>unallocated!B28/I25</f>
        <v>2.8E-5</v>
      </c>
      <c r="D25" t="inlineStr">
        <is>
          <t>kilogram</t>
        </is>
      </c>
      <c r="E25" t="inlineStr">
        <is>
          <t>air</t>
        </is>
      </c>
      <c r="F25" t="inlineStr">
        <is>
          <t>biosphere</t>
        </is>
      </c>
      <c r="I25" t="n">
        <v>1000</v>
      </c>
      <c r="J25" t="n">
        <v>2</v>
      </c>
      <c r="K25" s="3">
        <f>LN(B25)</f>
        <v>-10.483306047789069</v>
      </c>
      <c r="L25" t="n">
        <v>1</v>
      </c>
      <c r="M25" t="n">
        <v>1</v>
      </c>
      <c r="N25" t="n">
        <v>1</v>
      </c>
      <c r="O25" t="n">
        <v>1.02</v>
      </c>
      <c r="P25" t="n">
        <v>1.2</v>
      </c>
      <c r="Q25" t="n">
        <v>1</v>
      </c>
      <c r="R25" t="n">
        <v>1.5</v>
      </c>
      <c r="S25">
        <f>LN(SQRT(EXP(
SQRT(
+POWER(LN(L25),2)
+POWER(LN(M25),2)
+POWER(LN(N25),2)
+POWER(LN(O25),2)
+POWER(LN(P25),2)
+POWER(LN(Q25),2)
+POWER(LN(R25),2)
)
)))</f>
        <v>0.22250575723605889</v>
      </c>
    </row>
    <row r="26">
      <c r="A26" t="inlineStr">
        <is>
          <t>Nitrogen oxides</t>
        </is>
      </c>
      <c r="B26">
        <f>unallocated!B29/I26</f>
        <v>6.7700000000000008E-4</v>
      </c>
      <c r="D26" t="inlineStr">
        <is>
          <t>kilogram</t>
        </is>
      </c>
      <c r="E26" t="inlineStr">
        <is>
          <t>air::urban air close to ground</t>
        </is>
      </c>
      <c r="F26" t="inlineStr">
        <is>
          <t>biosphere</t>
        </is>
      </c>
      <c r="I26" t="n">
        <v>1000</v>
      </c>
      <c r="J26" t="n">
        <v>2</v>
      </c>
      <c r="K26" s="3">
        <f>LN(B26)</f>
        <v>-7.2978392850519986</v>
      </c>
      <c r="L26" t="n">
        <v>1</v>
      </c>
      <c r="M26" t="n">
        <v>1</v>
      </c>
      <c r="N26" t="n">
        <v>1</v>
      </c>
      <c r="O26" t="n">
        <v>1.02</v>
      </c>
      <c r="P26" t="n">
        <v>1.2</v>
      </c>
      <c r="Q26" t="n">
        <v>1</v>
      </c>
      <c r="R26" t="n">
        <v>1.5</v>
      </c>
      <c r="S26">
        <f>LN(SQRT(EXP(
SQRT(
+POWER(LN(L26),2)
+POWER(LN(M26),2)
+POWER(LN(N26),2)
+POWER(LN(O26),2)
+POWER(LN(P26),2)
+POWER(LN(Q26),2)
+POWER(LN(R26),2)
)
)))</f>
        <v>0.22250575723605889</v>
      </c>
    </row>
    <row r="27">
      <c r="A27" t="inlineStr">
        <is>
          <t>Ammonia</t>
        </is>
      </c>
      <c r="B27">
        <f>unallocated!B30/I27</f>
        <v>4.4999999999999996E-5</v>
      </c>
      <c r="D27" t="inlineStr">
        <is>
          <t>kilogram</t>
        </is>
      </c>
      <c r="E27" t="inlineStr">
        <is>
          <t>air::urban air close to ground</t>
        </is>
      </c>
      <c r="F27" t="inlineStr">
        <is>
          <t>biosphere</t>
        </is>
      </c>
      <c r="I27" t="n">
        <v>1000</v>
      </c>
      <c r="J27" t="n">
        <v>2</v>
      </c>
      <c r="K27" s="3">
        <f>LN(B27)</f>
        <v>-10.008848068193954</v>
      </c>
      <c r="L27" t="n">
        <v>1</v>
      </c>
      <c r="M27" t="n">
        <v>1</v>
      </c>
      <c r="N27" t="n">
        <v>1</v>
      </c>
      <c r="O27" t="n">
        <v>1.02</v>
      </c>
      <c r="P27" t="n">
        <v>1.2</v>
      </c>
      <c r="Q27" t="n">
        <v>1</v>
      </c>
      <c r="R27" t="n">
        <v>1.5</v>
      </c>
      <c r="S27">
        <f>LN(SQRT(EXP(
SQRT(
+POWER(LN(L27),2)
+POWER(LN(M27),2)
+POWER(LN(N27),2)
+POWER(LN(O27),2)
+POWER(LN(P27),2)
+POWER(LN(Q27),2)
+POWER(LN(R27),2)
)
)))</f>
        <v>0.22250575723605889</v>
      </c>
    </row>
    <row r="28">
      <c r="A28" t="inlineStr">
        <is>
          <t>Particulate Matter, &lt; 2.5 um</t>
        </is>
      </c>
      <c r="B28">
        <f>unallocated!B31/I28</f>
        <v>6.0000000000000002E-6</v>
      </c>
      <c r="D28" t="inlineStr">
        <is>
          <t>kilogram</t>
        </is>
      </c>
      <c r="E28" t="inlineStr">
        <is>
          <t>air::urban air close to ground</t>
        </is>
      </c>
      <c r="F28" t="inlineStr">
        <is>
          <t>biosphere</t>
        </is>
      </c>
      <c r="I28" t="n">
        <v>1000</v>
      </c>
      <c r="J28" t="n">
        <v>2</v>
      </c>
      <c r="K28" s="3">
        <f>LN(B28)</f>
        <v>-12.023751088736219</v>
      </c>
      <c r="L28" t="n">
        <v>1</v>
      </c>
      <c r="M28" t="n">
        <v>1</v>
      </c>
      <c r="N28" t="n">
        <v>1</v>
      </c>
      <c r="O28" t="n">
        <v>1.02</v>
      </c>
      <c r="P28" t="n">
        <v>1.2</v>
      </c>
      <c r="Q28" t="n">
        <v>1</v>
      </c>
      <c r="R28" t="n">
        <v>3</v>
      </c>
      <c r="S28">
        <f>LN(SQRT(EXP(
SQRT(
+POWER(LN(L28),2)
+POWER(LN(M28),2)
+POWER(LN(N28),2)
+POWER(LN(O28),2)
+POWER(LN(P28),2)
+POWER(LN(Q28),2)
+POWER(LN(R28),2)
)
)))</f>
        <v>0.5569071410325479</v>
      </c>
    </row>
    <row r="29">
      <c r="A29" t="inlineStr">
        <is>
          <t>Mercury II</t>
        </is>
      </c>
      <c r="B29">
        <f>unallocated!B32/I29</f>
        <v>2.3000000000000001E-8</v>
      </c>
      <c r="D29" t="inlineStr">
        <is>
          <t>kilogram</t>
        </is>
      </c>
      <c r="E29" t="inlineStr">
        <is>
          <t>air::urban air close to ground</t>
        </is>
      </c>
      <c r="F29" t="inlineStr">
        <is>
          <t>biosphere</t>
        </is>
      </c>
      <c r="I29" t="n">
        <v>1000</v>
      </c>
      <c r="J29" t="n">
        <v>2</v>
      </c>
      <c r="K29" s="3">
        <f>LN(B29)</f>
        <v>-17.587771621017261</v>
      </c>
      <c r="L29" t="n">
        <v>1</v>
      </c>
      <c r="M29" t="n">
        <v>1</v>
      </c>
      <c r="N29" t="n">
        <v>1</v>
      </c>
      <c r="O29" t="n">
        <v>1.02</v>
      </c>
      <c r="P29" t="n">
        <v>1.2</v>
      </c>
      <c r="Q29" t="n">
        <v>1</v>
      </c>
      <c r="R29" t="n">
        <v>5</v>
      </c>
      <c r="S29">
        <f>LN(SQRT(EXP(
SQRT(
+POWER(LN(L29),2)
+POWER(LN(M29),2)
+POWER(LN(N29),2)
+POWER(LN(O29),2)
+POWER(LN(P29),2)
+POWER(LN(Q29),2)
+POWER(LN(R29),2)
)
)))</f>
        <v>0.80992649174166365</v>
      </c>
    </row>
    <row r="30">
      <c r="A30" t="inlineStr">
        <is>
          <t>Lead II</t>
        </is>
      </c>
      <c r="B30">
        <f>unallocated!B33/I30</f>
        <v>5.5999999999999999E-8</v>
      </c>
      <c r="D30" t="inlineStr">
        <is>
          <t>kilogram</t>
        </is>
      </c>
      <c r="E30" t="inlineStr">
        <is>
          <t>air::urban air close to ground</t>
        </is>
      </c>
      <c r="F30" t="inlineStr">
        <is>
          <t>biosphere</t>
        </is>
      </c>
      <c r="I30" t="n">
        <v>1000</v>
      </c>
      <c r="J30" t="n">
        <v>2</v>
      </c>
      <c r="K30" s="3">
        <f>LN(B30)</f>
        <v>-16.697914146211261</v>
      </c>
      <c r="L30" t="n">
        <v>1</v>
      </c>
      <c r="M30" t="n">
        <v>1</v>
      </c>
      <c r="N30" t="n">
        <v>1</v>
      </c>
      <c r="O30" t="n">
        <v>1.02</v>
      </c>
      <c r="P30" t="n">
        <v>1.2</v>
      </c>
      <c r="Q30" t="n">
        <v>1</v>
      </c>
      <c r="R30" t="n">
        <v>5</v>
      </c>
      <c r="S30">
        <f>LN(SQRT(EXP(
SQRT(
+POWER(LN(L30),2)
+POWER(LN(M30),2)
+POWER(LN(N30),2)
+POWER(LN(O30),2)
+POWER(LN(P30),2)
+POWER(LN(Q30),2)
+POWER(LN(R30),2)
)
)))</f>
        <v>0.80992649174166365</v>
      </c>
    </row>
    <row r="31">
      <c r="A31" t="inlineStr">
        <is>
          <t>Cadmium II</t>
        </is>
      </c>
      <c r="B31">
        <f>unallocated!B34/I31</f>
        <v>2.7999999999999999E-8</v>
      </c>
      <c r="D31" t="inlineStr">
        <is>
          <t>kilogram</t>
        </is>
      </c>
      <c r="E31" t="inlineStr">
        <is>
          <t>air::urban air close to ground</t>
        </is>
      </c>
      <c r="F31" t="inlineStr">
        <is>
          <t>biosphere</t>
        </is>
      </c>
      <c r="I31" t="n">
        <v>1000</v>
      </c>
      <c r="J31" t="n">
        <v>2</v>
      </c>
      <c r="K31" s="3">
        <f>LN(B31)</f>
        <v>-17.391061326771208</v>
      </c>
      <c r="L31" t="n">
        <v>1</v>
      </c>
      <c r="M31" t="n">
        <v>1</v>
      </c>
      <c r="N31" t="n">
        <v>1</v>
      </c>
      <c r="O31" t="n">
        <v>1.02</v>
      </c>
      <c r="P31" t="n">
        <v>1.2</v>
      </c>
      <c r="Q31" t="n">
        <v>1</v>
      </c>
      <c r="R31" t="n">
        <v>5</v>
      </c>
      <c r="S31">
        <f>LN(SQRT(EXP(
SQRT(
+POWER(LN(L31),2)
+POWER(LN(M31),2)
+POWER(LN(N31),2)
+POWER(LN(O31),2)
+POWER(LN(P31),2)
+POWER(LN(Q31),2)
+POWER(LN(R31),2)
)
)))</f>
        <v>0.80992649174166365</v>
      </c>
    </row>
    <row r="32">
      <c r="A32" t="inlineStr">
        <is>
          <t>Arsenic ion</t>
        </is>
      </c>
      <c r="B32">
        <f>unallocated!B35/I32</f>
        <v>6E-9</v>
      </c>
      <c r="D32" t="inlineStr">
        <is>
          <t>kilogram</t>
        </is>
      </c>
      <c r="E32" t="inlineStr">
        <is>
          <t>air::urban air close to ground</t>
        </is>
      </c>
      <c r="F32" t="inlineStr">
        <is>
          <t>biosphere</t>
        </is>
      </c>
      <c r="I32" t="n">
        <v>1000</v>
      </c>
      <c r="J32" t="n">
        <v>2</v>
      </c>
      <c r="K32" s="3">
        <f>LN(B32)</f>
        <v>-18.931506367718356</v>
      </c>
      <c r="L32" t="n">
        <v>1</v>
      </c>
      <c r="M32" t="n">
        <v>1</v>
      </c>
      <c r="N32" t="n">
        <v>1</v>
      </c>
      <c r="O32" t="n">
        <v>1.02</v>
      </c>
      <c r="P32" t="n">
        <v>1.2</v>
      </c>
      <c r="Q32" t="n">
        <v>1</v>
      </c>
      <c r="R32" t="n">
        <v>5</v>
      </c>
      <c r="S32">
        <f>LN(SQRT(EXP(
SQRT(
+POWER(LN(L32),2)
+POWER(LN(M32),2)
+POWER(LN(N32),2)
+POWER(LN(O32),2)
+POWER(LN(P32),2)
+POWER(LN(Q32),2)
+POWER(LN(R32),2)
)
)))</f>
        <v>0.80992649174166365</v>
      </c>
    </row>
    <row r="33">
      <c r="A33" t="inlineStr">
        <is>
          <t>Dioxins, measured as 2,3,7,8-tetrachlorodibenzo-p-dioxin</t>
        </is>
      </c>
      <c r="B33">
        <f>unallocated!B36/I33</f>
        <v>1.1000000000000001E-13</v>
      </c>
      <c r="D33" t="inlineStr">
        <is>
          <t>kilogram</t>
        </is>
      </c>
      <c r="E33" t="inlineStr">
        <is>
          <t>air::urban air close to ground</t>
        </is>
      </c>
      <c r="F33" t="inlineStr">
        <is>
          <t>biosphere</t>
        </is>
      </c>
      <c r="I33" t="n">
        <v>1000</v>
      </c>
      <c r="J33" t="n">
        <v>2</v>
      </c>
      <c r="K33" s="3">
        <f>LN(B33)</f>
        <v>-29.838296029118268</v>
      </c>
      <c r="L33" t="n">
        <v>1</v>
      </c>
      <c r="M33" t="n">
        <v>1</v>
      </c>
      <c r="N33" t="n">
        <v>1</v>
      </c>
      <c r="O33" t="n">
        <v>1.02</v>
      </c>
      <c r="P33" t="n">
        <v>1.2</v>
      </c>
      <c r="Q33" t="n">
        <v>1</v>
      </c>
      <c r="R33" t="n">
        <v>5</v>
      </c>
      <c r="S33">
        <f>LN(SQRT(EXP(
SQRT(
+POWER(LN(L33),2)
+POWER(LN(M33),2)
+POWER(LN(N33),2)
+POWER(LN(O33),2)
+POWER(LN(P33),2)
+POWER(LN(Q33),2)
+POWER(LN(R33),2)
)
)))</f>
        <v>0.80992649174166365</v>
      </c>
    </row>
    <row r="34">
      <c r="A34" t="inlineStr">
        <is>
          <t>Carbon dioxide, fossil</t>
        </is>
      </c>
      <c r="B34">
        <f>unallocated!B37/I34</f>
        <v>0.374</v>
      </c>
      <c r="D34" t="inlineStr">
        <is>
          <t>kilogram</t>
        </is>
      </c>
      <c r="E34" t="inlineStr">
        <is>
          <t>air::urban air close to ground</t>
        </is>
      </c>
      <c r="F34" t="inlineStr">
        <is>
          <t>biosphere</t>
        </is>
      </c>
      <c r="I34" t="n">
        <v>1000</v>
      </c>
      <c r="J34" t="n">
        <v>2</v>
      </c>
      <c r="K34" s="3">
        <f>LN(B34)</f>
        <v>-0.98349948156760514</v>
      </c>
      <c r="L34" t="n">
        <v>1</v>
      </c>
      <c r="M34" t="n">
        <v>1</v>
      </c>
      <c r="N34" t="n">
        <v>1</v>
      </c>
      <c r="O34" t="n">
        <v>1.02</v>
      </c>
      <c r="P34" t="n">
        <v>1.2</v>
      </c>
      <c r="Q34" t="n">
        <v>1</v>
      </c>
      <c r="R34" t="n">
        <v>1.05</v>
      </c>
      <c r="S34">
        <f>LN(SQRT(EXP(
SQRT(
+POWER(LN(L34),2)
+POWER(LN(M34),2)
+POWER(LN(N34),2)
+POWER(LN(O34),2)
+POWER(LN(P34),2)
+POWER(LN(Q34),2)
+POWER(LN(R34),2)
)
)))</f>
        <v>9.4886477223156879E-2</v>
      </c>
    </row>
    <row r="35">
      <c r="A35" t="inlineStr">
        <is>
          <t>Carbon dioxide, non-fossil</t>
        </is>
      </c>
      <c r="B35">
        <f>unallocated!B38/I35</f>
        <v>0.59399999999999997</v>
      </c>
      <c r="D35" t="inlineStr">
        <is>
          <t>kilogram</t>
        </is>
      </c>
      <c r="E35" t="inlineStr">
        <is>
          <t>air::urban air close to ground</t>
        </is>
      </c>
      <c r="F35" t="inlineStr">
        <is>
          <t>biosphere</t>
        </is>
      </c>
      <c r="I35" t="n">
        <v>1000</v>
      </c>
      <c r="J35" t="n">
        <v>2</v>
      </c>
      <c r="K35" s="3">
        <f>LN(B35)</f>
        <v>-0.52087595961949218</v>
      </c>
      <c r="L35" t="n">
        <v>1</v>
      </c>
      <c r="M35" t="n">
        <v>1</v>
      </c>
      <c r="N35" t="n">
        <v>1</v>
      </c>
      <c r="O35" t="n">
        <v>1.02</v>
      </c>
      <c r="P35" t="n">
        <v>1.2</v>
      </c>
      <c r="Q35" t="n">
        <v>1</v>
      </c>
      <c r="R35" t="n">
        <v>1.05</v>
      </c>
      <c r="S35">
        <f>LN(SQRT(EXP(
SQRT(
+POWER(LN(L35),2)
+POWER(LN(M35),2)
+POWER(LN(N35),2)
+POWER(LN(O35),2)
+POWER(LN(P35),2)
+POWER(LN(Q35),2)
+POWER(LN(R35),2)
)
)))</f>
        <v>9.4886477223156879E-2</v>
      </c>
    </row>
    <row r="36"/>
    <row r="37">
      <c r="A37" s="1" t="inlineStr">
        <is>
          <t>Activity</t>
        </is>
      </c>
      <c r="B37" s="1" t="inlineStr">
        <is>
          <t>municipal waste incineration, at incineration plant, with semi-dry air pollution control, without flue gas condensation, with electricity and heat recovery</t>
        </is>
      </c>
    </row>
    <row r="38">
      <c r="A38" t="inlineStr">
        <is>
          <t>location</t>
        </is>
      </c>
      <c r="B38" t="inlineStr">
        <is>
          <t>RER</t>
        </is>
      </c>
    </row>
    <row r="39">
      <c r="A39" t="inlineStr">
        <is>
          <t>production amount</t>
        </is>
      </c>
      <c r="B39" t="n">
        <v>1</v>
      </c>
    </row>
    <row r="40">
      <c r="A40" s="2" t="inlineStr">
        <is>
          <t>source</t>
        </is>
      </c>
      <c r="B4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1">
      <c r="A41" t="inlineStr">
        <is>
          <t>reference product</t>
        </is>
      </c>
      <c r="B41" t="inlineStr">
        <is>
          <t>municipal solid waste</t>
        </is>
      </c>
    </row>
    <row r="42">
      <c r="A42" t="inlineStr">
        <is>
          <t>type</t>
        </is>
      </c>
      <c r="B42" t="inlineStr">
        <is>
          <t>process</t>
        </is>
      </c>
    </row>
    <row r="43">
      <c r="A43" t="inlineStr">
        <is>
          <t>unit</t>
        </is>
      </c>
      <c r="B43" t="inlineStr">
        <is>
          <t>kilogram</t>
        </is>
      </c>
    </row>
    <row r="44">
      <c r="A44" t="inlineStr">
        <is>
          <t>comment</t>
        </is>
      </c>
      <c r="B4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638 kWh. Heat production per ton MSWI incinerated: 6'170 MJ.</t>
        </is>
      </c>
    </row>
    <row r="45">
      <c r="A45" s="1" t="inlineStr">
        <is>
          <t>Exchanges</t>
        </is>
      </c>
    </row>
    <row r="46">
      <c r="A46" s="7" t="inlineStr">
        <is>
          <t>name</t>
        </is>
      </c>
      <c r="B46" s="7" t="inlineStr">
        <is>
          <t>amount</t>
        </is>
      </c>
      <c r="C46" s="7" t="inlineStr">
        <is>
          <t>location</t>
        </is>
      </c>
      <c r="D46" s="7" t="inlineStr">
        <is>
          <t>unit</t>
        </is>
      </c>
      <c r="E46" s="7" t="inlineStr">
        <is>
          <t>categories</t>
        </is>
      </c>
      <c r="F46" s="7" t="inlineStr">
        <is>
          <t>type</t>
        </is>
      </c>
      <c r="G46" s="7" t="inlineStr">
        <is>
          <t>reference product</t>
        </is>
      </c>
      <c r="H46" s="7" t="inlineStr">
        <is>
          <t>comment</t>
        </is>
      </c>
      <c r="I46" s="7" t="inlineStr">
        <is>
          <t>normalization</t>
        </is>
      </c>
      <c r="J46" s="7" t="inlineStr">
        <is>
          <t>uncertainty type</t>
        </is>
      </c>
      <c r="K46" s="7" t="inlineStr">
        <is>
          <t>loc</t>
        </is>
      </c>
      <c r="L46" s="1" t="inlineStr">
        <is>
          <t>u1</t>
        </is>
      </c>
      <c r="M46" s="1" t="inlineStr">
        <is>
          <t>u2</t>
        </is>
      </c>
      <c r="N46" s="1" t="inlineStr">
        <is>
          <t>u3</t>
        </is>
      </c>
      <c r="O46" s="1" t="inlineStr">
        <is>
          <t>u4</t>
        </is>
      </c>
      <c r="P46" s="1" t="inlineStr">
        <is>
          <t>u5</t>
        </is>
      </c>
      <c r="Q46" s="1" t="inlineStr">
        <is>
          <t>u6</t>
        </is>
      </c>
      <c r="R46" s="1" t="inlineStr">
        <is>
          <t>ub</t>
        </is>
      </c>
      <c r="S46" s="1" t="inlineStr">
        <is>
          <t>scale</t>
        </is>
      </c>
    </row>
    <row r="47">
      <c r="A47" t="inlineStr">
        <is>
          <t>municipal waste incineration, at incineration plant, with semi-dry air pollution control, without flue gas condensation, with electricity and heat recovery</t>
        </is>
      </c>
      <c r="B47">
        <f>unallocated!B50/I47</f>
        <v>1</v>
      </c>
      <c r="C47" t="inlineStr">
        <is>
          <t>RER</t>
        </is>
      </c>
      <c r="D47" t="inlineStr">
        <is>
          <t>kilogram</t>
        </is>
      </c>
      <c r="F47" t="inlineStr">
        <is>
          <t>production</t>
        </is>
      </c>
      <c r="G47" t="inlineStr">
        <is>
          <t>municipal solid waste</t>
        </is>
      </c>
      <c r="H47" t="inlineStr"/>
      <c r="I47" t="n">
        <v>1000</v>
      </c>
      <c r="J47" t="n">
        <v>0</v>
      </c>
      <c r="L47" s="5" t="n"/>
      <c r="M47" s="5" t="n"/>
      <c r="N47" s="5" t="n"/>
      <c r="O47" s="5" t="n"/>
      <c r="P47" s="5" t="n"/>
      <c r="Q47" s="5" t="n"/>
    </row>
    <row r="48">
      <c r="A48" t="inlineStr">
        <is>
          <t>market group for electricity, medium voltage</t>
        </is>
      </c>
      <c r="B48">
        <f>unallocated!B51/I48</f>
        <v>-0.63800000000000001</v>
      </c>
      <c r="C48" t="inlineStr">
        <is>
          <t>RER</t>
        </is>
      </c>
      <c r="D48" t="inlineStr">
        <is>
          <t>kilowatt hour</t>
        </is>
      </c>
      <c r="F48" t="inlineStr">
        <is>
          <t>technosphere</t>
        </is>
      </c>
      <c r="G48" t="inlineStr">
        <is>
          <t>electricity, medium voltage</t>
        </is>
      </c>
      <c r="H48" t="inlineStr">
        <is>
          <t>Co-produced heat and electricity.</t>
        </is>
      </c>
      <c r="I48" t="n">
        <v>-1000</v>
      </c>
      <c r="J48" t="n">
        <v>0</v>
      </c>
      <c r="K48" s="3" t="n"/>
    </row>
    <row r="49">
      <c r="A49" t="inlineStr">
        <is>
          <t>market for heat, central or small-scale, natural gas</t>
        </is>
      </c>
      <c r="B49">
        <f>unallocated!B52/I49</f>
        <v>-6.17</v>
      </c>
      <c r="C49" t="inlineStr">
        <is>
          <t>Europe without Switzerland</t>
        </is>
      </c>
      <c r="D49" t="inlineStr">
        <is>
          <t>megajoule</t>
        </is>
      </c>
      <c r="F49" t="inlineStr">
        <is>
          <t>technosphere</t>
        </is>
      </c>
      <c r="G49" t="inlineStr">
        <is>
          <t>heat, central or small-scale, natural gas</t>
        </is>
      </c>
      <c r="H49" t="inlineStr">
        <is>
          <t>Co-produced heat and electricity.</t>
        </is>
      </c>
      <c r="I49" t="n">
        <v>-1000</v>
      </c>
      <c r="J49" t="n">
        <v>0</v>
      </c>
      <c r="K49" s="3" t="n"/>
    </row>
    <row r="50">
      <c r="A50" t="inlineStr">
        <is>
          <t>market for diesel, low-sulfur</t>
        </is>
      </c>
      <c r="B50">
        <f>unallocated!B53/I50</f>
        <v>8.5000000000000006E-5</v>
      </c>
      <c r="C50" t="inlineStr">
        <is>
          <t>Europe without Switzerland</t>
        </is>
      </c>
      <c r="D50" t="inlineStr">
        <is>
          <t>kilogram</t>
        </is>
      </c>
      <c r="F50" t="inlineStr">
        <is>
          <t>technosphere</t>
        </is>
      </c>
      <c r="G50" t="inlineStr">
        <is>
          <t>diesel, low-sulfur</t>
        </is>
      </c>
      <c r="H50" t="inlineStr">
        <is>
          <t>Diesel density: 0.85 kg/l</t>
        </is>
      </c>
      <c r="I50" t="n">
        <v>1000</v>
      </c>
      <c r="J50" t="n">
        <v>2</v>
      </c>
      <c r="K50" s="3">
        <f>LN(B50)</f>
        <v>-9.372859301473957</v>
      </c>
      <c r="L50" t="n">
        <v>1</v>
      </c>
      <c r="M50" t="n">
        <v>1</v>
      </c>
      <c r="N50" t="n">
        <v>1</v>
      </c>
      <c r="O50" t="n">
        <v>1.02</v>
      </c>
      <c r="P50" t="n">
        <v>1.2</v>
      </c>
      <c r="Q50" t="n">
        <v>1</v>
      </c>
      <c r="R50" t="n">
        <v>1.05</v>
      </c>
      <c r="S50">
        <f>LN(SQRT(EXP(
SQRT(
+POWER(LN(L50),2)
+POWER(LN(M50),2)
+POWER(LN(N50),2)
+POWER(LN(O50),2)
+POWER(LN(P50),2)
+POWER(LN(Q50),2)
+POWER(LN(R50),2)
)
)))</f>
        <v>9.4886477223156879E-2</v>
      </c>
    </row>
    <row r="51">
      <c r="A51" t="inlineStr">
        <is>
          <t>market for activated carbon, granular</t>
        </is>
      </c>
      <c r="B51">
        <f>unallocated!B54/I51</f>
        <v>4.0000000000000002E-4</v>
      </c>
      <c r="C51" t="inlineStr">
        <is>
          <t>GLO</t>
        </is>
      </c>
      <c r="D51" t="inlineStr">
        <is>
          <t>kilogram</t>
        </is>
      </c>
      <c r="F51" t="inlineStr">
        <is>
          <t>technosphere</t>
        </is>
      </c>
      <c r="G51" t="inlineStr">
        <is>
          <t>activated carbon, granular</t>
        </is>
      </c>
      <c r="I51" t="n">
        <v>1000</v>
      </c>
      <c r="J51" t="n">
        <v>2</v>
      </c>
      <c r="K51" s="3">
        <f>LN(B51)</f>
        <v>-7.8240460108562919</v>
      </c>
      <c r="L51" t="n">
        <v>1</v>
      </c>
      <c r="M51" t="n">
        <v>1</v>
      </c>
      <c r="N51" t="n">
        <v>1</v>
      </c>
      <c r="O51" t="n">
        <v>1.02</v>
      </c>
      <c r="P51" t="n">
        <v>1.2</v>
      </c>
      <c r="Q51" t="n">
        <v>1</v>
      </c>
      <c r="R51" t="n">
        <v>1.05</v>
      </c>
      <c r="S51">
        <f>LN(SQRT(EXP(
SQRT(
+POWER(LN(L51),2)
+POWER(LN(M51),2)
+POWER(LN(N51),2)
+POWER(LN(O51),2)
+POWER(LN(P51),2)
+POWER(LN(Q51),2)
+POWER(LN(R51),2)
)
)))</f>
        <v>9.4886477223156879E-2</v>
      </c>
    </row>
    <row r="52">
      <c r="A52" t="inlineStr">
        <is>
          <t>market for ammonia, anhydrous, liquid</t>
        </is>
      </c>
      <c r="B52">
        <f>unallocated!B55/I52</f>
        <v>9.7999999999999997E-4</v>
      </c>
      <c r="C52" t="inlineStr">
        <is>
          <t>RER</t>
        </is>
      </c>
      <c r="D52" t="inlineStr">
        <is>
          <t>kilogram</t>
        </is>
      </c>
      <c r="F52" t="inlineStr">
        <is>
          <t>technosphere</t>
        </is>
      </c>
      <c r="G52" t="inlineStr">
        <is>
          <t>ammonia, anhydrous, liquid</t>
        </is>
      </c>
      <c r="H52" t="inlineStr">
        <is>
          <t>100% liquid ammonia. In original publication, it is dilluated to 23.5% in water. We discount the original value by 75%.</t>
        </is>
      </c>
      <c r="I52" t="n">
        <v>1000</v>
      </c>
      <c r="J52" t="n">
        <v>2</v>
      </c>
      <c r="K52" s="3">
        <f>LN(B52)</f>
        <v>-6.9279579862996563</v>
      </c>
      <c r="L52" t="n">
        <v>1</v>
      </c>
      <c r="M52" t="n">
        <v>1</v>
      </c>
      <c r="N52" t="n">
        <v>1</v>
      </c>
      <c r="O52" t="n">
        <v>1.02</v>
      </c>
      <c r="P52" t="n">
        <v>1.2</v>
      </c>
      <c r="Q52" t="n">
        <v>1</v>
      </c>
      <c r="R52" t="n">
        <v>1.05</v>
      </c>
      <c r="S52">
        <f>LN(SQRT(EXP(
SQRT(
+POWER(LN(L52),2)
+POWER(LN(M52),2)
+POWER(LN(N52),2)
+POWER(LN(O52),2)
+POWER(LN(P52),2)
+POWER(LN(Q52),2)
+POWER(LN(R52),2)
)
)))</f>
        <v>9.4886477223156879E-2</v>
      </c>
    </row>
    <row r="53">
      <c r="A53" t="inlineStr">
        <is>
          <t>market for tap water</t>
        </is>
      </c>
      <c r="B53">
        <f>unallocated!B56/I53</f>
        <v>3.0200000000000001E-3</v>
      </c>
      <c r="C53" t="inlineStr">
        <is>
          <t>Europe without Switzerland</t>
        </is>
      </c>
      <c r="D53" t="inlineStr">
        <is>
          <t>kilogram</t>
        </is>
      </c>
      <c r="F53" t="inlineStr">
        <is>
          <t>technosphere</t>
        </is>
      </c>
      <c r="G53" t="inlineStr">
        <is>
          <t>tap water</t>
        </is>
      </c>
      <c r="H53" t="inlineStr">
        <is>
          <t>Used to dilute the ammonia.</t>
        </is>
      </c>
      <c r="I53" t="n">
        <v>1000</v>
      </c>
      <c r="J53" t="n">
        <v>2</v>
      </c>
      <c r="K53" s="3">
        <f>LN(B53)</f>
        <v>-5.8024984475953589</v>
      </c>
      <c r="L53" t="n">
        <v>1</v>
      </c>
      <c r="M53" t="n">
        <v>1</v>
      </c>
      <c r="N53" t="n">
        <v>1</v>
      </c>
      <c r="O53" t="n">
        <v>1.02</v>
      </c>
      <c r="P53" t="n">
        <v>1.2</v>
      </c>
      <c r="Q53" t="n">
        <v>1</v>
      </c>
      <c r="R53" t="n">
        <v>1.05</v>
      </c>
      <c r="S53">
        <f>LN(SQRT(EXP(
SQRT(
+POWER(LN(L53),2)
+POWER(LN(M53),2)
+POWER(LN(N53),2)
+POWER(LN(O53),2)
+POWER(LN(P53),2)
+POWER(LN(Q53),2)
+POWER(LN(R53),2)
)
)))</f>
        <v>9.4886477223156879E-2</v>
      </c>
    </row>
    <row r="54">
      <c r="A54" t="inlineStr">
        <is>
          <t>market for calcium carbonate, precipitated</t>
        </is>
      </c>
      <c r="B54">
        <f>unallocated!B57/I54</f>
        <v>0</v>
      </c>
      <c r="C54" t="inlineStr">
        <is>
          <t>RER</t>
        </is>
      </c>
      <c r="D54" t="inlineStr">
        <is>
          <t>kilogram</t>
        </is>
      </c>
      <c r="F54" t="inlineStr">
        <is>
          <t>technosphere</t>
        </is>
      </c>
      <c r="G54" t="inlineStr">
        <is>
          <t>calcium carbonate, precipitated</t>
        </is>
      </c>
      <c r="I54" t="n">
        <v>1000</v>
      </c>
      <c r="J54" t="n">
        <v>0</v>
      </c>
      <c r="K54" s="3" t="n"/>
    </row>
    <row r="55">
      <c r="A55" t="inlineStr">
        <is>
          <t>market for iron(III) chloride, without water, in 40% solution state</t>
        </is>
      </c>
      <c r="B55">
        <f>unallocated!B58/I55</f>
        <v>0</v>
      </c>
      <c r="C55" t="inlineStr">
        <is>
          <t>GLO</t>
        </is>
      </c>
      <c r="D55" t="inlineStr">
        <is>
          <t>kilogram</t>
        </is>
      </c>
      <c r="F55" t="inlineStr">
        <is>
          <t>technosphere</t>
        </is>
      </c>
      <c r="G55" t="inlineStr">
        <is>
          <t>iron(III) chloride, without water, in 40% solution state</t>
        </is>
      </c>
      <c r="I55" t="n">
        <v>1000</v>
      </c>
      <c r="J55" t="n">
        <v>0</v>
      </c>
      <c r="K55" s="3" t="n"/>
    </row>
    <row r="56">
      <c r="A56" t="inlineStr">
        <is>
          <t>market for lime, hydrated, packed</t>
        </is>
      </c>
      <c r="B56">
        <f>unallocated!B59/I56</f>
        <v>1.0999999999999999E-2</v>
      </c>
      <c r="C56" t="inlineStr">
        <is>
          <t>RER</t>
        </is>
      </c>
      <c r="D56" t="inlineStr">
        <is>
          <t>kilogram</t>
        </is>
      </c>
      <c r="F56" t="inlineStr">
        <is>
          <t>technosphere</t>
        </is>
      </c>
      <c r="G56" t="inlineStr">
        <is>
          <t>lime, hydrated, packed</t>
        </is>
      </c>
      <c r="I56" t="n">
        <v>1000</v>
      </c>
      <c r="J56" t="n">
        <v>2</v>
      </c>
      <c r="K56" s="3">
        <f>LN(B56)</f>
        <v>-4.5098600061837661</v>
      </c>
      <c r="L56" t="n">
        <v>1</v>
      </c>
      <c r="M56" t="n">
        <v>1</v>
      </c>
      <c r="N56" t="n">
        <v>1</v>
      </c>
      <c r="O56" t="n">
        <v>1.02</v>
      </c>
      <c r="P56" t="n">
        <v>1.2</v>
      </c>
      <c r="Q56" t="n">
        <v>1</v>
      </c>
      <c r="R56" t="n">
        <v>1.05</v>
      </c>
      <c r="S56">
        <f>LN(SQRT(EXP(
SQRT(
+POWER(LN(L56),2)
+POWER(LN(M56),2)
+POWER(LN(N56),2)
+POWER(LN(O56),2)
+POWER(LN(P56),2)
+POWER(LN(Q56),2)
+POWER(LN(R56),2)
)
)))</f>
        <v>9.4886477223156879E-2</v>
      </c>
    </row>
    <row r="57">
      <c r="A57" t="inlineStr">
        <is>
          <t>market for sodium hydroxide, without water, in 50% solution state</t>
        </is>
      </c>
      <c r="B57">
        <f>unallocated!B60/I57</f>
        <v>0</v>
      </c>
      <c r="C57" t="inlineStr">
        <is>
          <t>RER</t>
        </is>
      </c>
      <c r="D57" t="inlineStr">
        <is>
          <t>kilogram</t>
        </is>
      </c>
      <c r="F57" t="inlineStr">
        <is>
          <t>technosphere</t>
        </is>
      </c>
      <c r="G57" t="inlineStr">
        <is>
          <t>sodium hydroxide, without water, in 50% solution state</t>
        </is>
      </c>
      <c r="H57" t="inlineStr">
        <is>
          <t>50% liquid ammonia. In original publication, it is dilluated to 27% in water. We discount the original value by 50%.</t>
        </is>
      </c>
      <c r="I57" t="n">
        <v>1000</v>
      </c>
      <c r="J57" t="n">
        <v>0</v>
      </c>
      <c r="K57" s="3" t="n"/>
    </row>
    <row r="58">
      <c r="A58" t="inlineStr">
        <is>
          <t>market for monoethanolamine</t>
        </is>
      </c>
      <c r="B58">
        <f>unallocated!B61/I58</f>
        <v>0</v>
      </c>
      <c r="C58" t="inlineStr">
        <is>
          <t>GLO</t>
        </is>
      </c>
      <c r="D58" t="inlineStr">
        <is>
          <t>kilogram</t>
        </is>
      </c>
      <c r="F58" t="inlineStr">
        <is>
          <t>technosphere</t>
        </is>
      </c>
      <c r="G58" t="inlineStr">
        <is>
          <t>monoethanolamine</t>
        </is>
      </c>
      <c r="I58" t="n">
        <v>1000</v>
      </c>
      <c r="J58" t="n">
        <v>0</v>
      </c>
      <c r="K58" s="3" t="n"/>
    </row>
    <row r="59">
      <c r="A59" t="inlineStr">
        <is>
          <t>municipal waste incineration facility construction</t>
        </is>
      </c>
      <c r="B59">
        <f>unallocated!B62/I59</f>
        <v>2.4999999999999996E-10</v>
      </c>
      <c r="C59" t="inlineStr">
        <is>
          <t>CH</t>
        </is>
      </c>
      <c r="D59" t="inlineStr">
        <is>
          <t>unit</t>
        </is>
      </c>
      <c r="F59" t="inlineStr">
        <is>
          <t>technosphere</t>
        </is>
      </c>
      <c r="G59" t="inlineStr">
        <is>
          <t>municipal waste incineration facility</t>
        </is>
      </c>
      <c r="H59" t="inlineStr">
        <is>
          <t>Lifetime: 4'000'000 tons MSWI treated.</t>
        </is>
      </c>
      <c r="I59" t="n">
        <v>1000</v>
      </c>
      <c r="J59" t="n">
        <v>2</v>
      </c>
      <c r="K59" s="3">
        <f>LN(B59)</f>
        <v>-22.109560198066301</v>
      </c>
      <c r="L59" t="n">
        <v>1</v>
      </c>
      <c r="M59" t="n">
        <v>1</v>
      </c>
      <c r="N59" t="n">
        <v>1</v>
      </c>
      <c r="O59" t="n">
        <v>1.02</v>
      </c>
      <c r="P59" t="n">
        <v>1.2</v>
      </c>
      <c r="Q59" t="n">
        <v>1</v>
      </c>
      <c r="R59" t="n">
        <v>3</v>
      </c>
      <c r="S59">
        <f>LN(SQRT(EXP(
SQRT(
+POWER(LN(L59),2)
+POWER(LN(M59),2)
+POWER(LN(N59),2)
+POWER(LN(O59),2)
+POWER(LN(P59),2)
+POWER(LN(Q59),2)
+POWER(LN(R59),2)
)
)))</f>
        <v>0.5569071410325479</v>
      </c>
    </row>
    <row r="60">
      <c r="A60" t="inlineStr">
        <is>
          <t>Water, cooling, unspecified natural origin</t>
        </is>
      </c>
      <c r="B60">
        <f>unallocated!B63/I60</f>
        <v>1.4999999999999999E-4</v>
      </c>
      <c r="D60" t="inlineStr">
        <is>
          <t>cubic meter</t>
        </is>
      </c>
      <c r="E60" t="inlineStr">
        <is>
          <t>natural resource::in water</t>
        </is>
      </c>
      <c r="F60" t="inlineStr">
        <is>
          <t>biosphere</t>
        </is>
      </c>
      <c r="I60" t="n">
        <v>1000</v>
      </c>
      <c r="J60" t="n">
        <v>2</v>
      </c>
      <c r="K60" s="3">
        <f>LN(B60)</f>
        <v>-8.8048752638680181</v>
      </c>
      <c r="L60" t="n">
        <v>1</v>
      </c>
      <c r="M60" t="n">
        <v>1</v>
      </c>
      <c r="N60" t="n">
        <v>1</v>
      </c>
      <c r="O60" t="n">
        <v>1.02</v>
      </c>
      <c r="P60" t="n">
        <v>1.2</v>
      </c>
      <c r="Q60" t="n">
        <v>1</v>
      </c>
      <c r="R60" t="n">
        <v>1.05</v>
      </c>
      <c r="S60">
        <f>LN(SQRT(EXP(
SQRT(
+POWER(LN(L60),2)
+POWER(LN(M60),2)
+POWER(LN(N60),2)
+POWER(LN(O60),2)
+POWER(LN(P60),2)
+POWER(LN(Q60),2)
+POWER(LN(R60),2)
)
)))</f>
        <v>9.4886477223156879E-2</v>
      </c>
    </row>
    <row r="61">
      <c r="A61" t="inlineStr">
        <is>
          <t>Sulfur dioxide</t>
        </is>
      </c>
      <c r="B61">
        <f>unallocated!B64/I61</f>
        <v>1.1300000000000001E-4</v>
      </c>
      <c r="D61" t="inlineStr">
        <is>
          <t>kilogram</t>
        </is>
      </c>
      <c r="E61" t="inlineStr">
        <is>
          <t>air::urban air close to ground</t>
        </is>
      </c>
      <c r="F61" t="inlineStr">
        <is>
          <t>biosphere</t>
        </is>
      </c>
      <c r="I61" t="n">
        <v>1000</v>
      </c>
      <c r="J61" t="n">
        <v>2</v>
      </c>
      <c r="K61" s="3">
        <f>LN(B61)</f>
        <v>-9.0881227392519328</v>
      </c>
      <c r="L61" t="n">
        <v>1</v>
      </c>
      <c r="M61" t="n">
        <v>1</v>
      </c>
      <c r="N61" t="n">
        <v>1</v>
      </c>
      <c r="O61" t="n">
        <v>1.02</v>
      </c>
      <c r="P61" t="n">
        <v>1.2</v>
      </c>
      <c r="Q61" t="n">
        <v>1</v>
      </c>
      <c r="R61" t="n">
        <v>1.05</v>
      </c>
      <c r="S61">
        <f>LN(SQRT(EXP(
SQRT(
+POWER(LN(L61),2)
+POWER(LN(M61),2)
+POWER(LN(N61),2)
+POWER(LN(O61),2)
+POWER(LN(P61),2)
+POWER(LN(Q61),2)
+POWER(LN(R61),2)
)
)))</f>
        <v>9.4886477223156879E-2</v>
      </c>
    </row>
    <row r="62">
      <c r="A62" t="inlineStr">
        <is>
          <t>Hydrochloric acid</t>
        </is>
      </c>
      <c r="B62">
        <f>unallocated!B65/I62</f>
        <v>2.8E-5</v>
      </c>
      <c r="D62" t="inlineStr">
        <is>
          <t>kilogram</t>
        </is>
      </c>
      <c r="E62" t="inlineStr">
        <is>
          <t>air</t>
        </is>
      </c>
      <c r="F62" t="inlineStr">
        <is>
          <t>biosphere</t>
        </is>
      </c>
      <c r="I62" t="n">
        <v>1000</v>
      </c>
      <c r="J62" t="n">
        <v>2</v>
      </c>
      <c r="K62" s="3">
        <f>LN(B62)</f>
        <v>-10.483306047789069</v>
      </c>
      <c r="L62" t="n">
        <v>1</v>
      </c>
      <c r="M62" t="n">
        <v>1</v>
      </c>
      <c r="N62" t="n">
        <v>1</v>
      </c>
      <c r="O62" t="n">
        <v>1.02</v>
      </c>
      <c r="P62" t="n">
        <v>1.2</v>
      </c>
      <c r="Q62" t="n">
        <v>1</v>
      </c>
      <c r="R62" t="n">
        <v>1.5</v>
      </c>
      <c r="S62">
        <f>LN(SQRT(EXP(
SQRT(
+POWER(LN(L62),2)
+POWER(LN(M62),2)
+POWER(LN(N62),2)
+POWER(LN(O62),2)
+POWER(LN(P62),2)
+POWER(LN(Q62),2)
+POWER(LN(R62),2)
)
)))</f>
        <v>0.22250575723605889</v>
      </c>
    </row>
    <row r="63">
      <c r="A63" t="inlineStr">
        <is>
          <t>Nitrogen oxides</t>
        </is>
      </c>
      <c r="B63">
        <f>unallocated!B66/I63</f>
        <v>6.7700000000000008E-4</v>
      </c>
      <c r="D63" t="inlineStr">
        <is>
          <t>kilogram</t>
        </is>
      </c>
      <c r="E63" t="inlineStr">
        <is>
          <t>air::urban air close to ground</t>
        </is>
      </c>
      <c r="F63" t="inlineStr">
        <is>
          <t>biosphere</t>
        </is>
      </c>
      <c r="I63" t="n">
        <v>1000</v>
      </c>
      <c r="J63" t="n">
        <v>2</v>
      </c>
      <c r="K63" s="3">
        <f>LN(B63)</f>
        <v>-7.2978392850519986</v>
      </c>
      <c r="L63" t="n">
        <v>1</v>
      </c>
      <c r="M63" t="n">
        <v>1</v>
      </c>
      <c r="N63" t="n">
        <v>1</v>
      </c>
      <c r="O63" t="n">
        <v>1.02</v>
      </c>
      <c r="P63" t="n">
        <v>1.2</v>
      </c>
      <c r="Q63" t="n">
        <v>1</v>
      </c>
      <c r="R63" t="n">
        <v>1.5</v>
      </c>
      <c r="S63">
        <f>LN(SQRT(EXP(
SQRT(
+POWER(LN(L63),2)
+POWER(LN(M63),2)
+POWER(LN(N63),2)
+POWER(LN(O63),2)
+POWER(LN(P63),2)
+POWER(LN(Q63),2)
+POWER(LN(R63),2)
)
)))</f>
        <v>0.22250575723605889</v>
      </c>
    </row>
    <row r="64">
      <c r="A64" t="inlineStr">
        <is>
          <t>Ammonia</t>
        </is>
      </c>
      <c r="B64">
        <f>unallocated!B67/I64</f>
        <v>4.4999999999999996E-5</v>
      </c>
      <c r="D64" t="inlineStr">
        <is>
          <t>kilogram</t>
        </is>
      </c>
      <c r="E64" t="inlineStr">
        <is>
          <t>air::urban air close to ground</t>
        </is>
      </c>
      <c r="F64" t="inlineStr">
        <is>
          <t>biosphere</t>
        </is>
      </c>
      <c r="I64" t="n">
        <v>1000</v>
      </c>
      <c r="J64" t="n">
        <v>2</v>
      </c>
      <c r="K64" s="3">
        <f>LN(B64)</f>
        <v>-10.008848068193954</v>
      </c>
      <c r="L64" t="n">
        <v>1</v>
      </c>
      <c r="M64" t="n">
        <v>1</v>
      </c>
      <c r="N64" t="n">
        <v>1</v>
      </c>
      <c r="O64" t="n">
        <v>1.02</v>
      </c>
      <c r="P64" t="n">
        <v>1.2</v>
      </c>
      <c r="Q64" t="n">
        <v>1</v>
      </c>
      <c r="R64" t="n">
        <v>1.5</v>
      </c>
      <c r="S64">
        <f>LN(SQRT(EXP(
SQRT(
+POWER(LN(L64),2)
+POWER(LN(M64),2)
+POWER(LN(N64),2)
+POWER(LN(O64),2)
+POWER(LN(P64),2)
+POWER(LN(Q64),2)
+POWER(LN(R64),2)
)
)))</f>
        <v>0.22250575723605889</v>
      </c>
    </row>
    <row r="65">
      <c r="A65" t="inlineStr">
        <is>
          <t>Particulate Matter, &lt; 2.5 um</t>
        </is>
      </c>
      <c r="B65">
        <f>unallocated!B68/I65</f>
        <v>6.0000000000000002E-6</v>
      </c>
      <c r="D65" t="inlineStr">
        <is>
          <t>kilogram</t>
        </is>
      </c>
      <c r="E65" t="inlineStr">
        <is>
          <t>air::urban air close to ground</t>
        </is>
      </c>
      <c r="F65" t="inlineStr">
        <is>
          <t>biosphere</t>
        </is>
      </c>
      <c r="I65" t="n">
        <v>1000</v>
      </c>
      <c r="J65" t="n">
        <v>2</v>
      </c>
      <c r="K65" s="3">
        <f>LN(B65)</f>
        <v>-12.023751088736219</v>
      </c>
      <c r="L65" t="n">
        <v>1</v>
      </c>
      <c r="M65" t="n">
        <v>1</v>
      </c>
      <c r="N65" t="n">
        <v>1</v>
      </c>
      <c r="O65" t="n">
        <v>1.02</v>
      </c>
      <c r="P65" t="n">
        <v>1.2</v>
      </c>
      <c r="Q65" t="n">
        <v>1</v>
      </c>
      <c r="R65" t="n">
        <v>3</v>
      </c>
      <c r="S65">
        <f>LN(SQRT(EXP(
SQRT(
+POWER(LN(L65),2)
+POWER(LN(M65),2)
+POWER(LN(N65),2)
+POWER(LN(O65),2)
+POWER(LN(P65),2)
+POWER(LN(Q65),2)
+POWER(LN(R65),2)
)
)))</f>
        <v>0.5569071410325479</v>
      </c>
    </row>
    <row r="66">
      <c r="A66" t="inlineStr">
        <is>
          <t>Mercury II</t>
        </is>
      </c>
      <c r="B66">
        <f>unallocated!B69/I66</f>
        <v>2.3000000000000001E-8</v>
      </c>
      <c r="D66" t="inlineStr">
        <is>
          <t>kilogram</t>
        </is>
      </c>
      <c r="E66" t="inlineStr">
        <is>
          <t>air::urban air close to ground</t>
        </is>
      </c>
      <c r="F66" t="inlineStr">
        <is>
          <t>biosphere</t>
        </is>
      </c>
      <c r="I66" t="n">
        <v>1000</v>
      </c>
      <c r="J66" t="n">
        <v>2</v>
      </c>
      <c r="K66" s="3">
        <f>LN(B66)</f>
        <v>-17.587771621017261</v>
      </c>
      <c r="L66" t="n">
        <v>1</v>
      </c>
      <c r="M66" t="n">
        <v>1</v>
      </c>
      <c r="N66" t="n">
        <v>1</v>
      </c>
      <c r="O66" t="n">
        <v>1.02</v>
      </c>
      <c r="P66" t="n">
        <v>1.2</v>
      </c>
      <c r="Q66" t="n">
        <v>1</v>
      </c>
      <c r="R66" t="n">
        <v>5</v>
      </c>
      <c r="S66">
        <f>LN(SQRT(EXP(
SQRT(
+POWER(LN(L66),2)
+POWER(LN(M66),2)
+POWER(LN(N66),2)
+POWER(LN(O66),2)
+POWER(LN(P66),2)
+POWER(LN(Q66),2)
+POWER(LN(R66),2)
)
)))</f>
        <v>0.80992649174166365</v>
      </c>
    </row>
    <row r="67">
      <c r="A67" t="inlineStr">
        <is>
          <t>Lead II</t>
        </is>
      </c>
      <c r="B67">
        <f>unallocated!B70/I67</f>
        <v>5.5999999999999999E-8</v>
      </c>
      <c r="D67" t="inlineStr">
        <is>
          <t>kilogram</t>
        </is>
      </c>
      <c r="E67" t="inlineStr">
        <is>
          <t>air::urban air close to ground</t>
        </is>
      </c>
      <c r="F67" t="inlineStr">
        <is>
          <t>biosphere</t>
        </is>
      </c>
      <c r="I67" t="n">
        <v>1000</v>
      </c>
      <c r="J67" t="n">
        <v>2</v>
      </c>
      <c r="K67" s="3">
        <f>LN(B67)</f>
        <v>-16.697914146211261</v>
      </c>
      <c r="L67" t="n">
        <v>1</v>
      </c>
      <c r="M67" t="n">
        <v>1</v>
      </c>
      <c r="N67" t="n">
        <v>1</v>
      </c>
      <c r="O67" t="n">
        <v>1.02</v>
      </c>
      <c r="P67" t="n">
        <v>1.2</v>
      </c>
      <c r="Q67" t="n">
        <v>1</v>
      </c>
      <c r="R67" t="n">
        <v>5</v>
      </c>
      <c r="S67">
        <f>LN(SQRT(EXP(
SQRT(
+POWER(LN(L67),2)
+POWER(LN(M67),2)
+POWER(LN(N67),2)
+POWER(LN(O67),2)
+POWER(LN(P67),2)
+POWER(LN(Q67),2)
+POWER(LN(R67),2)
)
)))</f>
        <v>0.80992649174166365</v>
      </c>
    </row>
    <row r="68">
      <c r="A68" t="inlineStr">
        <is>
          <t>Cadmium II</t>
        </is>
      </c>
      <c r="B68">
        <f>unallocated!B71/I68</f>
        <v>2.7999999999999999E-8</v>
      </c>
      <c r="D68" t="inlineStr">
        <is>
          <t>kilogram</t>
        </is>
      </c>
      <c r="E68" t="inlineStr">
        <is>
          <t>air::urban air close to ground</t>
        </is>
      </c>
      <c r="F68" t="inlineStr">
        <is>
          <t>biosphere</t>
        </is>
      </c>
      <c r="I68" t="n">
        <v>1000</v>
      </c>
      <c r="J68" t="n">
        <v>2</v>
      </c>
      <c r="K68" s="3">
        <f>LN(B68)</f>
        <v>-17.391061326771208</v>
      </c>
      <c r="L68" t="n">
        <v>1</v>
      </c>
      <c r="M68" t="n">
        <v>1</v>
      </c>
      <c r="N68" t="n">
        <v>1</v>
      </c>
      <c r="O68" t="n">
        <v>1.02</v>
      </c>
      <c r="P68" t="n">
        <v>1.2</v>
      </c>
      <c r="Q68" t="n">
        <v>1</v>
      </c>
      <c r="R68" t="n">
        <v>5</v>
      </c>
      <c r="S68">
        <f>LN(SQRT(EXP(
SQRT(
+POWER(LN(L68),2)
+POWER(LN(M68),2)
+POWER(LN(N68),2)
+POWER(LN(O68),2)
+POWER(LN(P68),2)
+POWER(LN(Q68),2)
+POWER(LN(R68),2)
)
)))</f>
        <v>0.80992649174166365</v>
      </c>
    </row>
    <row r="69">
      <c r="A69" t="inlineStr">
        <is>
          <t>Arsenic ion</t>
        </is>
      </c>
      <c r="B69">
        <f>unallocated!B72/I69</f>
        <v>6E-9</v>
      </c>
      <c r="D69" t="inlineStr">
        <is>
          <t>kilogram</t>
        </is>
      </c>
      <c r="E69" t="inlineStr">
        <is>
          <t>air::urban air close to ground</t>
        </is>
      </c>
      <c r="F69" t="inlineStr">
        <is>
          <t>biosphere</t>
        </is>
      </c>
      <c r="I69" t="n">
        <v>1000</v>
      </c>
      <c r="J69" t="n">
        <v>2</v>
      </c>
      <c r="K69" s="3">
        <f>LN(B69)</f>
        <v>-18.931506367718356</v>
      </c>
      <c r="L69" t="n">
        <v>1</v>
      </c>
      <c r="M69" t="n">
        <v>1</v>
      </c>
      <c r="N69" t="n">
        <v>1</v>
      </c>
      <c r="O69" t="n">
        <v>1.02</v>
      </c>
      <c r="P69" t="n">
        <v>1.2</v>
      </c>
      <c r="Q69" t="n">
        <v>1</v>
      </c>
      <c r="R69" t="n">
        <v>5</v>
      </c>
      <c r="S69">
        <f>LN(SQRT(EXP(
SQRT(
+POWER(LN(L69),2)
+POWER(LN(M69),2)
+POWER(LN(N69),2)
+POWER(LN(O69),2)
+POWER(LN(P69),2)
+POWER(LN(Q69),2)
+POWER(LN(R69),2)
)
)))</f>
        <v>0.80992649174166365</v>
      </c>
    </row>
    <row r="70">
      <c r="A70" t="inlineStr">
        <is>
          <t>Dioxins, measured as 2,3,7,8-tetrachlorodibenzo-p-dioxin</t>
        </is>
      </c>
      <c r="B70">
        <f>unallocated!B73/I70</f>
        <v>1.1000000000000001E-13</v>
      </c>
      <c r="D70" t="inlineStr">
        <is>
          <t>kilogram</t>
        </is>
      </c>
      <c r="E70" t="inlineStr">
        <is>
          <t>air::urban air close to ground</t>
        </is>
      </c>
      <c r="F70" t="inlineStr">
        <is>
          <t>biosphere</t>
        </is>
      </c>
      <c r="I70" t="n">
        <v>1000</v>
      </c>
      <c r="J70" t="n">
        <v>2</v>
      </c>
      <c r="K70" s="3">
        <f>LN(B70)</f>
        <v>-29.838296029118268</v>
      </c>
      <c r="L70" t="n">
        <v>1</v>
      </c>
      <c r="M70" t="n">
        <v>1</v>
      </c>
      <c r="N70" t="n">
        <v>1</v>
      </c>
      <c r="O70" t="n">
        <v>1.02</v>
      </c>
      <c r="P70" t="n">
        <v>1.2</v>
      </c>
      <c r="Q70" t="n">
        <v>1</v>
      </c>
      <c r="R70" t="n">
        <v>5</v>
      </c>
      <c r="S70">
        <f>LN(SQRT(EXP(
SQRT(
+POWER(LN(L70),2)
+POWER(LN(M70),2)
+POWER(LN(N70),2)
+POWER(LN(O70),2)
+POWER(LN(P70),2)
+POWER(LN(Q70),2)
+POWER(LN(R70),2)
)
)))</f>
        <v>0.80992649174166365</v>
      </c>
    </row>
    <row r="71">
      <c r="A71" t="inlineStr">
        <is>
          <t>Carbon dioxide, fossil</t>
        </is>
      </c>
      <c r="B71">
        <f>unallocated!B74/I71</f>
        <v>0.374</v>
      </c>
      <c r="D71" t="inlineStr">
        <is>
          <t>kilogram</t>
        </is>
      </c>
      <c r="E71" t="inlineStr">
        <is>
          <t>air::urban air close to ground</t>
        </is>
      </c>
      <c r="F71" t="inlineStr">
        <is>
          <t>biosphere</t>
        </is>
      </c>
      <c r="I71" t="n">
        <v>1000</v>
      </c>
      <c r="J71" t="n">
        <v>2</v>
      </c>
      <c r="K71" s="3">
        <f>LN(B71)</f>
        <v>-0.98349948156760514</v>
      </c>
      <c r="L71" t="n">
        <v>1</v>
      </c>
      <c r="M71" t="n">
        <v>1</v>
      </c>
      <c r="N71" t="n">
        <v>1</v>
      </c>
      <c r="O71" t="n">
        <v>1.02</v>
      </c>
      <c r="P71" t="n">
        <v>1.2</v>
      </c>
      <c r="Q71" t="n">
        <v>1</v>
      </c>
      <c r="R71" t="n">
        <v>1.05</v>
      </c>
      <c r="S71">
        <f>LN(SQRT(EXP(
SQRT(
+POWER(LN(L71),2)
+POWER(LN(M71),2)
+POWER(LN(N71),2)
+POWER(LN(O71),2)
+POWER(LN(P71),2)
+POWER(LN(Q71),2)
+POWER(LN(R71),2)
)
)))</f>
        <v>9.4886477223156879E-2</v>
      </c>
    </row>
    <row r="72">
      <c r="A72" t="inlineStr">
        <is>
          <t>Carbon dioxide, non-fossil</t>
        </is>
      </c>
      <c r="B72">
        <f>unallocated!B75/I72</f>
        <v>0.59399999999999997</v>
      </c>
      <c r="D72" t="inlineStr">
        <is>
          <t>kilogram</t>
        </is>
      </c>
      <c r="E72" t="inlineStr">
        <is>
          <t>air::urban air close to ground</t>
        </is>
      </c>
      <c r="F72" t="inlineStr">
        <is>
          <t>biosphere</t>
        </is>
      </c>
      <c r="I72" t="n">
        <v>1000</v>
      </c>
      <c r="J72" t="n">
        <v>2</v>
      </c>
      <c r="K72" s="3">
        <f>LN(B72)</f>
        <v>-0.52087595961949218</v>
      </c>
      <c r="L72" t="n">
        <v>1</v>
      </c>
      <c r="M72" t="n">
        <v>1</v>
      </c>
      <c r="N72" t="n">
        <v>1</v>
      </c>
      <c r="O72" t="n">
        <v>1.02</v>
      </c>
      <c r="P72" t="n">
        <v>1.2</v>
      </c>
      <c r="Q72" t="n">
        <v>1</v>
      </c>
      <c r="R72" t="n">
        <v>1.05</v>
      </c>
      <c r="S72">
        <f>LN(SQRT(EXP(
SQRT(
+POWER(LN(L72),2)
+POWER(LN(M72),2)
+POWER(LN(N72),2)
+POWER(LN(O72),2)
+POWER(LN(P72),2)
+POWER(LN(Q72),2)
+POWER(LN(R72),2)
)
)))</f>
        <v>9.4886477223156879E-2</v>
      </c>
    </row>
    <row r="73"/>
    <row r="74">
      <c r="A74" s="1" t="inlineStr">
        <is>
          <t>Activity</t>
        </is>
      </c>
      <c r="B74" s="1" t="inlineStr">
        <is>
          <t>municipal waste incineration, at incineration plant, with semi-dry air pollution control, with flue gas condensation, with electricity and heat recovery</t>
        </is>
      </c>
    </row>
    <row r="75">
      <c r="A75" t="inlineStr">
        <is>
          <t>location</t>
        </is>
      </c>
      <c r="B75" t="inlineStr">
        <is>
          <t>RER</t>
        </is>
      </c>
    </row>
    <row r="76">
      <c r="A76" t="inlineStr">
        <is>
          <t>production amount</t>
        </is>
      </c>
      <c r="B76" t="n">
        <v>1</v>
      </c>
    </row>
    <row r="77">
      <c r="A77" s="2" t="inlineStr">
        <is>
          <t>source</t>
        </is>
      </c>
      <c r="B77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8">
      <c r="A78" t="inlineStr">
        <is>
          <t>reference product</t>
        </is>
      </c>
      <c r="B78" t="inlineStr">
        <is>
          <t>municipal solid waste</t>
        </is>
      </c>
    </row>
    <row r="79">
      <c r="A79" t="inlineStr">
        <is>
          <t>type</t>
        </is>
      </c>
      <c r="B79" t="inlineStr">
        <is>
          <t>process</t>
        </is>
      </c>
    </row>
    <row r="80">
      <c r="A80" t="inlineStr">
        <is>
          <t>unit</t>
        </is>
      </c>
      <c r="B80" t="inlineStr">
        <is>
          <t>kilogram</t>
        </is>
      </c>
    </row>
    <row r="81">
      <c r="A81" t="inlineStr">
        <is>
          <t>comment</t>
        </is>
      </c>
      <c r="B81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623 kWh. Heat production per ton MSWI incinerated: 7'860 MJ.</t>
        </is>
      </c>
    </row>
    <row r="82">
      <c r="A82" s="1" t="inlineStr">
        <is>
          <t>Exchanges</t>
        </is>
      </c>
    </row>
    <row r="83">
      <c r="A83" s="7" t="inlineStr">
        <is>
          <t>name</t>
        </is>
      </c>
      <c r="B83" s="7" t="inlineStr">
        <is>
          <t>amount</t>
        </is>
      </c>
      <c r="C83" s="7" t="inlineStr">
        <is>
          <t>location</t>
        </is>
      </c>
      <c r="D83" s="7" t="inlineStr">
        <is>
          <t>unit</t>
        </is>
      </c>
      <c r="E83" s="7" t="inlineStr">
        <is>
          <t>categories</t>
        </is>
      </c>
      <c r="F83" s="7" t="inlineStr">
        <is>
          <t>type</t>
        </is>
      </c>
      <c r="G83" s="7" t="inlineStr">
        <is>
          <t>reference product</t>
        </is>
      </c>
      <c r="H83" s="7" t="inlineStr">
        <is>
          <t>comment</t>
        </is>
      </c>
      <c r="I83" s="7" t="inlineStr">
        <is>
          <t>normalization</t>
        </is>
      </c>
      <c r="J83" s="7" t="inlineStr">
        <is>
          <t>uncertainty type</t>
        </is>
      </c>
      <c r="K83" s="7" t="inlineStr">
        <is>
          <t>loc</t>
        </is>
      </c>
      <c r="L83" s="1" t="inlineStr">
        <is>
          <t>u1</t>
        </is>
      </c>
      <c r="M83" s="1" t="inlineStr">
        <is>
          <t>u2</t>
        </is>
      </c>
      <c r="N83" s="1" t="inlineStr">
        <is>
          <t>u3</t>
        </is>
      </c>
      <c r="O83" s="1" t="inlineStr">
        <is>
          <t>u4</t>
        </is>
      </c>
      <c r="P83" s="1" t="inlineStr">
        <is>
          <t>u5</t>
        </is>
      </c>
      <c r="Q83" s="1" t="inlineStr">
        <is>
          <t>u6</t>
        </is>
      </c>
      <c r="R83" s="1" t="inlineStr">
        <is>
          <t>ub</t>
        </is>
      </c>
      <c r="S83" s="1" t="inlineStr">
        <is>
          <t>scale</t>
        </is>
      </c>
    </row>
    <row r="84">
      <c r="A84" t="inlineStr">
        <is>
          <t>municipal waste incineration, at incineration plant, with semi-dry air pollution control, with flue gas condensation, with electricity and heat recovery</t>
        </is>
      </c>
      <c r="B84">
        <f>unallocated!B87/I84</f>
        <v>1</v>
      </c>
      <c r="C84" t="inlineStr">
        <is>
          <t>RER</t>
        </is>
      </c>
      <c r="D84" t="inlineStr">
        <is>
          <t>kilogram</t>
        </is>
      </c>
      <c r="F84" t="inlineStr">
        <is>
          <t>production</t>
        </is>
      </c>
      <c r="G84" t="inlineStr">
        <is>
          <t>municipal solid waste</t>
        </is>
      </c>
      <c r="H84" t="inlineStr"/>
      <c r="I84" t="n">
        <v>1000</v>
      </c>
      <c r="J84" t="n">
        <v>0</v>
      </c>
      <c r="L84" s="5" t="n"/>
      <c r="M84" s="5" t="n"/>
      <c r="N84" s="5" t="n"/>
      <c r="O84" s="5" t="n"/>
      <c r="P84" s="5" t="n"/>
      <c r="Q84" s="5" t="n"/>
    </row>
    <row r="85">
      <c r="A85" t="inlineStr">
        <is>
          <t>market group for electricity, medium voltage</t>
        </is>
      </c>
      <c r="B85">
        <f>unallocated!B88/I85</f>
        <v>-0.623</v>
      </c>
      <c r="C85" t="inlineStr">
        <is>
          <t>RER</t>
        </is>
      </c>
      <c r="D85" t="inlineStr">
        <is>
          <t>kilowatt hour</t>
        </is>
      </c>
      <c r="F85" t="inlineStr">
        <is>
          <t>technosphere</t>
        </is>
      </c>
      <c r="G85" t="inlineStr">
        <is>
          <t>electricity, medium voltage</t>
        </is>
      </c>
      <c r="H85" t="inlineStr">
        <is>
          <t>Co-produced heat and electricity.</t>
        </is>
      </c>
      <c r="I85" t="n">
        <v>-1000</v>
      </c>
      <c r="J85" t="n">
        <v>0</v>
      </c>
      <c r="K85" s="3" t="n"/>
    </row>
    <row r="86">
      <c r="A86" t="inlineStr">
        <is>
          <t>market for heat, central or small-scale, natural gas</t>
        </is>
      </c>
      <c r="B86">
        <f>unallocated!B89/I86</f>
        <v>-7.86</v>
      </c>
      <c r="C86" t="inlineStr">
        <is>
          <t>Europe without Switzerland</t>
        </is>
      </c>
      <c r="D86" t="inlineStr">
        <is>
          <t>megajoule</t>
        </is>
      </c>
      <c r="F86" t="inlineStr">
        <is>
          <t>technosphere</t>
        </is>
      </c>
      <c r="G86" t="inlineStr">
        <is>
          <t>heat, central or small-scale, natural gas</t>
        </is>
      </c>
      <c r="H86" t="inlineStr">
        <is>
          <t>Co-produced heat and electricity.</t>
        </is>
      </c>
      <c r="I86" t="n">
        <v>-1000</v>
      </c>
      <c r="J86" t="n">
        <v>0</v>
      </c>
      <c r="K86" s="3" t="n"/>
    </row>
    <row r="87">
      <c r="A87" t="inlineStr">
        <is>
          <t>market for diesel, low-sulfur</t>
        </is>
      </c>
      <c r="B87">
        <f>unallocated!B90/I87</f>
        <v>8.5000000000000006E-5</v>
      </c>
      <c r="C87" t="inlineStr">
        <is>
          <t>Europe without Switzerland</t>
        </is>
      </c>
      <c r="D87" t="inlineStr">
        <is>
          <t>kilogram</t>
        </is>
      </c>
      <c r="F87" t="inlineStr">
        <is>
          <t>technosphere</t>
        </is>
      </c>
      <c r="G87" t="inlineStr">
        <is>
          <t>diesel, low-sulfur</t>
        </is>
      </c>
      <c r="H87" t="inlineStr">
        <is>
          <t>Diesel density: 0.85 kg/l</t>
        </is>
      </c>
      <c r="I87" t="n">
        <v>1000</v>
      </c>
      <c r="J87" t="n">
        <v>2</v>
      </c>
      <c r="K87" s="3">
        <f>LN(B87)</f>
        <v>-9.372859301473957</v>
      </c>
      <c r="L87" t="n">
        <v>1</v>
      </c>
      <c r="M87" t="n">
        <v>1</v>
      </c>
      <c r="N87" t="n">
        <v>1</v>
      </c>
      <c r="O87" t="n">
        <v>1.02</v>
      </c>
      <c r="P87" t="n">
        <v>1.2</v>
      </c>
      <c r="Q87" t="n">
        <v>1</v>
      </c>
      <c r="R87" t="n">
        <v>1.05</v>
      </c>
      <c r="S87">
        <f>LN(SQRT(EXP(
SQRT(
+POWER(LN(L87),2)
+POWER(LN(M87),2)
+POWER(LN(N87),2)
+POWER(LN(O87),2)
+POWER(LN(P87),2)
+POWER(LN(Q87),2)
+POWER(LN(R87),2)
)
)))</f>
        <v>9.4886477223156879E-2</v>
      </c>
    </row>
    <row r="88">
      <c r="A88" t="inlineStr">
        <is>
          <t>market for activated carbon, granular</t>
        </is>
      </c>
      <c r="B88">
        <f>unallocated!B91/I88</f>
        <v>4.0000000000000002E-4</v>
      </c>
      <c r="C88" t="inlineStr">
        <is>
          <t>GLO</t>
        </is>
      </c>
      <c r="D88" t="inlineStr">
        <is>
          <t>kilogram</t>
        </is>
      </c>
      <c r="F88" t="inlineStr">
        <is>
          <t>technosphere</t>
        </is>
      </c>
      <c r="G88" t="inlineStr">
        <is>
          <t>activated carbon, granular</t>
        </is>
      </c>
      <c r="I88" t="n">
        <v>1000</v>
      </c>
      <c r="J88" t="n">
        <v>2</v>
      </c>
      <c r="K88" s="3">
        <f>LN(B88)</f>
        <v>-7.8240460108562919</v>
      </c>
      <c r="L88" t="n">
        <v>1</v>
      </c>
      <c r="M88" t="n">
        <v>1</v>
      </c>
      <c r="N88" t="n">
        <v>1</v>
      </c>
      <c r="O88" t="n">
        <v>1.02</v>
      </c>
      <c r="P88" t="n">
        <v>1.2</v>
      </c>
      <c r="Q88" t="n">
        <v>1</v>
      </c>
      <c r="R88" t="n">
        <v>1.05</v>
      </c>
      <c r="S88">
        <f>LN(SQRT(EXP(
SQRT(
+POWER(LN(L88),2)
+POWER(LN(M88),2)
+POWER(LN(N88),2)
+POWER(LN(O88),2)
+POWER(LN(P88),2)
+POWER(LN(Q88),2)
+POWER(LN(R88),2)
)
)))</f>
        <v>9.4886477223156879E-2</v>
      </c>
    </row>
    <row r="89">
      <c r="A89" t="inlineStr">
        <is>
          <t>market for ammonia, anhydrous, liquid</t>
        </is>
      </c>
      <c r="B89">
        <f>unallocated!B92/I89</f>
        <v>9.7999999999999997E-4</v>
      </c>
      <c r="C89" t="inlineStr">
        <is>
          <t>RER</t>
        </is>
      </c>
      <c r="D89" t="inlineStr">
        <is>
          <t>kilogram</t>
        </is>
      </c>
      <c r="F89" t="inlineStr">
        <is>
          <t>technosphere</t>
        </is>
      </c>
      <c r="G89" t="inlineStr">
        <is>
          <t>ammonia, anhydrous, liquid</t>
        </is>
      </c>
      <c r="H89" t="inlineStr">
        <is>
          <t>100% liquid ammonia. In original publication, it is dilluated to 23.5% in water. We discount the original value by 75%.</t>
        </is>
      </c>
      <c r="I89" t="n">
        <v>1000</v>
      </c>
      <c r="J89" t="n">
        <v>2</v>
      </c>
      <c r="K89" s="3">
        <f>LN(B89)</f>
        <v>-6.9279579862996563</v>
      </c>
      <c r="L89" t="n">
        <v>1</v>
      </c>
      <c r="M89" t="n">
        <v>1</v>
      </c>
      <c r="N89" t="n">
        <v>1</v>
      </c>
      <c r="O89" t="n">
        <v>1.02</v>
      </c>
      <c r="P89" t="n">
        <v>1.2</v>
      </c>
      <c r="Q89" t="n">
        <v>1</v>
      </c>
      <c r="R89" t="n">
        <v>1.05</v>
      </c>
      <c r="S89">
        <f>LN(SQRT(EXP(
SQRT(
+POWER(LN(L89),2)
+POWER(LN(M89),2)
+POWER(LN(N89),2)
+POWER(LN(O89),2)
+POWER(LN(P89),2)
+POWER(LN(Q89),2)
+POWER(LN(R89),2)
)
)))</f>
        <v>9.4886477223156879E-2</v>
      </c>
    </row>
    <row r="90">
      <c r="A90" t="inlineStr">
        <is>
          <t>market for tap water</t>
        </is>
      </c>
      <c r="B90">
        <f>unallocated!B93/I90</f>
        <v>3.0200000000000001E-3</v>
      </c>
      <c r="C90" t="inlineStr">
        <is>
          <t>Europe without Switzerland</t>
        </is>
      </c>
      <c r="D90" t="inlineStr">
        <is>
          <t>kilogram</t>
        </is>
      </c>
      <c r="F90" t="inlineStr">
        <is>
          <t>technosphere</t>
        </is>
      </c>
      <c r="G90" t="inlineStr">
        <is>
          <t>tap water</t>
        </is>
      </c>
      <c r="H90" t="inlineStr">
        <is>
          <t>Used to dilute the ammonia.</t>
        </is>
      </c>
      <c r="I90" t="n">
        <v>1000</v>
      </c>
      <c r="J90" t="n">
        <v>2</v>
      </c>
      <c r="K90" s="3">
        <f>LN(B90)</f>
        <v>-5.8024984475953589</v>
      </c>
      <c r="L90" t="n">
        <v>1</v>
      </c>
      <c r="M90" t="n">
        <v>1</v>
      </c>
      <c r="N90" t="n">
        <v>1</v>
      </c>
      <c r="O90" t="n">
        <v>1.02</v>
      </c>
      <c r="P90" t="n">
        <v>1.2</v>
      </c>
      <c r="Q90" t="n">
        <v>1</v>
      </c>
      <c r="R90" t="n">
        <v>1.05</v>
      </c>
      <c r="S90">
        <f>LN(SQRT(EXP(
SQRT(
+POWER(LN(L90),2)
+POWER(LN(M90),2)
+POWER(LN(N90),2)
+POWER(LN(O90),2)
+POWER(LN(P90),2)
+POWER(LN(Q90),2)
+POWER(LN(R90),2)
)
)))</f>
        <v>9.4886477223156879E-2</v>
      </c>
    </row>
    <row r="91">
      <c r="A91" t="inlineStr">
        <is>
          <t>market for calcium carbonate, precipitated</t>
        </is>
      </c>
      <c r="B91">
        <f>unallocated!B94/I91</f>
        <v>0</v>
      </c>
      <c r="C91" t="inlineStr">
        <is>
          <t>RER</t>
        </is>
      </c>
      <c r="D91" t="inlineStr">
        <is>
          <t>kilogram</t>
        </is>
      </c>
      <c r="F91" t="inlineStr">
        <is>
          <t>technosphere</t>
        </is>
      </c>
      <c r="G91" t="inlineStr">
        <is>
          <t>calcium carbonate, precipitated</t>
        </is>
      </c>
      <c r="I91" t="n">
        <v>1000</v>
      </c>
      <c r="J91" t="n">
        <v>0</v>
      </c>
      <c r="K91" s="3" t="n"/>
    </row>
    <row r="92">
      <c r="A92" t="inlineStr">
        <is>
          <t>market for iron(III) chloride, without water, in 40% solution state</t>
        </is>
      </c>
      <c r="B92">
        <f>unallocated!B95/I92</f>
        <v>0</v>
      </c>
      <c r="C92" t="inlineStr">
        <is>
          <t>GLO</t>
        </is>
      </c>
      <c r="D92" t="inlineStr">
        <is>
          <t>kilogram</t>
        </is>
      </c>
      <c r="F92" t="inlineStr">
        <is>
          <t>technosphere</t>
        </is>
      </c>
      <c r="G92" t="inlineStr">
        <is>
          <t>iron(III) chloride, without water, in 40% solution state</t>
        </is>
      </c>
      <c r="I92" t="n">
        <v>1000</v>
      </c>
      <c r="J92" t="n">
        <v>0</v>
      </c>
      <c r="K92" s="3" t="n"/>
    </row>
    <row r="93">
      <c r="A93" t="inlineStr">
        <is>
          <t>market for lime, hydrated, packed</t>
        </is>
      </c>
      <c r="B93">
        <f>unallocated!B96/I93</f>
        <v>0.01</v>
      </c>
      <c r="C93" t="inlineStr">
        <is>
          <t>RER</t>
        </is>
      </c>
      <c r="D93" t="inlineStr">
        <is>
          <t>kilogram</t>
        </is>
      </c>
      <c r="F93" t="inlineStr">
        <is>
          <t>technosphere</t>
        </is>
      </c>
      <c r="G93" t="inlineStr">
        <is>
          <t>lime, hydrated, packed</t>
        </is>
      </c>
      <c r="I93" t="n">
        <v>1000</v>
      </c>
      <c r="J93" t="n">
        <v>2</v>
      </c>
      <c r="K93" s="3">
        <f>LN(B93)</f>
        <v>-4.6051701859880909</v>
      </c>
      <c r="L93" t="n">
        <v>1</v>
      </c>
      <c r="M93" t="n">
        <v>1</v>
      </c>
      <c r="N93" t="n">
        <v>1</v>
      </c>
      <c r="O93" t="n">
        <v>1.02</v>
      </c>
      <c r="P93" t="n">
        <v>1.2</v>
      </c>
      <c r="Q93" t="n">
        <v>1</v>
      </c>
      <c r="R93" t="n">
        <v>1.05</v>
      </c>
      <c r="S93">
        <f>LN(SQRT(EXP(
SQRT(
+POWER(LN(L93),2)
+POWER(LN(M93),2)
+POWER(LN(N93),2)
+POWER(LN(O93),2)
+POWER(LN(P93),2)
+POWER(LN(Q93),2)
+POWER(LN(R93),2)
)
)))</f>
        <v>9.4886477223156879E-2</v>
      </c>
    </row>
    <row r="94">
      <c r="A94" t="inlineStr">
        <is>
          <t>market for sodium hydroxide, without water, in 50% solution state</t>
        </is>
      </c>
      <c r="B94">
        <f>unallocated!B97/I94</f>
        <v>2.5000000000000001E-4</v>
      </c>
      <c r="C94" t="inlineStr">
        <is>
          <t>RER</t>
        </is>
      </c>
      <c r="D94" t="inlineStr">
        <is>
          <t>kilogram</t>
        </is>
      </c>
      <c r="F94" t="inlineStr">
        <is>
          <t>technosphere</t>
        </is>
      </c>
      <c r="G94" t="inlineStr">
        <is>
          <t>sodium hydroxide, without water, in 50% solution state</t>
        </is>
      </c>
      <c r="H94" t="inlineStr">
        <is>
          <t>50% liquid ammonia. In original publication, it is dilluated to 27% in water. We discount the original value by 50%.</t>
        </is>
      </c>
      <c r="I94" t="n">
        <v>1000</v>
      </c>
      <c r="J94" t="n">
        <v>0</v>
      </c>
      <c r="K94" s="3" t="n"/>
    </row>
    <row r="95">
      <c r="A95" t="inlineStr">
        <is>
          <t>market for monoethanolamine</t>
        </is>
      </c>
      <c r="B95">
        <f>unallocated!B98/I95</f>
        <v>0</v>
      </c>
      <c r="C95" t="inlineStr">
        <is>
          <t>GLO</t>
        </is>
      </c>
      <c r="D95" t="inlineStr">
        <is>
          <t>kilogram</t>
        </is>
      </c>
      <c r="F95" t="inlineStr">
        <is>
          <t>technosphere</t>
        </is>
      </c>
      <c r="G95" t="inlineStr">
        <is>
          <t>monoethanolamine</t>
        </is>
      </c>
      <c r="I95" t="n">
        <v>1000</v>
      </c>
      <c r="J95" t="n">
        <v>0</v>
      </c>
      <c r="K95" s="3" t="n"/>
    </row>
    <row r="96">
      <c r="A96" t="inlineStr">
        <is>
          <t>municipal waste incineration facility construction</t>
        </is>
      </c>
      <c r="B96">
        <f>unallocated!B99/I96</f>
        <v>2.4999999999999996E-10</v>
      </c>
      <c r="C96" t="inlineStr">
        <is>
          <t>CH</t>
        </is>
      </c>
      <c r="D96" t="inlineStr">
        <is>
          <t>unit</t>
        </is>
      </c>
      <c r="F96" t="inlineStr">
        <is>
          <t>technosphere</t>
        </is>
      </c>
      <c r="G96" t="inlineStr">
        <is>
          <t>municipal waste incineration facility</t>
        </is>
      </c>
      <c r="H96" t="inlineStr">
        <is>
          <t>Lifetime: 4'000'000 tons MSWI treated.</t>
        </is>
      </c>
      <c r="I96" t="n">
        <v>1000</v>
      </c>
      <c r="J96" t="n">
        <v>2</v>
      </c>
      <c r="K96" s="3">
        <f>LN(B96)</f>
        <v>-22.109560198066301</v>
      </c>
      <c r="L96" t="n">
        <v>1</v>
      </c>
      <c r="M96" t="n">
        <v>1</v>
      </c>
      <c r="N96" t="n">
        <v>1</v>
      </c>
      <c r="O96" t="n">
        <v>1.02</v>
      </c>
      <c r="P96" t="n">
        <v>1.2</v>
      </c>
      <c r="Q96" t="n">
        <v>1</v>
      </c>
      <c r="R96" t="n">
        <v>3</v>
      </c>
      <c r="S96">
        <f>LN(SQRT(EXP(
SQRT(
+POWER(LN(L96),2)
+POWER(LN(M96),2)
+POWER(LN(N96),2)
+POWER(LN(O96),2)
+POWER(LN(P96),2)
+POWER(LN(Q96),2)
+POWER(LN(R96),2)
)
)))</f>
        <v>0.5569071410325479</v>
      </c>
    </row>
    <row r="97">
      <c r="A97" t="inlineStr">
        <is>
          <t>Water, cooling, unspecified natural origin</t>
        </is>
      </c>
      <c r="B97">
        <f>unallocated!B100/I97</f>
        <v>0</v>
      </c>
      <c r="D97" t="inlineStr">
        <is>
          <t>cubic meter</t>
        </is>
      </c>
      <c r="E97" t="inlineStr">
        <is>
          <t>natural resource::in water</t>
        </is>
      </c>
      <c r="F97" t="inlineStr">
        <is>
          <t>biosphere</t>
        </is>
      </c>
      <c r="I97" t="n">
        <v>1000</v>
      </c>
      <c r="J97" t="n">
        <v>0</v>
      </c>
      <c r="K97" s="3" t="n"/>
    </row>
    <row r="98">
      <c r="A98" t="inlineStr">
        <is>
          <t>Sulfur dioxide</t>
        </is>
      </c>
      <c r="B98">
        <f>unallocated!B101/I98</f>
        <v>6.0000000000000002E-6</v>
      </c>
      <c r="D98" t="inlineStr">
        <is>
          <t>kilogram</t>
        </is>
      </c>
      <c r="E98" t="inlineStr">
        <is>
          <t>air::urban air close to ground</t>
        </is>
      </c>
      <c r="F98" t="inlineStr">
        <is>
          <t>biosphere</t>
        </is>
      </c>
      <c r="I98" t="n">
        <v>1000</v>
      </c>
      <c r="J98" t="n">
        <v>2</v>
      </c>
      <c r="K98" s="3">
        <f>LN(B98)</f>
        <v>-12.023751088736219</v>
      </c>
      <c r="L98" t="n">
        <v>1</v>
      </c>
      <c r="M98" t="n">
        <v>1</v>
      </c>
      <c r="N98" t="n">
        <v>1</v>
      </c>
      <c r="O98" t="n">
        <v>1.02</v>
      </c>
      <c r="P98" t="n">
        <v>1.2</v>
      </c>
      <c r="Q98" t="n">
        <v>1</v>
      </c>
      <c r="R98" t="n">
        <v>1.05</v>
      </c>
      <c r="S98">
        <f>LN(SQRT(EXP(
SQRT(
+POWER(LN(L98),2)
+POWER(LN(M98),2)
+POWER(LN(N98),2)
+POWER(LN(O98),2)
+POWER(LN(P98),2)
+POWER(LN(Q98),2)
+POWER(LN(R98),2)
)
)))</f>
        <v>9.4886477223156879E-2</v>
      </c>
    </row>
    <row r="99">
      <c r="A99" t="inlineStr">
        <is>
          <t>Hydrochloric acid</t>
        </is>
      </c>
      <c r="B99">
        <f>unallocated!B102/I99</f>
        <v>3.0000000000000001E-6</v>
      </c>
      <c r="D99" t="inlineStr">
        <is>
          <t>kilogram</t>
        </is>
      </c>
      <c r="E99" t="inlineStr">
        <is>
          <t>air</t>
        </is>
      </c>
      <c r="F99" t="inlineStr">
        <is>
          <t>biosphere</t>
        </is>
      </c>
      <c r="I99" t="n">
        <v>1000</v>
      </c>
      <c r="J99" t="n">
        <v>2</v>
      </c>
      <c r="K99" s="3">
        <f>LN(B99)</f>
        <v>-12.716898269296165</v>
      </c>
      <c r="L99" t="n">
        <v>1</v>
      </c>
      <c r="M99" t="n">
        <v>1</v>
      </c>
      <c r="N99" t="n">
        <v>1</v>
      </c>
      <c r="O99" t="n">
        <v>1.02</v>
      </c>
      <c r="P99" t="n">
        <v>1.2</v>
      </c>
      <c r="Q99" t="n">
        <v>1</v>
      </c>
      <c r="R99" t="n">
        <v>1.5</v>
      </c>
      <c r="S99">
        <f>LN(SQRT(EXP(
SQRT(
+POWER(LN(L99),2)
+POWER(LN(M99),2)
+POWER(LN(N99),2)
+POWER(LN(O99),2)
+POWER(LN(P99),2)
+POWER(LN(Q99),2)
+POWER(LN(R99),2)
)
)))</f>
        <v>0.22250575723605889</v>
      </c>
    </row>
    <row r="100">
      <c r="A100" t="inlineStr">
        <is>
          <t>Nitrogen oxides</t>
        </is>
      </c>
      <c r="B100">
        <f>unallocated!B103/I100</f>
        <v>6.7700000000000008E-4</v>
      </c>
      <c r="D100" t="inlineStr">
        <is>
          <t>kilogram</t>
        </is>
      </c>
      <c r="E100" t="inlineStr">
        <is>
          <t>air::urban air close to ground</t>
        </is>
      </c>
      <c r="F100" t="inlineStr">
        <is>
          <t>biosphere</t>
        </is>
      </c>
      <c r="I100" t="n">
        <v>1000</v>
      </c>
      <c r="J100" t="n">
        <v>2</v>
      </c>
      <c r="K100" s="3">
        <f>LN(B100)</f>
        <v>-7.2978392850519986</v>
      </c>
      <c r="L100" t="n">
        <v>1</v>
      </c>
      <c r="M100" t="n">
        <v>1</v>
      </c>
      <c r="N100" t="n">
        <v>1</v>
      </c>
      <c r="O100" t="n">
        <v>1.02</v>
      </c>
      <c r="P100" t="n">
        <v>1.2</v>
      </c>
      <c r="Q100" t="n">
        <v>1</v>
      </c>
      <c r="R100" t="n">
        <v>1.5</v>
      </c>
      <c r="S100">
        <f>LN(SQRT(EXP(
SQRT(
+POWER(LN(L100),2)
+POWER(LN(M100),2)
+POWER(LN(N100),2)
+POWER(LN(O100),2)
+POWER(LN(P100),2)
+POWER(LN(Q100),2)
+POWER(LN(R100),2)
)
)))</f>
        <v>0.22250575723605889</v>
      </c>
    </row>
    <row r="101">
      <c r="A101" t="inlineStr">
        <is>
          <t>Ammonia</t>
        </is>
      </c>
      <c r="B101">
        <f>unallocated!B104/I101</f>
        <v>9.9999999999999995E-7</v>
      </c>
      <c r="D101" t="inlineStr">
        <is>
          <t>kilogram</t>
        </is>
      </c>
      <c r="E101" t="inlineStr">
        <is>
          <t>air::urban air close to ground</t>
        </is>
      </c>
      <c r="F101" t="inlineStr">
        <is>
          <t>biosphere</t>
        </is>
      </c>
      <c r="I101" t="n">
        <v>1000</v>
      </c>
      <c r="J101" t="n">
        <v>2</v>
      </c>
      <c r="K101" s="3">
        <f>LN(B101)</f>
        <v>-13.815510557964274</v>
      </c>
      <c r="L101" t="n">
        <v>1</v>
      </c>
      <c r="M101" t="n">
        <v>1</v>
      </c>
      <c r="N101" t="n">
        <v>1</v>
      </c>
      <c r="O101" t="n">
        <v>1.02</v>
      </c>
      <c r="P101" t="n">
        <v>1.2</v>
      </c>
      <c r="Q101" t="n">
        <v>1</v>
      </c>
      <c r="R101" t="n">
        <v>1.5</v>
      </c>
      <c r="S101">
        <f>LN(SQRT(EXP(
SQRT(
+POWER(LN(L101),2)
+POWER(LN(M101),2)
+POWER(LN(N101),2)
+POWER(LN(O101),2)
+POWER(LN(P101),2)
+POWER(LN(Q101),2)
+POWER(LN(R101),2)
)
)))</f>
        <v>0.22250575723605889</v>
      </c>
    </row>
    <row r="102">
      <c r="A102" t="inlineStr">
        <is>
          <t>Particulate Matter, &lt; 2.5 um</t>
        </is>
      </c>
      <c r="B102">
        <f>unallocated!B105/I102</f>
        <v>6.0000000000000002E-6</v>
      </c>
      <c r="D102" t="inlineStr">
        <is>
          <t>kilogram</t>
        </is>
      </c>
      <c r="E102" t="inlineStr">
        <is>
          <t>air::urban air close to ground</t>
        </is>
      </c>
      <c r="F102" t="inlineStr">
        <is>
          <t>biosphere</t>
        </is>
      </c>
      <c r="I102" t="n">
        <v>1000</v>
      </c>
      <c r="J102" t="n">
        <v>2</v>
      </c>
      <c r="K102" s="3">
        <f>LN(B102)</f>
        <v>-12.023751088736219</v>
      </c>
      <c r="L102" t="n">
        <v>1</v>
      </c>
      <c r="M102" t="n">
        <v>1</v>
      </c>
      <c r="N102" t="n">
        <v>1</v>
      </c>
      <c r="O102" t="n">
        <v>1.02</v>
      </c>
      <c r="P102" t="n">
        <v>1.2</v>
      </c>
      <c r="Q102" t="n">
        <v>1</v>
      </c>
      <c r="R102" t="n">
        <v>3</v>
      </c>
      <c r="S102">
        <f>LN(SQRT(EXP(
SQRT(
+POWER(LN(L102),2)
+POWER(LN(M102),2)
+POWER(LN(N102),2)
+POWER(LN(O102),2)
+POWER(LN(P102),2)
+POWER(LN(Q102),2)
+POWER(LN(R102),2)
)
)))</f>
        <v>0.5569071410325479</v>
      </c>
    </row>
    <row r="103">
      <c r="A103" t="inlineStr">
        <is>
          <t>Mercury II</t>
        </is>
      </c>
      <c r="B103">
        <f>unallocated!B106/I103</f>
        <v>6E-9</v>
      </c>
      <c r="D103" t="inlineStr">
        <is>
          <t>kilogram</t>
        </is>
      </c>
      <c r="E103" t="inlineStr">
        <is>
          <t>air::urban air close to ground</t>
        </is>
      </c>
      <c r="F103" t="inlineStr">
        <is>
          <t>biosphere</t>
        </is>
      </c>
      <c r="I103" t="n">
        <v>1000</v>
      </c>
      <c r="J103" t="n">
        <v>2</v>
      </c>
      <c r="K103" s="3">
        <f>LN(B103)</f>
        <v>-18.931506367718356</v>
      </c>
      <c r="L103" t="n">
        <v>1</v>
      </c>
      <c r="M103" t="n">
        <v>1</v>
      </c>
      <c r="N103" t="n">
        <v>1</v>
      </c>
      <c r="O103" t="n">
        <v>1.02</v>
      </c>
      <c r="P103" t="n">
        <v>1.2</v>
      </c>
      <c r="Q103" t="n">
        <v>1</v>
      </c>
      <c r="R103" t="n">
        <v>5</v>
      </c>
      <c r="S103">
        <f>LN(SQRT(EXP(
SQRT(
+POWER(LN(L103),2)
+POWER(LN(M103),2)
+POWER(LN(N103),2)
+POWER(LN(O103),2)
+POWER(LN(P103),2)
+POWER(LN(Q103),2)
+POWER(LN(R103),2)
)
)))</f>
        <v>0.80992649174166365</v>
      </c>
    </row>
    <row r="104">
      <c r="A104" t="inlineStr">
        <is>
          <t>Lead II</t>
        </is>
      </c>
      <c r="B104">
        <f>unallocated!B107/I104</f>
        <v>6E-9</v>
      </c>
      <c r="D104" t="inlineStr">
        <is>
          <t>kilogram</t>
        </is>
      </c>
      <c r="E104" t="inlineStr">
        <is>
          <t>air::urban air close to ground</t>
        </is>
      </c>
      <c r="F104" t="inlineStr">
        <is>
          <t>biosphere</t>
        </is>
      </c>
      <c r="I104" t="n">
        <v>1000</v>
      </c>
      <c r="J104" t="n">
        <v>2</v>
      </c>
      <c r="K104" s="3">
        <f>LN(B104)</f>
        <v>-18.931506367718356</v>
      </c>
      <c r="L104" t="n">
        <v>1</v>
      </c>
      <c r="M104" t="n">
        <v>1</v>
      </c>
      <c r="N104" t="n">
        <v>1</v>
      </c>
      <c r="O104" t="n">
        <v>1.02</v>
      </c>
      <c r="P104" t="n">
        <v>1.2</v>
      </c>
      <c r="Q104" t="n">
        <v>1</v>
      </c>
      <c r="R104" t="n">
        <v>5</v>
      </c>
      <c r="S104">
        <f>LN(SQRT(EXP(
SQRT(
+POWER(LN(L104),2)
+POWER(LN(M104),2)
+POWER(LN(N104),2)
+POWER(LN(O104),2)
+POWER(LN(P104),2)
+POWER(LN(Q104),2)
+POWER(LN(R104),2)
)
)))</f>
        <v>0.80992649174166365</v>
      </c>
    </row>
    <row r="105">
      <c r="A105" t="inlineStr">
        <is>
          <t>Cadmium II</t>
        </is>
      </c>
      <c r="B105">
        <f>unallocated!B108/I105</f>
        <v>3E-9</v>
      </c>
      <c r="D105" t="inlineStr">
        <is>
          <t>kilogram</t>
        </is>
      </c>
      <c r="E105" t="inlineStr">
        <is>
          <t>air::urban air close to ground</t>
        </is>
      </c>
      <c r="F105" t="inlineStr">
        <is>
          <t>biosphere</t>
        </is>
      </c>
      <c r="I105" t="n">
        <v>1000</v>
      </c>
      <c r="J105" t="n">
        <v>2</v>
      </c>
      <c r="K105" s="3">
        <f>LN(B105)</f>
        <v>-19.624653548278303</v>
      </c>
      <c r="L105" t="n">
        <v>1</v>
      </c>
      <c r="M105" t="n">
        <v>1</v>
      </c>
      <c r="N105" t="n">
        <v>1</v>
      </c>
      <c r="O105" t="n">
        <v>1.02</v>
      </c>
      <c r="P105" t="n">
        <v>1.2</v>
      </c>
      <c r="Q105" t="n">
        <v>1</v>
      </c>
      <c r="R105" t="n">
        <v>5</v>
      </c>
      <c r="S105">
        <f>LN(SQRT(EXP(
SQRT(
+POWER(LN(L105),2)
+POWER(LN(M105),2)
+POWER(LN(N105),2)
+POWER(LN(O105),2)
+POWER(LN(P105),2)
+POWER(LN(Q105),2)
+POWER(LN(R105),2)
)
)))</f>
        <v>0.80992649174166365</v>
      </c>
    </row>
    <row r="106">
      <c r="A106" t="inlineStr">
        <is>
          <t>Arsenic ion</t>
        </is>
      </c>
      <c r="B106">
        <f>unallocated!B109/I106</f>
        <v>3E-9</v>
      </c>
      <c r="D106" t="inlineStr">
        <is>
          <t>kilogram</t>
        </is>
      </c>
      <c r="E106" t="inlineStr">
        <is>
          <t>air::urban air close to ground</t>
        </is>
      </c>
      <c r="F106" t="inlineStr">
        <is>
          <t>biosphere</t>
        </is>
      </c>
      <c r="I106" t="n">
        <v>1000</v>
      </c>
      <c r="J106" t="n">
        <v>2</v>
      </c>
      <c r="K106" s="3">
        <f>LN(B106)</f>
        <v>-19.624653548278303</v>
      </c>
      <c r="L106" t="n">
        <v>1</v>
      </c>
      <c r="M106" t="n">
        <v>1</v>
      </c>
      <c r="N106" t="n">
        <v>1</v>
      </c>
      <c r="O106" t="n">
        <v>1.02</v>
      </c>
      <c r="P106" t="n">
        <v>1.2</v>
      </c>
      <c r="Q106" t="n">
        <v>1</v>
      </c>
      <c r="R106" t="n">
        <v>5</v>
      </c>
      <c r="S106">
        <f>LN(SQRT(EXP(
SQRT(
+POWER(LN(L106),2)
+POWER(LN(M106),2)
+POWER(LN(N106),2)
+POWER(LN(O106),2)
+POWER(LN(P106),2)
+POWER(LN(Q106),2)
+POWER(LN(R106),2)
)
)))</f>
        <v>0.80992649174166365</v>
      </c>
    </row>
    <row r="107">
      <c r="A107" t="inlineStr">
        <is>
          <t>Dioxins, measured as 2,3,7,8-tetrachlorodibenzo-p-dioxin</t>
        </is>
      </c>
      <c r="B107">
        <f>unallocated!B110/I107</f>
        <v>1.1000000000000001E-13</v>
      </c>
      <c r="D107" t="inlineStr">
        <is>
          <t>kilogram</t>
        </is>
      </c>
      <c r="E107" t="inlineStr">
        <is>
          <t>air::urban air close to ground</t>
        </is>
      </c>
      <c r="F107" t="inlineStr">
        <is>
          <t>biosphere</t>
        </is>
      </c>
      <c r="I107" t="n">
        <v>1000</v>
      </c>
      <c r="J107" t="n">
        <v>2</v>
      </c>
      <c r="K107" s="3">
        <f>LN(B107)</f>
        <v>-29.838296029118268</v>
      </c>
      <c r="L107" t="n">
        <v>1</v>
      </c>
      <c r="M107" t="n">
        <v>1</v>
      </c>
      <c r="N107" t="n">
        <v>1</v>
      </c>
      <c r="O107" t="n">
        <v>1.02</v>
      </c>
      <c r="P107" t="n">
        <v>1.2</v>
      </c>
      <c r="Q107" t="n">
        <v>1</v>
      </c>
      <c r="R107" t="n">
        <v>5</v>
      </c>
      <c r="S107">
        <f>LN(SQRT(EXP(
SQRT(
+POWER(LN(L107),2)
+POWER(LN(M107),2)
+POWER(LN(N107),2)
+POWER(LN(O107),2)
+POWER(LN(P107),2)
+POWER(LN(Q107),2)
+POWER(LN(R107),2)
)
)))</f>
        <v>0.80992649174166365</v>
      </c>
    </row>
    <row r="108">
      <c r="A108" t="inlineStr">
        <is>
          <t>Carbon dioxide, fossil</t>
        </is>
      </c>
      <c r="B108">
        <f>unallocated!B111/I108</f>
        <v>0.374</v>
      </c>
      <c r="D108" t="inlineStr">
        <is>
          <t>kilogram</t>
        </is>
      </c>
      <c r="E108" t="inlineStr">
        <is>
          <t>air::urban air close to ground</t>
        </is>
      </c>
      <c r="F108" t="inlineStr">
        <is>
          <t>biosphere</t>
        </is>
      </c>
      <c r="I108" t="n">
        <v>1000</v>
      </c>
      <c r="J108" t="n">
        <v>2</v>
      </c>
      <c r="K108" s="3">
        <f>LN(B108)</f>
        <v>-0.98349948156760514</v>
      </c>
      <c r="L108" t="n">
        <v>1</v>
      </c>
      <c r="M108" t="n">
        <v>1</v>
      </c>
      <c r="N108" t="n">
        <v>1</v>
      </c>
      <c r="O108" t="n">
        <v>1.02</v>
      </c>
      <c r="P108" t="n">
        <v>1.2</v>
      </c>
      <c r="Q108" t="n">
        <v>1</v>
      </c>
      <c r="R108" t="n">
        <v>1.05</v>
      </c>
      <c r="S108">
        <f>LN(SQRT(EXP(
SQRT(
+POWER(LN(L108),2)
+POWER(LN(M108),2)
+POWER(LN(N108),2)
+POWER(LN(O108),2)
+POWER(LN(P108),2)
+POWER(LN(Q108),2)
+POWER(LN(R108),2)
)
)))</f>
        <v>9.4886477223156879E-2</v>
      </c>
    </row>
    <row r="109">
      <c r="A109" t="inlineStr">
        <is>
          <t>Carbon dioxide, non-fossil</t>
        </is>
      </c>
      <c r="B109">
        <f>unallocated!B112/I109</f>
        <v>0.59399999999999997</v>
      </c>
      <c r="D109" t="inlineStr">
        <is>
          <t>kilogram</t>
        </is>
      </c>
      <c r="E109" t="inlineStr">
        <is>
          <t>air::urban air close to ground</t>
        </is>
      </c>
      <c r="F109" t="inlineStr">
        <is>
          <t>biosphere</t>
        </is>
      </c>
      <c r="I109" t="n">
        <v>1000</v>
      </c>
      <c r="J109" t="n">
        <v>2</v>
      </c>
      <c r="K109" s="3">
        <f>LN(B109)</f>
        <v>-0.52087595961949218</v>
      </c>
      <c r="L109" t="n">
        <v>1</v>
      </c>
      <c r="M109" t="n">
        <v>1</v>
      </c>
      <c r="N109" t="n">
        <v>1</v>
      </c>
      <c r="O109" t="n">
        <v>1.02</v>
      </c>
      <c r="P109" t="n">
        <v>1.2</v>
      </c>
      <c r="Q109" t="n">
        <v>1</v>
      </c>
      <c r="R109" t="n">
        <v>1.05</v>
      </c>
      <c r="S109">
        <f>LN(SQRT(EXP(
SQRT(
+POWER(LN(L109),2)
+POWER(LN(M109),2)
+POWER(LN(N109),2)
+POWER(LN(O109),2)
+POWER(LN(P109),2)
+POWER(LN(Q109),2)
+POWER(LN(R109),2)
)
)))</f>
        <v>9.4886477223156879E-2</v>
      </c>
    </row>
    <row r="110"/>
    <row r="111">
      <c r="A111" s="1" t="inlineStr">
        <is>
          <t>Activity</t>
        </is>
      </c>
      <c r="B111" s="1" t="inlineStr">
        <is>
          <t>municipal waste incineration, at incineration plant, with wet air pollution control, without flue gas condensation, with electricity and heat recovery</t>
        </is>
      </c>
    </row>
    <row r="112">
      <c r="A112" t="inlineStr">
        <is>
          <t>location</t>
        </is>
      </c>
      <c r="B112" t="inlineStr">
        <is>
          <t>RER</t>
        </is>
      </c>
    </row>
    <row r="113">
      <c r="A113" t="inlineStr">
        <is>
          <t>production amount</t>
        </is>
      </c>
      <c r="B113" t="n">
        <v>1</v>
      </c>
    </row>
    <row r="114">
      <c r="A114" s="2" t="inlineStr">
        <is>
          <t>source</t>
        </is>
      </c>
      <c r="B114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15">
      <c r="A115" t="inlineStr">
        <is>
          <t>reference product</t>
        </is>
      </c>
      <c r="B115" t="inlineStr">
        <is>
          <t>municipal solid waste</t>
        </is>
      </c>
    </row>
    <row r="116">
      <c r="A116" t="inlineStr">
        <is>
          <t>type</t>
        </is>
      </c>
      <c r="B116" t="inlineStr">
        <is>
          <t>process</t>
        </is>
      </c>
    </row>
    <row r="117">
      <c r="A117" t="inlineStr">
        <is>
          <t>unit</t>
        </is>
      </c>
      <c r="B117" t="inlineStr">
        <is>
          <t>kilogram</t>
        </is>
      </c>
    </row>
    <row r="118">
      <c r="A118" t="inlineStr">
        <is>
          <t>comment</t>
        </is>
      </c>
      <c r="B118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628 kWh. Heat production per ton MSWI incinerated: 6'170 MJ.</t>
        </is>
      </c>
    </row>
    <row r="119">
      <c r="A119" s="1" t="inlineStr">
        <is>
          <t>Exchanges</t>
        </is>
      </c>
    </row>
    <row r="120">
      <c r="A120" s="7" t="inlineStr">
        <is>
          <t>name</t>
        </is>
      </c>
      <c r="B120" s="7" t="inlineStr">
        <is>
          <t>amount</t>
        </is>
      </c>
      <c r="C120" s="7" t="inlineStr">
        <is>
          <t>location</t>
        </is>
      </c>
      <c r="D120" s="7" t="inlineStr">
        <is>
          <t>unit</t>
        </is>
      </c>
      <c r="E120" s="7" t="inlineStr">
        <is>
          <t>categories</t>
        </is>
      </c>
      <c r="F120" s="7" t="inlineStr">
        <is>
          <t>type</t>
        </is>
      </c>
      <c r="G120" s="7" t="inlineStr">
        <is>
          <t>reference product</t>
        </is>
      </c>
      <c r="H120" s="7" t="inlineStr">
        <is>
          <t>comment</t>
        </is>
      </c>
      <c r="I120" s="7" t="inlineStr">
        <is>
          <t>normalization</t>
        </is>
      </c>
      <c r="J120" s="7" t="inlineStr">
        <is>
          <t>uncertainty type</t>
        </is>
      </c>
      <c r="K120" s="7" t="inlineStr">
        <is>
          <t>loc</t>
        </is>
      </c>
      <c r="L120" s="1" t="inlineStr">
        <is>
          <t>u1</t>
        </is>
      </c>
      <c r="M120" s="1" t="inlineStr">
        <is>
          <t>u2</t>
        </is>
      </c>
      <c r="N120" s="1" t="inlineStr">
        <is>
          <t>u3</t>
        </is>
      </c>
      <c r="O120" s="1" t="inlineStr">
        <is>
          <t>u4</t>
        </is>
      </c>
      <c r="P120" s="1" t="inlineStr">
        <is>
          <t>u5</t>
        </is>
      </c>
      <c r="Q120" s="1" t="inlineStr">
        <is>
          <t>u6</t>
        </is>
      </c>
      <c r="R120" s="1" t="inlineStr">
        <is>
          <t>ub</t>
        </is>
      </c>
      <c r="S120" s="1" t="inlineStr">
        <is>
          <t>scale</t>
        </is>
      </c>
    </row>
    <row r="121">
      <c r="A121" t="inlineStr">
        <is>
          <t>municipal waste incineration, at incineration plant, with semi-dry air pollution control, with flue gas condensation, with electricity and heat recovery</t>
        </is>
      </c>
      <c r="B121">
        <f>unallocated!B124/I121</f>
        <v>1</v>
      </c>
      <c r="C121" t="inlineStr">
        <is>
          <t>RER</t>
        </is>
      </c>
      <c r="D121" t="inlineStr">
        <is>
          <t>kilogram</t>
        </is>
      </c>
      <c r="F121" t="inlineStr">
        <is>
          <t>production</t>
        </is>
      </c>
      <c r="G121" t="inlineStr">
        <is>
          <t>municipal solid waste</t>
        </is>
      </c>
      <c r="H121" t="inlineStr"/>
      <c r="I121" t="n">
        <v>1000</v>
      </c>
      <c r="J121" t="n">
        <v>0</v>
      </c>
      <c r="L121" s="5" t="n"/>
      <c r="M121" s="5" t="n"/>
      <c r="N121" s="5" t="n"/>
      <c r="O121" s="5" t="n"/>
      <c r="P121" s="5" t="n"/>
      <c r="Q121" s="5" t="n"/>
    </row>
    <row r="122">
      <c r="A122" t="inlineStr">
        <is>
          <t>market group for electricity, medium voltage</t>
        </is>
      </c>
      <c r="B122">
        <f>unallocated!B125/I122</f>
        <v>-0.628</v>
      </c>
      <c r="C122" t="inlineStr">
        <is>
          <t>RER</t>
        </is>
      </c>
      <c r="D122" t="inlineStr">
        <is>
          <t>kilowatt hour</t>
        </is>
      </c>
      <c r="F122" t="inlineStr">
        <is>
          <t>technosphere</t>
        </is>
      </c>
      <c r="G122" t="inlineStr">
        <is>
          <t>electricity, medium voltage</t>
        </is>
      </c>
      <c r="H122" t="inlineStr">
        <is>
          <t>Co-produced heat and electricity.</t>
        </is>
      </c>
      <c r="I122" t="n">
        <v>-1000</v>
      </c>
      <c r="J122" t="n">
        <v>0</v>
      </c>
      <c r="K122" s="3" t="n"/>
    </row>
    <row r="123">
      <c r="A123" t="inlineStr">
        <is>
          <t>market for heat, central or small-scale, natural gas</t>
        </is>
      </c>
      <c r="B123">
        <f>unallocated!B126/I123</f>
        <v>-6.17</v>
      </c>
      <c r="C123" t="inlineStr">
        <is>
          <t>Europe without Switzerland</t>
        </is>
      </c>
      <c r="D123" t="inlineStr">
        <is>
          <t>megajoule</t>
        </is>
      </c>
      <c r="F123" t="inlineStr">
        <is>
          <t>technosphere</t>
        </is>
      </c>
      <c r="G123" t="inlineStr">
        <is>
          <t>heat, central or small-scale, natural gas</t>
        </is>
      </c>
      <c r="H123" t="inlineStr">
        <is>
          <t>Co-produced heat and electricity.</t>
        </is>
      </c>
      <c r="I123" t="n">
        <v>-1000</v>
      </c>
      <c r="J123" t="n">
        <v>0</v>
      </c>
      <c r="K123" s="3" t="n"/>
    </row>
    <row r="124">
      <c r="A124" t="inlineStr">
        <is>
          <t>market for diesel, low-sulfur</t>
        </is>
      </c>
      <c r="B124">
        <f>unallocated!B127/I124</f>
        <v>8.5000000000000006E-5</v>
      </c>
      <c r="C124" t="inlineStr">
        <is>
          <t>Europe without Switzerland</t>
        </is>
      </c>
      <c r="D124" t="inlineStr">
        <is>
          <t>kilogram</t>
        </is>
      </c>
      <c r="F124" t="inlineStr">
        <is>
          <t>technosphere</t>
        </is>
      </c>
      <c r="G124" t="inlineStr">
        <is>
          <t>diesel, low-sulfur</t>
        </is>
      </c>
      <c r="H124" t="inlineStr">
        <is>
          <t>Diesel density: 0.85 kg/l</t>
        </is>
      </c>
      <c r="I124" t="n">
        <v>1000</v>
      </c>
      <c r="J124" t="n">
        <v>2</v>
      </c>
      <c r="K124" s="3">
        <f>LN(B124)</f>
        <v>-9.372859301473957</v>
      </c>
      <c r="L124" t="n">
        <v>1</v>
      </c>
      <c r="M124" t="n">
        <v>1</v>
      </c>
      <c r="N124" t="n">
        <v>1</v>
      </c>
      <c r="O124" t="n">
        <v>1.02</v>
      </c>
      <c r="P124" t="n">
        <v>1.2</v>
      </c>
      <c r="Q124" t="n">
        <v>1</v>
      </c>
      <c r="R124" t="n">
        <v>1.05</v>
      </c>
      <c r="S124">
        <f>LN(SQRT(EXP(
SQRT(
+POWER(LN(L124),2)
+POWER(LN(M124),2)
+POWER(LN(N124),2)
+POWER(LN(O124),2)
+POWER(LN(P124),2)
+POWER(LN(Q124),2)
+POWER(LN(R124),2)
)
)))</f>
        <v>9.4886477223156879E-2</v>
      </c>
    </row>
    <row r="125">
      <c r="A125" t="inlineStr">
        <is>
          <t>market for activated carbon, granular</t>
        </is>
      </c>
      <c r="B125">
        <f>unallocated!B128/I125</f>
        <v>4.0000000000000002E-4</v>
      </c>
      <c r="C125" t="inlineStr">
        <is>
          <t>GLO</t>
        </is>
      </c>
      <c r="D125" t="inlineStr">
        <is>
          <t>kilogram</t>
        </is>
      </c>
      <c r="F125" t="inlineStr">
        <is>
          <t>technosphere</t>
        </is>
      </c>
      <c r="G125" t="inlineStr">
        <is>
          <t>activated carbon, granular</t>
        </is>
      </c>
      <c r="I125" t="n">
        <v>1000</v>
      </c>
      <c r="J125" t="n">
        <v>2</v>
      </c>
      <c r="K125" s="3">
        <f>LN(B125)</f>
        <v>-7.8240460108562919</v>
      </c>
      <c r="L125" t="n">
        <v>1</v>
      </c>
      <c r="M125" t="n">
        <v>1</v>
      </c>
      <c r="N125" t="n">
        <v>1</v>
      </c>
      <c r="O125" t="n">
        <v>1.02</v>
      </c>
      <c r="P125" t="n">
        <v>1.2</v>
      </c>
      <c r="Q125" t="n">
        <v>1</v>
      </c>
      <c r="R125" t="n">
        <v>1.05</v>
      </c>
      <c r="S125">
        <f>LN(SQRT(EXP(
SQRT(
+POWER(LN(L125),2)
+POWER(LN(M125),2)
+POWER(LN(N125),2)
+POWER(LN(O125),2)
+POWER(LN(P125),2)
+POWER(LN(Q125),2)
+POWER(LN(R125),2)
)
)))</f>
        <v>9.4886477223156879E-2</v>
      </c>
    </row>
    <row r="126">
      <c r="A126" t="inlineStr">
        <is>
          <t>market for ammonia, anhydrous, liquid</t>
        </is>
      </c>
      <c r="B126">
        <f>unallocated!B129/I126</f>
        <v>9.7999999999999997E-4</v>
      </c>
      <c r="C126" t="inlineStr">
        <is>
          <t>RER</t>
        </is>
      </c>
      <c r="D126" t="inlineStr">
        <is>
          <t>kilogram</t>
        </is>
      </c>
      <c r="F126" t="inlineStr">
        <is>
          <t>technosphere</t>
        </is>
      </c>
      <c r="G126" t="inlineStr">
        <is>
          <t>ammonia, anhydrous, liquid</t>
        </is>
      </c>
      <c r="H126" t="inlineStr">
        <is>
          <t>100% liquid ammonia. In original publication, it is dilluated to 23.5% in water. We discount the original value by 75%.</t>
        </is>
      </c>
      <c r="I126" t="n">
        <v>1000</v>
      </c>
      <c r="J126" t="n">
        <v>2</v>
      </c>
      <c r="K126" s="3">
        <f>LN(B126)</f>
        <v>-6.9279579862996563</v>
      </c>
      <c r="L126" t="n">
        <v>1</v>
      </c>
      <c r="M126" t="n">
        <v>1</v>
      </c>
      <c r="N126" t="n">
        <v>1</v>
      </c>
      <c r="O126" t="n">
        <v>1.02</v>
      </c>
      <c r="P126" t="n">
        <v>1.2</v>
      </c>
      <c r="Q126" t="n">
        <v>1</v>
      </c>
      <c r="R126" t="n">
        <v>1.05</v>
      </c>
      <c r="S126">
        <f>LN(SQRT(EXP(
SQRT(
+POWER(LN(L126),2)
+POWER(LN(M126),2)
+POWER(LN(N126),2)
+POWER(LN(O126),2)
+POWER(LN(P126),2)
+POWER(LN(Q126),2)
+POWER(LN(R126),2)
)
)))</f>
        <v>9.4886477223156879E-2</v>
      </c>
    </row>
    <row r="127">
      <c r="A127" t="inlineStr">
        <is>
          <t>market for tap water</t>
        </is>
      </c>
      <c r="B127">
        <f>unallocated!B130/I127</f>
        <v>3.0200000000000001E-3</v>
      </c>
      <c r="C127" t="inlineStr">
        <is>
          <t>Europe without Switzerland</t>
        </is>
      </c>
      <c r="D127" t="inlineStr">
        <is>
          <t>kilogram</t>
        </is>
      </c>
      <c r="F127" t="inlineStr">
        <is>
          <t>technosphere</t>
        </is>
      </c>
      <c r="G127" t="inlineStr">
        <is>
          <t>tap water</t>
        </is>
      </c>
      <c r="H127" t="inlineStr">
        <is>
          <t>Used to dilute the ammonia.</t>
        </is>
      </c>
      <c r="I127" t="n">
        <v>1000</v>
      </c>
      <c r="J127" t="n">
        <v>2</v>
      </c>
      <c r="K127" s="3">
        <f>LN(B127)</f>
        <v>-5.8024984475953589</v>
      </c>
      <c r="L127" t="n">
        <v>1</v>
      </c>
      <c r="M127" t="n">
        <v>1</v>
      </c>
      <c r="N127" t="n">
        <v>1</v>
      </c>
      <c r="O127" t="n">
        <v>1.02</v>
      </c>
      <c r="P127" t="n">
        <v>1.2</v>
      </c>
      <c r="Q127" t="n">
        <v>1</v>
      </c>
      <c r="R127" t="n">
        <v>1.05</v>
      </c>
      <c r="S127">
        <f>LN(SQRT(EXP(
SQRT(
+POWER(LN(L127),2)
+POWER(LN(M127),2)
+POWER(LN(N127),2)
+POWER(LN(O127),2)
+POWER(LN(P127),2)
+POWER(LN(Q127),2)
+POWER(LN(R127),2)
)
)))</f>
        <v>9.4886477223156879E-2</v>
      </c>
    </row>
    <row r="128">
      <c r="A128" t="inlineStr">
        <is>
          <t>market for calcium carbonate, precipitated</t>
        </is>
      </c>
      <c r="B128">
        <f>unallocated!B131/I128</f>
        <v>7.0000000000000001E-3</v>
      </c>
      <c r="C128" t="inlineStr">
        <is>
          <t>RER</t>
        </is>
      </c>
      <c r="D128" t="inlineStr">
        <is>
          <t>kilogram</t>
        </is>
      </c>
      <c r="F128" t="inlineStr">
        <is>
          <t>technosphere</t>
        </is>
      </c>
      <c r="G128" t="inlineStr">
        <is>
          <t>calcium carbonate, precipitated</t>
        </is>
      </c>
      <c r="I128" t="n">
        <v>1000</v>
      </c>
      <c r="J128" t="n">
        <v>0</v>
      </c>
      <c r="K128" s="3" t="n"/>
    </row>
    <row r="129">
      <c r="A129" t="inlineStr">
        <is>
          <t>market for iron(III) chloride, without water, in 40% solution state</t>
        </is>
      </c>
      <c r="B129">
        <f>unallocated!B132/I129</f>
        <v>5.0000000000000002E-5</v>
      </c>
      <c r="C129" t="inlineStr">
        <is>
          <t>GLO</t>
        </is>
      </c>
      <c r="D129" t="inlineStr">
        <is>
          <t>kilogram</t>
        </is>
      </c>
      <c r="F129" t="inlineStr">
        <is>
          <t>technosphere</t>
        </is>
      </c>
      <c r="G129" t="inlineStr">
        <is>
          <t>iron(III) chloride, without water, in 40% solution state</t>
        </is>
      </c>
      <c r="I129" t="n">
        <v>1000</v>
      </c>
      <c r="J129" t="n">
        <v>0</v>
      </c>
      <c r="K129" s="3" t="n"/>
    </row>
    <row r="130">
      <c r="A130" t="inlineStr">
        <is>
          <t>market for lime, hydrated, packed</t>
        </is>
      </c>
      <c r="B130">
        <f>unallocated!B133/I130</f>
        <v>0</v>
      </c>
      <c r="C130" t="inlineStr">
        <is>
          <t>RER</t>
        </is>
      </c>
      <c r="D130" t="inlineStr">
        <is>
          <t>kilogram</t>
        </is>
      </c>
      <c r="F130" t="inlineStr">
        <is>
          <t>technosphere</t>
        </is>
      </c>
      <c r="G130" t="inlineStr">
        <is>
          <t>lime, hydrated, packed</t>
        </is>
      </c>
      <c r="I130" t="n">
        <v>1000</v>
      </c>
      <c r="J130" t="n">
        <v>0</v>
      </c>
      <c r="K130" s="3" t="n"/>
    </row>
    <row r="131">
      <c r="A131" t="inlineStr">
        <is>
          <t>market for sodium hydroxide, without water, in 50% solution state</t>
        </is>
      </c>
      <c r="B131">
        <f>unallocated!B134/I131</f>
        <v>2.5000000000000001E-4</v>
      </c>
      <c r="C131" t="inlineStr">
        <is>
          <t>RER</t>
        </is>
      </c>
      <c r="D131" t="inlineStr">
        <is>
          <t>kilogram</t>
        </is>
      </c>
      <c r="F131" t="inlineStr">
        <is>
          <t>technosphere</t>
        </is>
      </c>
      <c r="G131" t="inlineStr">
        <is>
          <t>sodium hydroxide, without water, in 50% solution state</t>
        </is>
      </c>
      <c r="H131" t="inlineStr">
        <is>
          <t>50% liquid ammonia. In original publication, it is dilluated to 27% in water. We discount the original value by 50%.</t>
        </is>
      </c>
      <c r="I131" t="n">
        <v>1000</v>
      </c>
      <c r="J131" t="n">
        <v>0</v>
      </c>
      <c r="K131" s="3" t="n"/>
    </row>
    <row r="132">
      <c r="A132" t="inlineStr">
        <is>
          <t>market for monoethanolamine</t>
        </is>
      </c>
      <c r="B132">
        <f>unallocated!B135/I132</f>
        <v>0</v>
      </c>
      <c r="C132" t="inlineStr">
        <is>
          <t>GLO</t>
        </is>
      </c>
      <c r="D132" t="inlineStr">
        <is>
          <t>kilogram</t>
        </is>
      </c>
      <c r="F132" t="inlineStr">
        <is>
          <t>technosphere</t>
        </is>
      </c>
      <c r="G132" t="inlineStr">
        <is>
          <t>monoethanolamine</t>
        </is>
      </c>
      <c r="I132" t="n">
        <v>1000</v>
      </c>
      <c r="J132" t="n">
        <v>0</v>
      </c>
      <c r="K132" s="3" t="n"/>
    </row>
    <row r="133">
      <c r="A133" t="inlineStr">
        <is>
          <t>municipal waste incineration facility construction</t>
        </is>
      </c>
      <c r="B133">
        <f>unallocated!B136/I133</f>
        <v>2.4999999999999996E-10</v>
      </c>
      <c r="C133" t="inlineStr">
        <is>
          <t>CH</t>
        </is>
      </c>
      <c r="D133" t="inlineStr">
        <is>
          <t>unit</t>
        </is>
      </c>
      <c r="F133" t="inlineStr">
        <is>
          <t>technosphere</t>
        </is>
      </c>
      <c r="G133" t="inlineStr">
        <is>
          <t>municipal waste incineration facility</t>
        </is>
      </c>
      <c r="H133" t="inlineStr">
        <is>
          <t>Lifetime: 4'000'000 tons MSWI treated.</t>
        </is>
      </c>
      <c r="I133" t="n">
        <v>1000</v>
      </c>
      <c r="J133" t="n">
        <v>2</v>
      </c>
      <c r="K133" s="3">
        <f>LN(B133)</f>
        <v>-22.109560198066301</v>
      </c>
      <c r="L133" t="n">
        <v>1</v>
      </c>
      <c r="M133" t="n">
        <v>1</v>
      </c>
      <c r="N133" t="n">
        <v>1</v>
      </c>
      <c r="O133" t="n">
        <v>1.02</v>
      </c>
      <c r="P133" t="n">
        <v>1.2</v>
      </c>
      <c r="Q133" t="n">
        <v>1</v>
      </c>
      <c r="R133" t="n">
        <v>3</v>
      </c>
      <c r="S133">
        <f>LN(SQRT(EXP(
SQRT(
+POWER(LN(L133),2)
+POWER(LN(M133),2)
+POWER(LN(N133),2)
+POWER(LN(O133),2)
+POWER(LN(P133),2)
+POWER(LN(Q133),2)
+POWER(LN(R133),2)
)
)))</f>
        <v>0.5569071410325479</v>
      </c>
    </row>
    <row r="134">
      <c r="A134" t="inlineStr">
        <is>
          <t>Water, cooling, unspecified natural origin</t>
        </is>
      </c>
      <c r="B134">
        <f>unallocated!B137/I134</f>
        <v>2.9999999999999997E-4</v>
      </c>
      <c r="D134" t="inlineStr">
        <is>
          <t>cubic meter</t>
        </is>
      </c>
      <c r="E134" t="inlineStr">
        <is>
          <t>natural resource::in water</t>
        </is>
      </c>
      <c r="F134" t="inlineStr">
        <is>
          <t>biosphere</t>
        </is>
      </c>
      <c r="I134" t="n">
        <v>1000</v>
      </c>
      <c r="J134" t="n">
        <v>2</v>
      </c>
      <c r="K134" s="3">
        <f>LN(B134)</f>
        <v>-8.1117280833080727</v>
      </c>
      <c r="L134" t="n">
        <v>1</v>
      </c>
      <c r="M134" t="n">
        <v>1</v>
      </c>
      <c r="N134" t="n">
        <v>1</v>
      </c>
      <c r="O134" t="n">
        <v>1.02</v>
      </c>
      <c r="P134" t="n">
        <v>1.2</v>
      </c>
      <c r="Q134" t="n">
        <v>1</v>
      </c>
      <c r="R134" t="n">
        <v>1.05</v>
      </c>
      <c r="S134">
        <f>LN(SQRT(EXP(
SQRT(
+POWER(LN(L134),2)
+POWER(LN(M134),2)
+POWER(LN(N134),2)
+POWER(LN(O134),2)
+POWER(LN(P134),2)
+POWER(LN(Q134),2)
+POWER(LN(R134),2)
)
)))</f>
        <v>9.4886477223156879E-2</v>
      </c>
    </row>
    <row r="135">
      <c r="A135" t="inlineStr">
        <is>
          <t>Sulfur dioxide</t>
        </is>
      </c>
      <c r="B135">
        <f>unallocated!B138/I135</f>
        <v>5.5999999999999999E-5</v>
      </c>
      <c r="D135" t="inlineStr">
        <is>
          <t>kilogram</t>
        </is>
      </c>
      <c r="E135" t="inlineStr">
        <is>
          <t>air::urban air close to ground</t>
        </is>
      </c>
      <c r="F135" t="inlineStr">
        <is>
          <t>biosphere</t>
        </is>
      </c>
      <c r="I135" t="n">
        <v>1000</v>
      </c>
      <c r="J135" t="n">
        <v>2</v>
      </c>
      <c r="K135" s="3">
        <f>LN(B135)</f>
        <v>-9.7901588672291258</v>
      </c>
      <c r="L135" t="n">
        <v>1</v>
      </c>
      <c r="M135" t="n">
        <v>1</v>
      </c>
      <c r="N135" t="n">
        <v>1</v>
      </c>
      <c r="O135" t="n">
        <v>1.02</v>
      </c>
      <c r="P135" t="n">
        <v>1.2</v>
      </c>
      <c r="Q135" t="n">
        <v>1</v>
      </c>
      <c r="R135" t="n">
        <v>1.05</v>
      </c>
      <c r="S135">
        <f>LN(SQRT(EXP(
SQRT(
+POWER(LN(L135),2)
+POWER(LN(M135),2)
+POWER(LN(N135),2)
+POWER(LN(O135),2)
+POWER(LN(P135),2)
+POWER(LN(Q135),2)
+POWER(LN(R135),2)
)
)))</f>
        <v>9.4886477223156879E-2</v>
      </c>
    </row>
    <row r="136">
      <c r="A136" t="inlineStr">
        <is>
          <t>Hydrochloric acid</t>
        </is>
      </c>
      <c r="B136">
        <f>unallocated!B139/I136</f>
        <v>6.0000000000000002E-6</v>
      </c>
      <c r="D136" t="inlineStr">
        <is>
          <t>kilogram</t>
        </is>
      </c>
      <c r="E136" t="inlineStr">
        <is>
          <t>air</t>
        </is>
      </c>
      <c r="F136" t="inlineStr">
        <is>
          <t>biosphere</t>
        </is>
      </c>
      <c r="I136" t="n">
        <v>1000</v>
      </c>
      <c r="J136" t="n">
        <v>2</v>
      </c>
      <c r="K136" s="3">
        <f>LN(B136)</f>
        <v>-12.023751088736219</v>
      </c>
      <c r="L136" t="n">
        <v>1</v>
      </c>
      <c r="M136" t="n">
        <v>1</v>
      </c>
      <c r="N136" t="n">
        <v>1</v>
      </c>
      <c r="O136" t="n">
        <v>1.02</v>
      </c>
      <c r="P136" t="n">
        <v>1.2</v>
      </c>
      <c r="Q136" t="n">
        <v>1</v>
      </c>
      <c r="R136" t="n">
        <v>1.5</v>
      </c>
      <c r="S136">
        <f>LN(SQRT(EXP(
SQRT(
+POWER(LN(L136),2)
+POWER(LN(M136),2)
+POWER(LN(N136),2)
+POWER(LN(O136),2)
+POWER(LN(P136),2)
+POWER(LN(Q136),2)
+POWER(LN(R136),2)
)
)))</f>
        <v>0.22250575723605889</v>
      </c>
    </row>
    <row r="137">
      <c r="A137" t="inlineStr">
        <is>
          <t>Nitrogen oxides</t>
        </is>
      </c>
      <c r="B137">
        <f>unallocated!B140/I137</f>
        <v>6.7700000000000008E-4</v>
      </c>
      <c r="D137" t="inlineStr">
        <is>
          <t>kilogram</t>
        </is>
      </c>
      <c r="E137" t="inlineStr">
        <is>
          <t>air::urban air close to ground</t>
        </is>
      </c>
      <c r="F137" t="inlineStr">
        <is>
          <t>biosphere</t>
        </is>
      </c>
      <c r="I137" t="n">
        <v>1000</v>
      </c>
      <c r="J137" t="n">
        <v>2</v>
      </c>
      <c r="K137" s="3">
        <f>LN(B137)</f>
        <v>-7.2978392850519986</v>
      </c>
      <c r="L137" t="n">
        <v>1</v>
      </c>
      <c r="M137" t="n">
        <v>1</v>
      </c>
      <c r="N137" t="n">
        <v>1</v>
      </c>
      <c r="O137" t="n">
        <v>1.02</v>
      </c>
      <c r="P137" t="n">
        <v>1.2</v>
      </c>
      <c r="Q137" t="n">
        <v>1</v>
      </c>
      <c r="R137" t="n">
        <v>1.5</v>
      </c>
      <c r="S137">
        <f>LN(SQRT(EXP(
SQRT(
+POWER(LN(L137),2)
+POWER(LN(M137),2)
+POWER(LN(N137),2)
+POWER(LN(O137),2)
+POWER(LN(P137),2)
+POWER(LN(Q137),2)
+POWER(LN(R137),2)
)
)))</f>
        <v>0.22250575723605889</v>
      </c>
    </row>
    <row r="138">
      <c r="A138" t="inlineStr">
        <is>
          <t>Ammonia</t>
        </is>
      </c>
      <c r="B138">
        <f>unallocated!B141/I138</f>
        <v>3.0000000000000001E-6</v>
      </c>
      <c r="D138" t="inlineStr">
        <is>
          <t>kilogram</t>
        </is>
      </c>
      <c r="E138" t="inlineStr">
        <is>
          <t>air::urban air close to ground</t>
        </is>
      </c>
      <c r="F138" t="inlineStr">
        <is>
          <t>biosphere</t>
        </is>
      </c>
      <c r="I138" t="n">
        <v>1000</v>
      </c>
      <c r="J138" t="n">
        <v>2</v>
      </c>
      <c r="K138" s="3">
        <f>LN(B138)</f>
        <v>-12.716898269296165</v>
      </c>
      <c r="L138" t="n">
        <v>1</v>
      </c>
      <c r="M138" t="n">
        <v>1</v>
      </c>
      <c r="N138" t="n">
        <v>1</v>
      </c>
      <c r="O138" t="n">
        <v>1.02</v>
      </c>
      <c r="P138" t="n">
        <v>1.2</v>
      </c>
      <c r="Q138" t="n">
        <v>1</v>
      </c>
      <c r="R138" t="n">
        <v>1.5</v>
      </c>
      <c r="S138">
        <f>LN(SQRT(EXP(
SQRT(
+POWER(LN(L138),2)
+POWER(LN(M138),2)
+POWER(LN(N138),2)
+POWER(LN(O138),2)
+POWER(LN(P138),2)
+POWER(LN(Q138),2)
+POWER(LN(R138),2)
)
)))</f>
        <v>0.22250575723605889</v>
      </c>
    </row>
    <row r="139">
      <c r="A139" t="inlineStr">
        <is>
          <t>Particulate Matter, &lt; 2.5 um</t>
        </is>
      </c>
      <c r="B139">
        <f>unallocated!B142/I139</f>
        <v>6.0000000000000002E-6</v>
      </c>
      <c r="D139" t="inlineStr">
        <is>
          <t>kilogram</t>
        </is>
      </c>
      <c r="E139" t="inlineStr">
        <is>
          <t>air::urban air close to ground</t>
        </is>
      </c>
      <c r="F139" t="inlineStr">
        <is>
          <t>biosphere</t>
        </is>
      </c>
      <c r="I139" t="n">
        <v>1000</v>
      </c>
      <c r="J139" t="n">
        <v>2</v>
      </c>
      <c r="K139" s="3">
        <f>LN(B139)</f>
        <v>-12.023751088736219</v>
      </c>
      <c r="L139" t="n">
        <v>1</v>
      </c>
      <c r="M139" t="n">
        <v>1</v>
      </c>
      <c r="N139" t="n">
        <v>1</v>
      </c>
      <c r="O139" t="n">
        <v>1.02</v>
      </c>
      <c r="P139" t="n">
        <v>1.2</v>
      </c>
      <c r="Q139" t="n">
        <v>1</v>
      </c>
      <c r="R139" t="n">
        <v>3</v>
      </c>
      <c r="S139">
        <f>LN(SQRT(EXP(
SQRT(
+POWER(LN(L139),2)
+POWER(LN(M139),2)
+POWER(LN(N139),2)
+POWER(LN(O139),2)
+POWER(LN(P139),2)
+POWER(LN(Q139),2)
+POWER(LN(R139),2)
)
)))</f>
        <v>0.5569071410325479</v>
      </c>
    </row>
    <row r="140">
      <c r="A140" t="inlineStr">
        <is>
          <t>Mercury II</t>
        </is>
      </c>
      <c r="B140">
        <f>unallocated!B143/I140</f>
        <v>2.3000000000000001E-8</v>
      </c>
      <c r="D140" t="inlineStr">
        <is>
          <t>kilogram</t>
        </is>
      </c>
      <c r="E140" t="inlineStr">
        <is>
          <t>air::urban air close to ground</t>
        </is>
      </c>
      <c r="F140" t="inlineStr">
        <is>
          <t>biosphere</t>
        </is>
      </c>
      <c r="I140" t="n">
        <v>1000</v>
      </c>
      <c r="J140" t="n">
        <v>2</v>
      </c>
      <c r="K140" s="3">
        <f>LN(B140)</f>
        <v>-17.587771621017261</v>
      </c>
      <c r="L140" t="n">
        <v>1</v>
      </c>
      <c r="M140" t="n">
        <v>1</v>
      </c>
      <c r="N140" t="n">
        <v>1</v>
      </c>
      <c r="O140" t="n">
        <v>1.02</v>
      </c>
      <c r="P140" t="n">
        <v>1.2</v>
      </c>
      <c r="Q140" t="n">
        <v>1</v>
      </c>
      <c r="R140" t="n">
        <v>5</v>
      </c>
      <c r="S140">
        <f>LN(SQRT(EXP(
SQRT(
+POWER(LN(L140),2)
+POWER(LN(M140),2)
+POWER(LN(N140),2)
+POWER(LN(O140),2)
+POWER(LN(P140),2)
+POWER(LN(Q140),2)
+POWER(LN(R140),2)
)
)))</f>
        <v>0.80992649174166365</v>
      </c>
    </row>
    <row r="141">
      <c r="A141" t="inlineStr">
        <is>
          <t>Lead II</t>
        </is>
      </c>
      <c r="B141">
        <f>unallocated!B144/I141</f>
        <v>5.5999999999999999E-8</v>
      </c>
      <c r="D141" t="inlineStr">
        <is>
          <t>kilogram</t>
        </is>
      </c>
      <c r="E141" t="inlineStr">
        <is>
          <t>air::urban air close to ground</t>
        </is>
      </c>
      <c r="F141" t="inlineStr">
        <is>
          <t>biosphere</t>
        </is>
      </c>
      <c r="I141" t="n">
        <v>1000</v>
      </c>
      <c r="J141" t="n">
        <v>2</v>
      </c>
      <c r="K141" s="3">
        <f>LN(B141)</f>
        <v>-16.697914146211261</v>
      </c>
      <c r="L141" t="n">
        <v>1</v>
      </c>
      <c r="M141" t="n">
        <v>1</v>
      </c>
      <c r="N141" t="n">
        <v>1</v>
      </c>
      <c r="O141" t="n">
        <v>1.02</v>
      </c>
      <c r="P141" t="n">
        <v>1.2</v>
      </c>
      <c r="Q141" t="n">
        <v>1</v>
      </c>
      <c r="R141" t="n">
        <v>5</v>
      </c>
      <c r="S141">
        <f>LN(SQRT(EXP(
SQRT(
+POWER(LN(L141),2)
+POWER(LN(M141),2)
+POWER(LN(N141),2)
+POWER(LN(O141),2)
+POWER(LN(P141),2)
+POWER(LN(Q141),2)
+POWER(LN(R141),2)
)
)))</f>
        <v>0.80992649174166365</v>
      </c>
    </row>
    <row r="142">
      <c r="A142" t="inlineStr">
        <is>
          <t>Cadmium II</t>
        </is>
      </c>
      <c r="B142">
        <f>unallocated!B145/I142</f>
        <v>1.0999999999999999E-8</v>
      </c>
      <c r="D142" t="inlineStr">
        <is>
          <t>kilogram</t>
        </is>
      </c>
      <c r="E142" t="inlineStr">
        <is>
          <t>air::urban air close to ground</t>
        </is>
      </c>
      <c r="F142" t="inlineStr">
        <is>
          <t>biosphere</t>
        </is>
      </c>
      <c r="I142" t="n">
        <v>1000</v>
      </c>
      <c r="J142" t="n">
        <v>2</v>
      </c>
      <c r="K142" s="3">
        <f>LN(B142)</f>
        <v>-18.325370564148042</v>
      </c>
      <c r="L142" t="n">
        <v>1</v>
      </c>
      <c r="M142" t="n">
        <v>1</v>
      </c>
      <c r="N142" t="n">
        <v>1</v>
      </c>
      <c r="O142" t="n">
        <v>1.02</v>
      </c>
      <c r="P142" t="n">
        <v>1.2</v>
      </c>
      <c r="Q142" t="n">
        <v>1</v>
      </c>
      <c r="R142" t="n">
        <v>5</v>
      </c>
      <c r="S142">
        <f>LN(SQRT(EXP(
SQRT(
+POWER(LN(L142),2)
+POWER(LN(M142),2)
+POWER(LN(N142),2)
+POWER(LN(O142),2)
+POWER(LN(P142),2)
+POWER(LN(Q142),2)
+POWER(LN(R142),2)
)
)))</f>
        <v>0.80992649174166365</v>
      </c>
    </row>
    <row r="143">
      <c r="A143" t="inlineStr">
        <is>
          <t>Arsenic ion</t>
        </is>
      </c>
      <c r="B143">
        <f>unallocated!B146/I143</f>
        <v>6E-9</v>
      </c>
      <c r="D143" t="inlineStr">
        <is>
          <t>kilogram</t>
        </is>
      </c>
      <c r="E143" t="inlineStr">
        <is>
          <t>air::urban air close to ground</t>
        </is>
      </c>
      <c r="F143" t="inlineStr">
        <is>
          <t>biosphere</t>
        </is>
      </c>
      <c r="I143" t="n">
        <v>1000</v>
      </c>
      <c r="J143" t="n">
        <v>2</v>
      </c>
      <c r="K143" s="3">
        <f>LN(B143)</f>
        <v>-18.931506367718356</v>
      </c>
      <c r="L143" t="n">
        <v>1</v>
      </c>
      <c r="M143" t="n">
        <v>1</v>
      </c>
      <c r="N143" t="n">
        <v>1</v>
      </c>
      <c r="O143" t="n">
        <v>1.02</v>
      </c>
      <c r="P143" t="n">
        <v>1.2</v>
      </c>
      <c r="Q143" t="n">
        <v>1</v>
      </c>
      <c r="R143" t="n">
        <v>5</v>
      </c>
      <c r="S143">
        <f>LN(SQRT(EXP(
SQRT(
+POWER(LN(L143),2)
+POWER(LN(M143),2)
+POWER(LN(N143),2)
+POWER(LN(O143),2)
+POWER(LN(P143),2)
+POWER(LN(Q143),2)
+POWER(LN(R143),2)
)
)))</f>
        <v>0.80992649174166365</v>
      </c>
    </row>
    <row r="144">
      <c r="A144" t="inlineStr">
        <is>
          <t>Dioxins, measured as 2,3,7,8-tetrachlorodibenzo-p-dioxin</t>
        </is>
      </c>
      <c r="B144">
        <f>unallocated!B147/I144</f>
        <v>1.1000000000000001E-13</v>
      </c>
      <c r="D144" t="inlineStr">
        <is>
          <t>kilogram</t>
        </is>
      </c>
      <c r="E144" t="inlineStr">
        <is>
          <t>air::urban air close to ground</t>
        </is>
      </c>
      <c r="F144" t="inlineStr">
        <is>
          <t>biosphere</t>
        </is>
      </c>
      <c r="I144" t="n">
        <v>1000</v>
      </c>
      <c r="J144" t="n">
        <v>2</v>
      </c>
      <c r="K144" s="3">
        <f>LN(B144)</f>
        <v>-29.838296029118268</v>
      </c>
      <c r="L144" t="n">
        <v>1</v>
      </c>
      <c r="M144" t="n">
        <v>1</v>
      </c>
      <c r="N144" t="n">
        <v>1</v>
      </c>
      <c r="O144" t="n">
        <v>1.02</v>
      </c>
      <c r="P144" t="n">
        <v>1.2</v>
      </c>
      <c r="Q144" t="n">
        <v>1</v>
      </c>
      <c r="R144" t="n">
        <v>5</v>
      </c>
      <c r="S144">
        <f>LN(SQRT(EXP(
SQRT(
+POWER(LN(L144),2)
+POWER(LN(M144),2)
+POWER(LN(N144),2)
+POWER(LN(O144),2)
+POWER(LN(P144),2)
+POWER(LN(Q144),2)
+POWER(LN(R144),2)
)
)))</f>
        <v>0.80992649174166365</v>
      </c>
    </row>
    <row r="145">
      <c r="A145" t="inlineStr">
        <is>
          <t>Carbon dioxide, fossil</t>
        </is>
      </c>
      <c r="B145">
        <f>unallocated!B148/I145</f>
        <v>0.374</v>
      </c>
      <c r="D145" t="inlineStr">
        <is>
          <t>kilogram</t>
        </is>
      </c>
      <c r="E145" t="inlineStr">
        <is>
          <t>air::urban air close to ground</t>
        </is>
      </c>
      <c r="F145" t="inlineStr">
        <is>
          <t>biosphere</t>
        </is>
      </c>
      <c r="I145" t="n">
        <v>1000</v>
      </c>
      <c r="J145" t="n">
        <v>2</v>
      </c>
      <c r="K145" s="3">
        <f>LN(B145)</f>
        <v>-0.98349948156760514</v>
      </c>
      <c r="L145" t="n">
        <v>1</v>
      </c>
      <c r="M145" t="n">
        <v>1</v>
      </c>
      <c r="N145" t="n">
        <v>1</v>
      </c>
      <c r="O145" t="n">
        <v>1.02</v>
      </c>
      <c r="P145" t="n">
        <v>1.2</v>
      </c>
      <c r="Q145" t="n">
        <v>1</v>
      </c>
      <c r="R145" t="n">
        <v>1.05</v>
      </c>
      <c r="S145">
        <f>LN(SQRT(EXP(
SQRT(
+POWER(LN(L145),2)
+POWER(LN(M145),2)
+POWER(LN(N145),2)
+POWER(LN(O145),2)
+POWER(LN(P145),2)
+POWER(LN(Q145),2)
+POWER(LN(R145),2)
)
)))</f>
        <v>9.4886477223156879E-2</v>
      </c>
    </row>
    <row r="146">
      <c r="A146" t="inlineStr">
        <is>
          <t>Carbon dioxide, non-fossil</t>
        </is>
      </c>
      <c r="B146">
        <f>unallocated!B149/I146</f>
        <v>0.59399999999999997</v>
      </c>
      <c r="D146" t="inlineStr">
        <is>
          <t>kilogram</t>
        </is>
      </c>
      <c r="E146" t="inlineStr">
        <is>
          <t>air::urban air close to ground</t>
        </is>
      </c>
      <c r="F146" t="inlineStr">
        <is>
          <t>biosphere</t>
        </is>
      </c>
      <c r="I146" t="n">
        <v>1000</v>
      </c>
      <c r="J146" t="n">
        <v>2</v>
      </c>
      <c r="K146" s="3">
        <f>LN(B146)</f>
        <v>-0.52087595961949218</v>
      </c>
      <c r="L146" t="n">
        <v>1</v>
      </c>
      <c r="M146" t="n">
        <v>1</v>
      </c>
      <c r="N146" t="n">
        <v>1</v>
      </c>
      <c r="O146" t="n">
        <v>1.02</v>
      </c>
      <c r="P146" t="n">
        <v>1.2</v>
      </c>
      <c r="Q146" t="n">
        <v>1</v>
      </c>
      <c r="R146" t="n">
        <v>1.05</v>
      </c>
      <c r="S146">
        <f>LN(SQRT(EXP(
SQRT(
+POWER(LN(L146),2)
+POWER(LN(M146),2)
+POWER(LN(N146),2)
+POWER(LN(O146),2)
+POWER(LN(P146),2)
+POWER(LN(Q146),2)
+POWER(LN(R146),2)
)
)))</f>
        <v>9.4886477223156879E-2</v>
      </c>
    </row>
    <row r="147"/>
    <row r="148">
      <c r="A148" s="1" t="inlineStr">
        <is>
          <t>Activity</t>
        </is>
      </c>
      <c r="B148" s="1" t="inlineStr">
        <is>
          <t>municipal waste incineration, at incineration plant, with wet air pollution control, with flue gas condensation, with electricity and heat recovery</t>
        </is>
      </c>
    </row>
    <row r="149">
      <c r="A149" t="inlineStr">
        <is>
          <t>location</t>
        </is>
      </c>
      <c r="B149" t="inlineStr">
        <is>
          <t>RER</t>
        </is>
      </c>
    </row>
    <row r="150">
      <c r="A150" t="inlineStr">
        <is>
          <t>production amount</t>
        </is>
      </c>
      <c r="B150" t="n">
        <v>1</v>
      </c>
    </row>
    <row r="151">
      <c r="A151" s="2" t="inlineStr">
        <is>
          <t>source</t>
        </is>
      </c>
      <c r="B151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52">
      <c r="A152" t="inlineStr">
        <is>
          <t>reference product</t>
        </is>
      </c>
      <c r="B152" t="inlineStr">
        <is>
          <t>municipal solid waste</t>
        </is>
      </c>
    </row>
    <row r="153">
      <c r="A153" t="inlineStr">
        <is>
          <t>type</t>
        </is>
      </c>
      <c r="B153" t="inlineStr">
        <is>
          <t>process</t>
        </is>
      </c>
    </row>
    <row r="154">
      <c r="A154" t="inlineStr">
        <is>
          <t>unit</t>
        </is>
      </c>
      <c r="B154" t="inlineStr">
        <is>
          <t>kilogram</t>
        </is>
      </c>
    </row>
    <row r="155">
      <c r="A155" t="inlineStr">
        <is>
          <t>comment</t>
        </is>
      </c>
      <c r="B155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618 kWh. Heat production per ton MSWI incinerated: 7'860 MJ.</t>
        </is>
      </c>
    </row>
    <row r="156">
      <c r="A156" s="1" t="inlineStr">
        <is>
          <t>Exchanges</t>
        </is>
      </c>
    </row>
    <row r="157">
      <c r="A157" s="7" t="inlineStr">
        <is>
          <t>name</t>
        </is>
      </c>
      <c r="B157" s="7" t="inlineStr">
        <is>
          <t>amount</t>
        </is>
      </c>
      <c r="C157" s="7" t="inlineStr">
        <is>
          <t>location</t>
        </is>
      </c>
      <c r="D157" s="7" t="inlineStr">
        <is>
          <t>unit</t>
        </is>
      </c>
      <c r="E157" s="7" t="inlineStr">
        <is>
          <t>categories</t>
        </is>
      </c>
      <c r="F157" s="7" t="inlineStr">
        <is>
          <t>type</t>
        </is>
      </c>
      <c r="G157" s="7" t="inlineStr">
        <is>
          <t>reference product</t>
        </is>
      </c>
      <c r="H157" s="7" t="inlineStr">
        <is>
          <t>comment</t>
        </is>
      </c>
      <c r="I157" s="7" t="inlineStr">
        <is>
          <t>normalization</t>
        </is>
      </c>
      <c r="J157" s="7" t="inlineStr">
        <is>
          <t>uncertainty type</t>
        </is>
      </c>
      <c r="K157" s="7" t="inlineStr">
        <is>
          <t>loc</t>
        </is>
      </c>
      <c r="L157" s="1" t="inlineStr">
        <is>
          <t>u1</t>
        </is>
      </c>
      <c r="M157" s="1" t="inlineStr">
        <is>
          <t>u2</t>
        </is>
      </c>
      <c r="N157" s="1" t="inlineStr">
        <is>
          <t>u3</t>
        </is>
      </c>
      <c r="O157" s="1" t="inlineStr">
        <is>
          <t>u4</t>
        </is>
      </c>
      <c r="P157" s="1" t="inlineStr">
        <is>
          <t>u5</t>
        </is>
      </c>
      <c r="Q157" s="1" t="inlineStr">
        <is>
          <t>u6</t>
        </is>
      </c>
      <c r="R157" s="1" t="inlineStr">
        <is>
          <t>ub</t>
        </is>
      </c>
      <c r="S157" s="1" t="inlineStr">
        <is>
          <t>scale</t>
        </is>
      </c>
    </row>
    <row r="158">
      <c r="A158" t="inlineStr">
        <is>
          <t>municipal waste incineration, at incineration plant, with semi-dry air pollution control, with flue gas condensation, with electricity and heat recovery</t>
        </is>
      </c>
      <c r="B158">
        <f>unallocated!B161/I158</f>
        <v>1</v>
      </c>
      <c r="C158" t="inlineStr">
        <is>
          <t>RER</t>
        </is>
      </c>
      <c r="D158" t="inlineStr">
        <is>
          <t>kilogram</t>
        </is>
      </c>
      <c r="F158" t="inlineStr">
        <is>
          <t>production</t>
        </is>
      </c>
      <c r="G158" t="inlineStr">
        <is>
          <t>municipal solid waste</t>
        </is>
      </c>
      <c r="H158" t="inlineStr"/>
      <c r="I158" t="n">
        <v>1000</v>
      </c>
      <c r="J158" t="n">
        <v>0</v>
      </c>
      <c r="L158" s="5" t="n"/>
      <c r="M158" s="5" t="n"/>
      <c r="N158" s="5" t="n"/>
      <c r="O158" s="5" t="n"/>
      <c r="P158" s="5" t="n"/>
      <c r="Q158" s="5" t="n"/>
    </row>
    <row r="159">
      <c r="A159" t="inlineStr">
        <is>
          <t>market group for electricity, medium voltage</t>
        </is>
      </c>
      <c r="B159">
        <f>unallocated!B162/I159</f>
        <v>-0.61799999999999999</v>
      </c>
      <c r="C159" t="inlineStr">
        <is>
          <t>RER</t>
        </is>
      </c>
      <c r="D159" t="inlineStr">
        <is>
          <t>kilowatt hour</t>
        </is>
      </c>
      <c r="F159" t="inlineStr">
        <is>
          <t>technosphere</t>
        </is>
      </c>
      <c r="G159" t="inlineStr">
        <is>
          <t>electricity, medium voltage</t>
        </is>
      </c>
      <c r="H159" t="inlineStr">
        <is>
          <t>Co-produced heat and electricity.</t>
        </is>
      </c>
      <c r="I159" t="n">
        <v>-1000</v>
      </c>
      <c r="J159" t="n">
        <v>0</v>
      </c>
      <c r="K159" s="3" t="n"/>
    </row>
    <row r="160">
      <c r="A160" t="inlineStr">
        <is>
          <t>market for heat, central or small-scale, natural gas</t>
        </is>
      </c>
      <c r="B160">
        <f>unallocated!B163/I160</f>
        <v>-7.86</v>
      </c>
      <c r="C160" t="inlineStr">
        <is>
          <t>Europe without Switzerland</t>
        </is>
      </c>
      <c r="D160" t="inlineStr">
        <is>
          <t>megajoule</t>
        </is>
      </c>
      <c r="F160" t="inlineStr">
        <is>
          <t>technosphere</t>
        </is>
      </c>
      <c r="G160" t="inlineStr">
        <is>
          <t>heat, central or small-scale, natural gas</t>
        </is>
      </c>
      <c r="H160" t="inlineStr">
        <is>
          <t>Co-produced heat and electricity.</t>
        </is>
      </c>
      <c r="I160" t="n">
        <v>-1000</v>
      </c>
      <c r="J160" t="n">
        <v>0</v>
      </c>
      <c r="K160" s="3" t="n"/>
    </row>
    <row r="161">
      <c r="A161" t="inlineStr">
        <is>
          <t>market for diesel, low-sulfur</t>
        </is>
      </c>
      <c r="B161">
        <f>unallocated!B164/I161</f>
        <v>8.5000000000000006E-5</v>
      </c>
      <c r="C161" t="inlineStr">
        <is>
          <t>Europe without Switzerland</t>
        </is>
      </c>
      <c r="D161" t="inlineStr">
        <is>
          <t>kilogram</t>
        </is>
      </c>
      <c r="F161" t="inlineStr">
        <is>
          <t>technosphere</t>
        </is>
      </c>
      <c r="G161" t="inlineStr">
        <is>
          <t>diesel, low-sulfur</t>
        </is>
      </c>
      <c r="H161" t="inlineStr">
        <is>
          <t>Diesel density: 0.85 kg/l</t>
        </is>
      </c>
      <c r="I161" t="n">
        <v>1000</v>
      </c>
      <c r="J161" t="n">
        <v>2</v>
      </c>
      <c r="K161" s="3">
        <f>LN(B161)</f>
        <v>-9.372859301473957</v>
      </c>
      <c r="L161" t="n">
        <v>1</v>
      </c>
      <c r="M161" t="n">
        <v>1</v>
      </c>
      <c r="N161" t="n">
        <v>1</v>
      </c>
      <c r="O161" t="n">
        <v>1.02</v>
      </c>
      <c r="P161" t="n">
        <v>1.2</v>
      </c>
      <c r="Q161" t="n">
        <v>1</v>
      </c>
      <c r="R161" t="n">
        <v>1.05</v>
      </c>
      <c r="S161">
        <f>LN(SQRT(EXP(
SQRT(
+POWER(LN(L161),2)
+POWER(LN(M161),2)
+POWER(LN(N161),2)
+POWER(LN(O161),2)
+POWER(LN(P161),2)
+POWER(LN(Q161),2)
+POWER(LN(R161),2)
)
)))</f>
        <v>9.4886477223156879E-2</v>
      </c>
    </row>
    <row r="162">
      <c r="A162" t="inlineStr">
        <is>
          <t>market for activated carbon, granular</t>
        </is>
      </c>
      <c r="B162">
        <f>unallocated!B165/I162</f>
        <v>4.0000000000000002E-4</v>
      </c>
      <c r="C162" t="inlineStr">
        <is>
          <t>GLO</t>
        </is>
      </c>
      <c r="D162" t="inlineStr">
        <is>
          <t>kilogram</t>
        </is>
      </c>
      <c r="F162" t="inlineStr">
        <is>
          <t>technosphere</t>
        </is>
      </c>
      <c r="G162" t="inlineStr">
        <is>
          <t>activated carbon, granular</t>
        </is>
      </c>
      <c r="I162" t="n">
        <v>1000</v>
      </c>
      <c r="J162" t="n">
        <v>2</v>
      </c>
      <c r="K162" s="3">
        <f>LN(B162)</f>
        <v>-7.8240460108562919</v>
      </c>
      <c r="L162" t="n">
        <v>1</v>
      </c>
      <c r="M162" t="n">
        <v>1</v>
      </c>
      <c r="N162" t="n">
        <v>1</v>
      </c>
      <c r="O162" t="n">
        <v>1.02</v>
      </c>
      <c r="P162" t="n">
        <v>1.2</v>
      </c>
      <c r="Q162" t="n">
        <v>1</v>
      </c>
      <c r="R162" t="n">
        <v>1.05</v>
      </c>
      <c r="S162">
        <f>LN(SQRT(EXP(
SQRT(
+POWER(LN(L162),2)
+POWER(LN(M162),2)
+POWER(LN(N162),2)
+POWER(LN(O162),2)
+POWER(LN(P162),2)
+POWER(LN(Q162),2)
+POWER(LN(R162),2)
)
)))</f>
        <v>9.4886477223156879E-2</v>
      </c>
    </row>
    <row r="163">
      <c r="A163" t="inlineStr">
        <is>
          <t>market for ammonia, anhydrous, liquid</t>
        </is>
      </c>
      <c r="B163">
        <f>unallocated!B166/I163</f>
        <v>9.7999999999999997E-4</v>
      </c>
      <c r="C163" t="inlineStr">
        <is>
          <t>RER</t>
        </is>
      </c>
      <c r="D163" t="inlineStr">
        <is>
          <t>kilogram</t>
        </is>
      </c>
      <c r="F163" t="inlineStr">
        <is>
          <t>technosphere</t>
        </is>
      </c>
      <c r="G163" t="inlineStr">
        <is>
          <t>ammonia, anhydrous, liquid</t>
        </is>
      </c>
      <c r="H163" t="inlineStr">
        <is>
          <t>100% liquid ammonia. In original publication, it is dilluated to 23.5% in water. We discount the original value by 75%.</t>
        </is>
      </c>
      <c r="I163" t="n">
        <v>1000</v>
      </c>
      <c r="J163" t="n">
        <v>2</v>
      </c>
      <c r="K163" s="3">
        <f>LN(B163)</f>
        <v>-6.9279579862996563</v>
      </c>
      <c r="L163" t="n">
        <v>1</v>
      </c>
      <c r="M163" t="n">
        <v>1</v>
      </c>
      <c r="N163" t="n">
        <v>1</v>
      </c>
      <c r="O163" t="n">
        <v>1.02</v>
      </c>
      <c r="P163" t="n">
        <v>1.2</v>
      </c>
      <c r="Q163" t="n">
        <v>1</v>
      </c>
      <c r="R163" t="n">
        <v>1.05</v>
      </c>
      <c r="S163">
        <f>LN(SQRT(EXP(
SQRT(
+POWER(LN(L163),2)
+POWER(LN(M163),2)
+POWER(LN(N163),2)
+POWER(LN(O163),2)
+POWER(LN(P163),2)
+POWER(LN(Q163),2)
+POWER(LN(R163),2)
)
)))</f>
        <v>9.4886477223156879E-2</v>
      </c>
    </row>
    <row r="164">
      <c r="A164" t="inlineStr">
        <is>
          <t>market for tap water</t>
        </is>
      </c>
      <c r="B164">
        <f>unallocated!B167/I164</f>
        <v>3.0200000000000001E-3</v>
      </c>
      <c r="C164" t="inlineStr">
        <is>
          <t>Europe without Switzerland</t>
        </is>
      </c>
      <c r="D164" t="inlineStr">
        <is>
          <t>kilogram</t>
        </is>
      </c>
      <c r="F164" t="inlineStr">
        <is>
          <t>technosphere</t>
        </is>
      </c>
      <c r="G164" t="inlineStr">
        <is>
          <t>tap water</t>
        </is>
      </c>
      <c r="H164" t="inlineStr">
        <is>
          <t>Used to dilute the ammonia.</t>
        </is>
      </c>
      <c r="I164" t="n">
        <v>1000</v>
      </c>
      <c r="J164" t="n">
        <v>2</v>
      </c>
      <c r="K164" s="3">
        <f>LN(B164)</f>
        <v>-5.8024984475953589</v>
      </c>
      <c r="L164" t="n">
        <v>1</v>
      </c>
      <c r="M164" t="n">
        <v>1</v>
      </c>
      <c r="N164" t="n">
        <v>1</v>
      </c>
      <c r="O164" t="n">
        <v>1.02</v>
      </c>
      <c r="P164" t="n">
        <v>1.2</v>
      </c>
      <c r="Q164" t="n">
        <v>1</v>
      </c>
      <c r="R164" t="n">
        <v>1.05</v>
      </c>
      <c r="S164">
        <f>LN(SQRT(EXP(
SQRT(
+POWER(LN(L164),2)
+POWER(LN(M164),2)
+POWER(LN(N164),2)
+POWER(LN(O164),2)
+POWER(LN(P164),2)
+POWER(LN(Q164),2)
+POWER(LN(R164),2)
)
)))</f>
        <v>9.4886477223156879E-2</v>
      </c>
    </row>
    <row r="165">
      <c r="A165" t="inlineStr">
        <is>
          <t>market for calcium carbonate, precipitated</t>
        </is>
      </c>
      <c r="B165">
        <f>unallocated!B168/I165</f>
        <v>7.0000000000000001E-3</v>
      </c>
      <c r="C165" t="inlineStr">
        <is>
          <t>RER</t>
        </is>
      </c>
      <c r="D165" t="inlineStr">
        <is>
          <t>kilogram</t>
        </is>
      </c>
      <c r="F165" t="inlineStr">
        <is>
          <t>technosphere</t>
        </is>
      </c>
      <c r="G165" t="inlineStr">
        <is>
          <t>calcium carbonate, precipitated</t>
        </is>
      </c>
      <c r="I165" t="n">
        <v>1000</v>
      </c>
      <c r="J165" t="n">
        <v>0</v>
      </c>
      <c r="K165" s="3" t="n"/>
    </row>
    <row r="166">
      <c r="A166" t="inlineStr">
        <is>
          <t>market for iron(III) chloride, without water, in 40% solution state</t>
        </is>
      </c>
      <c r="B166">
        <f>unallocated!B169/I166</f>
        <v>5.0000000000000002E-5</v>
      </c>
      <c r="C166" t="inlineStr">
        <is>
          <t>GLO</t>
        </is>
      </c>
      <c r="D166" t="inlineStr">
        <is>
          <t>kilogram</t>
        </is>
      </c>
      <c r="F166" t="inlineStr">
        <is>
          <t>technosphere</t>
        </is>
      </c>
      <c r="G166" t="inlineStr">
        <is>
          <t>iron(III) chloride, without water, in 40% solution state</t>
        </is>
      </c>
      <c r="I166" t="n">
        <v>1000</v>
      </c>
      <c r="J166" t="n">
        <v>0</v>
      </c>
      <c r="K166" s="3" t="n"/>
    </row>
    <row r="167">
      <c r="A167" t="inlineStr">
        <is>
          <t>market for lime, hydrated, packed</t>
        </is>
      </c>
      <c r="B167">
        <f>unallocated!B170/I167</f>
        <v>0</v>
      </c>
      <c r="C167" t="inlineStr">
        <is>
          <t>RER</t>
        </is>
      </c>
      <c r="D167" t="inlineStr">
        <is>
          <t>kilogram</t>
        </is>
      </c>
      <c r="F167" t="inlineStr">
        <is>
          <t>technosphere</t>
        </is>
      </c>
      <c r="G167" t="inlineStr">
        <is>
          <t>lime, hydrated, packed</t>
        </is>
      </c>
      <c r="I167" t="n">
        <v>1000</v>
      </c>
      <c r="J167" t="n">
        <v>0</v>
      </c>
      <c r="K167" s="3" t="n"/>
    </row>
    <row r="168">
      <c r="A168" t="inlineStr">
        <is>
          <t>market for sodium hydroxide, without water, in 50% solution state</t>
        </is>
      </c>
      <c r="B168">
        <f>unallocated!B171/I168</f>
        <v>5.0000000000000001E-4</v>
      </c>
      <c r="C168" t="inlineStr">
        <is>
          <t>RER</t>
        </is>
      </c>
      <c r="D168" t="inlineStr">
        <is>
          <t>kilogram</t>
        </is>
      </c>
      <c r="F168" t="inlineStr">
        <is>
          <t>technosphere</t>
        </is>
      </c>
      <c r="G168" t="inlineStr">
        <is>
          <t>sodium hydroxide, without water, in 50% solution state</t>
        </is>
      </c>
      <c r="H168" t="inlineStr">
        <is>
          <t>50% liquid ammonia. In original publication, it is dilluated to 27% in water. We discount the original value by 50%.</t>
        </is>
      </c>
      <c r="I168" t="n">
        <v>1000</v>
      </c>
      <c r="J168" t="n">
        <v>0</v>
      </c>
      <c r="K168" s="3" t="n"/>
    </row>
    <row r="169">
      <c r="A169" t="inlineStr">
        <is>
          <t>market for monoethanolamine</t>
        </is>
      </c>
      <c r="B169">
        <f>unallocated!B172/I169</f>
        <v>0</v>
      </c>
      <c r="C169" t="inlineStr">
        <is>
          <t>GLO</t>
        </is>
      </c>
      <c r="D169" t="inlineStr">
        <is>
          <t>kilogram</t>
        </is>
      </c>
      <c r="F169" t="inlineStr">
        <is>
          <t>technosphere</t>
        </is>
      </c>
      <c r="G169" t="inlineStr">
        <is>
          <t>monoethanolamine</t>
        </is>
      </c>
      <c r="I169" t="n">
        <v>1000</v>
      </c>
      <c r="J169" t="n">
        <v>0</v>
      </c>
      <c r="K169" s="3" t="n"/>
    </row>
    <row r="170">
      <c r="A170" t="inlineStr">
        <is>
          <t>municipal waste incineration facility construction</t>
        </is>
      </c>
      <c r="B170">
        <f>unallocated!B173/I170</f>
        <v>2.4999999999999996E-10</v>
      </c>
      <c r="C170" t="inlineStr">
        <is>
          <t>CH</t>
        </is>
      </c>
      <c r="D170" t="inlineStr">
        <is>
          <t>unit</t>
        </is>
      </c>
      <c r="F170" t="inlineStr">
        <is>
          <t>technosphere</t>
        </is>
      </c>
      <c r="G170" t="inlineStr">
        <is>
          <t>municipal waste incineration facility</t>
        </is>
      </c>
      <c r="H170" t="inlineStr">
        <is>
          <t>Lifetime: 4'000'000 tons MSWI treated.</t>
        </is>
      </c>
      <c r="I170" t="n">
        <v>1000</v>
      </c>
      <c r="J170" t="n">
        <v>2</v>
      </c>
      <c r="K170" s="3">
        <f>LN(B170)</f>
        <v>-22.109560198066301</v>
      </c>
      <c r="L170" t="n">
        <v>1</v>
      </c>
      <c r="M170" t="n">
        <v>1</v>
      </c>
      <c r="N170" t="n">
        <v>1</v>
      </c>
      <c r="O170" t="n">
        <v>1.02</v>
      </c>
      <c r="P170" t="n">
        <v>1.2</v>
      </c>
      <c r="Q170" t="n">
        <v>1</v>
      </c>
      <c r="R170" t="n">
        <v>3</v>
      </c>
      <c r="S170">
        <f>LN(SQRT(EXP(
SQRT(
+POWER(LN(L170),2)
+POWER(LN(M170),2)
+POWER(LN(N170),2)
+POWER(LN(O170),2)
+POWER(LN(P170),2)
+POWER(LN(Q170),2)
+POWER(LN(R170),2)
)
)))</f>
        <v>0.5569071410325479</v>
      </c>
    </row>
    <row r="171">
      <c r="A171" t="inlineStr">
        <is>
          <t>Water, cooling, unspecified natural origin</t>
        </is>
      </c>
      <c r="B171">
        <f>unallocated!B174/I171</f>
        <v>0</v>
      </c>
      <c r="D171" t="inlineStr">
        <is>
          <t>cubic meter</t>
        </is>
      </c>
      <c r="E171" t="inlineStr">
        <is>
          <t>natural resource::in water</t>
        </is>
      </c>
      <c r="F171" t="inlineStr">
        <is>
          <t>biosphere</t>
        </is>
      </c>
      <c r="I171" t="n">
        <v>1000</v>
      </c>
      <c r="J171" t="n">
        <v>0</v>
      </c>
      <c r="K171" s="3" t="n"/>
    </row>
    <row r="172">
      <c r="A172" t="inlineStr">
        <is>
          <t>Sulfur dioxide</t>
        </is>
      </c>
      <c r="B172">
        <f>unallocated!B175/I172</f>
        <v>6.0000000000000002E-6</v>
      </c>
      <c r="D172" t="inlineStr">
        <is>
          <t>kilogram</t>
        </is>
      </c>
      <c r="E172" t="inlineStr">
        <is>
          <t>air::urban air close to ground</t>
        </is>
      </c>
      <c r="F172" t="inlineStr">
        <is>
          <t>biosphere</t>
        </is>
      </c>
      <c r="I172" t="n">
        <v>1000</v>
      </c>
      <c r="J172" t="n">
        <v>2</v>
      </c>
      <c r="K172" s="3">
        <f>LN(B172)</f>
        <v>-12.023751088736219</v>
      </c>
      <c r="L172" t="n">
        <v>1</v>
      </c>
      <c r="M172" t="n">
        <v>1</v>
      </c>
      <c r="N172" t="n">
        <v>1</v>
      </c>
      <c r="O172" t="n">
        <v>1.02</v>
      </c>
      <c r="P172" t="n">
        <v>1.2</v>
      </c>
      <c r="Q172" t="n">
        <v>1</v>
      </c>
      <c r="R172" t="n">
        <v>1.05</v>
      </c>
      <c r="S172">
        <f>LN(SQRT(EXP(
SQRT(
+POWER(LN(L172),2)
+POWER(LN(M172),2)
+POWER(LN(N172),2)
+POWER(LN(O172),2)
+POWER(LN(P172),2)
+POWER(LN(Q172),2)
+POWER(LN(R172),2)
)
)))</f>
        <v>9.4886477223156879E-2</v>
      </c>
    </row>
    <row r="173">
      <c r="A173" t="inlineStr">
        <is>
          <t>Hydrochloric acid</t>
        </is>
      </c>
      <c r="B173">
        <f>unallocated!B176/I173</f>
        <v>3.0000000000000001E-6</v>
      </c>
      <c r="D173" t="inlineStr">
        <is>
          <t>kilogram</t>
        </is>
      </c>
      <c r="E173" t="inlineStr">
        <is>
          <t>air</t>
        </is>
      </c>
      <c r="F173" t="inlineStr">
        <is>
          <t>biosphere</t>
        </is>
      </c>
      <c r="I173" t="n">
        <v>1000</v>
      </c>
      <c r="J173" t="n">
        <v>2</v>
      </c>
      <c r="K173" s="3">
        <f>LN(B173)</f>
        <v>-12.716898269296165</v>
      </c>
      <c r="L173" t="n">
        <v>1</v>
      </c>
      <c r="M173" t="n">
        <v>1</v>
      </c>
      <c r="N173" t="n">
        <v>1</v>
      </c>
      <c r="O173" t="n">
        <v>1.02</v>
      </c>
      <c r="P173" t="n">
        <v>1.2</v>
      </c>
      <c r="Q173" t="n">
        <v>1</v>
      </c>
      <c r="R173" t="n">
        <v>1.5</v>
      </c>
      <c r="S173">
        <f>LN(SQRT(EXP(
SQRT(
+POWER(LN(L173),2)
+POWER(LN(M173),2)
+POWER(LN(N173),2)
+POWER(LN(O173),2)
+POWER(LN(P173),2)
+POWER(LN(Q173),2)
+POWER(LN(R173),2)
)
)))</f>
        <v>0.22250575723605889</v>
      </c>
    </row>
    <row r="174">
      <c r="A174" t="inlineStr">
        <is>
          <t>Nitrogen oxides</t>
        </is>
      </c>
      <c r="B174">
        <f>unallocated!B177/I174</f>
        <v>6.7700000000000008E-4</v>
      </c>
      <c r="D174" t="inlineStr">
        <is>
          <t>kilogram</t>
        </is>
      </c>
      <c r="E174" t="inlineStr">
        <is>
          <t>air::urban air close to ground</t>
        </is>
      </c>
      <c r="F174" t="inlineStr">
        <is>
          <t>biosphere</t>
        </is>
      </c>
      <c r="I174" t="n">
        <v>1000</v>
      </c>
      <c r="J174" t="n">
        <v>2</v>
      </c>
      <c r="K174" s="3">
        <f>LN(B174)</f>
        <v>-7.2978392850519986</v>
      </c>
      <c r="L174" t="n">
        <v>1</v>
      </c>
      <c r="M174" t="n">
        <v>1</v>
      </c>
      <c r="N174" t="n">
        <v>1</v>
      </c>
      <c r="O174" t="n">
        <v>1.02</v>
      </c>
      <c r="P174" t="n">
        <v>1.2</v>
      </c>
      <c r="Q174" t="n">
        <v>1</v>
      </c>
      <c r="R174" t="n">
        <v>1.5</v>
      </c>
      <c r="S174">
        <f>LN(SQRT(EXP(
SQRT(
+POWER(LN(L174),2)
+POWER(LN(M174),2)
+POWER(LN(N174),2)
+POWER(LN(O174),2)
+POWER(LN(P174),2)
+POWER(LN(Q174),2)
+POWER(LN(R174),2)
)
)))</f>
        <v>0.22250575723605889</v>
      </c>
    </row>
    <row r="175">
      <c r="A175" t="inlineStr">
        <is>
          <t>Ammonia</t>
        </is>
      </c>
      <c r="B175">
        <f>unallocated!B178/I175</f>
        <v>9.9999999999999995E-7</v>
      </c>
      <c r="D175" t="inlineStr">
        <is>
          <t>kilogram</t>
        </is>
      </c>
      <c r="E175" t="inlineStr">
        <is>
          <t>air::urban air close to ground</t>
        </is>
      </c>
      <c r="F175" t="inlineStr">
        <is>
          <t>biosphere</t>
        </is>
      </c>
      <c r="I175" t="n">
        <v>1000</v>
      </c>
      <c r="J175" t="n">
        <v>2</v>
      </c>
      <c r="K175" s="3">
        <f>LN(B175)</f>
        <v>-13.815510557964274</v>
      </c>
      <c r="L175" t="n">
        <v>1</v>
      </c>
      <c r="M175" t="n">
        <v>1</v>
      </c>
      <c r="N175" t="n">
        <v>1</v>
      </c>
      <c r="O175" t="n">
        <v>1.02</v>
      </c>
      <c r="P175" t="n">
        <v>1.2</v>
      </c>
      <c r="Q175" t="n">
        <v>1</v>
      </c>
      <c r="R175" t="n">
        <v>1.5</v>
      </c>
      <c r="S175">
        <f>LN(SQRT(EXP(
SQRT(
+POWER(LN(L175),2)
+POWER(LN(M175),2)
+POWER(LN(N175),2)
+POWER(LN(O175),2)
+POWER(LN(P175),2)
+POWER(LN(Q175),2)
+POWER(LN(R175),2)
)
)))</f>
        <v>0.22250575723605889</v>
      </c>
    </row>
    <row r="176">
      <c r="A176" t="inlineStr">
        <is>
          <t>Particulate Matter, &lt; 2.5 um</t>
        </is>
      </c>
      <c r="B176">
        <f>unallocated!B179/I176</f>
        <v>6.0000000000000002E-6</v>
      </c>
      <c r="D176" t="inlineStr">
        <is>
          <t>kilogram</t>
        </is>
      </c>
      <c r="E176" t="inlineStr">
        <is>
          <t>air::urban air close to ground</t>
        </is>
      </c>
      <c r="F176" t="inlineStr">
        <is>
          <t>biosphere</t>
        </is>
      </c>
      <c r="I176" t="n">
        <v>1000</v>
      </c>
      <c r="J176" t="n">
        <v>2</v>
      </c>
      <c r="K176" s="3">
        <f>LN(B176)</f>
        <v>-12.023751088736219</v>
      </c>
      <c r="L176" t="n">
        <v>1</v>
      </c>
      <c r="M176" t="n">
        <v>1</v>
      </c>
      <c r="N176" t="n">
        <v>1</v>
      </c>
      <c r="O176" t="n">
        <v>1.02</v>
      </c>
      <c r="P176" t="n">
        <v>1.2</v>
      </c>
      <c r="Q176" t="n">
        <v>1</v>
      </c>
      <c r="R176" t="n">
        <v>3</v>
      </c>
      <c r="S176">
        <f>LN(SQRT(EXP(
SQRT(
+POWER(LN(L176),2)
+POWER(LN(M176),2)
+POWER(LN(N176),2)
+POWER(LN(O176),2)
+POWER(LN(P176),2)
+POWER(LN(Q176),2)
+POWER(LN(R176),2)
)
)))</f>
        <v>0.5569071410325479</v>
      </c>
    </row>
    <row r="177">
      <c r="A177" t="inlineStr">
        <is>
          <t>Mercury II</t>
        </is>
      </c>
      <c r="B177">
        <f>unallocated!B180/I177</f>
        <v>6E-9</v>
      </c>
      <c r="D177" t="inlineStr">
        <is>
          <t>kilogram</t>
        </is>
      </c>
      <c r="E177" t="inlineStr">
        <is>
          <t>air::urban air close to ground</t>
        </is>
      </c>
      <c r="F177" t="inlineStr">
        <is>
          <t>biosphere</t>
        </is>
      </c>
      <c r="I177" t="n">
        <v>1000</v>
      </c>
      <c r="J177" t="n">
        <v>2</v>
      </c>
      <c r="K177" s="3">
        <f>LN(B177)</f>
        <v>-18.931506367718356</v>
      </c>
      <c r="L177" t="n">
        <v>1</v>
      </c>
      <c r="M177" t="n">
        <v>1</v>
      </c>
      <c r="N177" t="n">
        <v>1</v>
      </c>
      <c r="O177" t="n">
        <v>1.02</v>
      </c>
      <c r="P177" t="n">
        <v>1.2</v>
      </c>
      <c r="Q177" t="n">
        <v>1</v>
      </c>
      <c r="R177" t="n">
        <v>5</v>
      </c>
      <c r="S177">
        <f>LN(SQRT(EXP(
SQRT(
+POWER(LN(L177),2)
+POWER(LN(M177),2)
+POWER(LN(N177),2)
+POWER(LN(O177),2)
+POWER(LN(P177),2)
+POWER(LN(Q177),2)
+POWER(LN(R177),2)
)
)))</f>
        <v>0.80992649174166365</v>
      </c>
    </row>
    <row r="178">
      <c r="A178" t="inlineStr">
        <is>
          <t>Lead II</t>
        </is>
      </c>
      <c r="B178">
        <f>unallocated!B181/I178</f>
        <v>6E-9</v>
      </c>
      <c r="D178" t="inlineStr">
        <is>
          <t>kilogram</t>
        </is>
      </c>
      <c r="E178" t="inlineStr">
        <is>
          <t>air::urban air close to ground</t>
        </is>
      </c>
      <c r="F178" t="inlineStr">
        <is>
          <t>biosphere</t>
        </is>
      </c>
      <c r="I178" t="n">
        <v>1000</v>
      </c>
      <c r="J178" t="n">
        <v>2</v>
      </c>
      <c r="K178" s="3">
        <f>LN(B178)</f>
        <v>-18.931506367718356</v>
      </c>
      <c r="L178" t="n">
        <v>1</v>
      </c>
      <c r="M178" t="n">
        <v>1</v>
      </c>
      <c r="N178" t="n">
        <v>1</v>
      </c>
      <c r="O178" t="n">
        <v>1.02</v>
      </c>
      <c r="P178" t="n">
        <v>1.2</v>
      </c>
      <c r="Q178" t="n">
        <v>1</v>
      </c>
      <c r="R178" t="n">
        <v>5</v>
      </c>
      <c r="S178">
        <f>LN(SQRT(EXP(
SQRT(
+POWER(LN(L178),2)
+POWER(LN(M178),2)
+POWER(LN(N178),2)
+POWER(LN(O178),2)
+POWER(LN(P178),2)
+POWER(LN(Q178),2)
+POWER(LN(R178),2)
)
)))</f>
        <v>0.80992649174166365</v>
      </c>
    </row>
    <row r="179">
      <c r="A179" t="inlineStr">
        <is>
          <t>Cadmium II</t>
        </is>
      </c>
      <c r="B179">
        <f>unallocated!B182/I179</f>
        <v>3E-9</v>
      </c>
      <c r="D179" t="inlineStr">
        <is>
          <t>kilogram</t>
        </is>
      </c>
      <c r="E179" t="inlineStr">
        <is>
          <t>air::urban air close to ground</t>
        </is>
      </c>
      <c r="F179" t="inlineStr">
        <is>
          <t>biosphere</t>
        </is>
      </c>
      <c r="I179" t="n">
        <v>1000</v>
      </c>
      <c r="J179" t="n">
        <v>2</v>
      </c>
      <c r="K179" s="3">
        <f>LN(B179)</f>
        <v>-19.624653548278303</v>
      </c>
      <c r="L179" t="n">
        <v>1</v>
      </c>
      <c r="M179" t="n">
        <v>1</v>
      </c>
      <c r="N179" t="n">
        <v>1</v>
      </c>
      <c r="O179" t="n">
        <v>1.02</v>
      </c>
      <c r="P179" t="n">
        <v>1.2</v>
      </c>
      <c r="Q179" t="n">
        <v>1</v>
      </c>
      <c r="R179" t="n">
        <v>5</v>
      </c>
      <c r="S179">
        <f>LN(SQRT(EXP(
SQRT(
+POWER(LN(L179),2)
+POWER(LN(M179),2)
+POWER(LN(N179),2)
+POWER(LN(O179),2)
+POWER(LN(P179),2)
+POWER(LN(Q179),2)
+POWER(LN(R179),2)
)
)))</f>
        <v>0.80992649174166365</v>
      </c>
    </row>
    <row r="180">
      <c r="A180" t="inlineStr">
        <is>
          <t>Arsenic ion</t>
        </is>
      </c>
      <c r="B180">
        <f>unallocated!B183/I180</f>
        <v>3E-9</v>
      </c>
      <c r="D180" t="inlineStr">
        <is>
          <t>kilogram</t>
        </is>
      </c>
      <c r="E180" t="inlineStr">
        <is>
          <t>air::urban air close to ground</t>
        </is>
      </c>
      <c r="F180" t="inlineStr">
        <is>
          <t>biosphere</t>
        </is>
      </c>
      <c r="I180" t="n">
        <v>1000</v>
      </c>
      <c r="J180" t="n">
        <v>2</v>
      </c>
      <c r="K180" s="3">
        <f>LN(B180)</f>
        <v>-19.624653548278303</v>
      </c>
      <c r="L180" t="n">
        <v>1</v>
      </c>
      <c r="M180" t="n">
        <v>1</v>
      </c>
      <c r="N180" t="n">
        <v>1</v>
      </c>
      <c r="O180" t="n">
        <v>1.02</v>
      </c>
      <c r="P180" t="n">
        <v>1.2</v>
      </c>
      <c r="Q180" t="n">
        <v>1</v>
      </c>
      <c r="R180" t="n">
        <v>5</v>
      </c>
      <c r="S180">
        <f>LN(SQRT(EXP(
SQRT(
+POWER(LN(L180),2)
+POWER(LN(M180),2)
+POWER(LN(N180),2)
+POWER(LN(O180),2)
+POWER(LN(P180),2)
+POWER(LN(Q180),2)
+POWER(LN(R180),2)
)
)))</f>
        <v>0.80992649174166365</v>
      </c>
    </row>
    <row r="181">
      <c r="A181" t="inlineStr">
        <is>
          <t>Dioxins, measured as 2,3,7,8-tetrachlorodibenzo-p-dioxin</t>
        </is>
      </c>
      <c r="B181">
        <f>unallocated!B184/I181</f>
        <v>1.1000000000000001E-13</v>
      </c>
      <c r="D181" t="inlineStr">
        <is>
          <t>kilogram</t>
        </is>
      </c>
      <c r="E181" t="inlineStr">
        <is>
          <t>air::urban air close to ground</t>
        </is>
      </c>
      <c r="F181" t="inlineStr">
        <is>
          <t>biosphere</t>
        </is>
      </c>
      <c r="I181" t="n">
        <v>1000</v>
      </c>
      <c r="J181" t="n">
        <v>2</v>
      </c>
      <c r="K181" s="3">
        <f>LN(B181)</f>
        <v>-29.838296029118268</v>
      </c>
      <c r="L181" t="n">
        <v>1</v>
      </c>
      <c r="M181" t="n">
        <v>1</v>
      </c>
      <c r="N181" t="n">
        <v>1</v>
      </c>
      <c r="O181" t="n">
        <v>1.02</v>
      </c>
      <c r="P181" t="n">
        <v>1.2</v>
      </c>
      <c r="Q181" t="n">
        <v>1</v>
      </c>
      <c r="R181" t="n">
        <v>5</v>
      </c>
      <c r="S181">
        <f>LN(SQRT(EXP(
SQRT(
+POWER(LN(L181),2)
+POWER(LN(M181),2)
+POWER(LN(N181),2)
+POWER(LN(O181),2)
+POWER(LN(P181),2)
+POWER(LN(Q181),2)
+POWER(LN(R181),2)
)
)))</f>
        <v>0.80992649174166365</v>
      </c>
    </row>
    <row r="182">
      <c r="A182" t="inlineStr">
        <is>
          <t>Carbon dioxide, fossil</t>
        </is>
      </c>
      <c r="B182">
        <f>unallocated!B185/I182</f>
        <v>0.374</v>
      </c>
      <c r="D182" t="inlineStr">
        <is>
          <t>kilogram</t>
        </is>
      </c>
      <c r="E182" t="inlineStr">
        <is>
          <t>air::urban air close to ground</t>
        </is>
      </c>
      <c r="F182" t="inlineStr">
        <is>
          <t>biosphere</t>
        </is>
      </c>
      <c r="I182" t="n">
        <v>1000</v>
      </c>
      <c r="J182" t="n">
        <v>2</v>
      </c>
      <c r="K182" s="3">
        <f>LN(B182)</f>
        <v>-0.98349948156760514</v>
      </c>
      <c r="L182" t="n">
        <v>1</v>
      </c>
      <c r="M182" t="n">
        <v>1</v>
      </c>
      <c r="N182" t="n">
        <v>1</v>
      </c>
      <c r="O182" t="n">
        <v>1.02</v>
      </c>
      <c r="P182" t="n">
        <v>1.2</v>
      </c>
      <c r="Q182" t="n">
        <v>1</v>
      </c>
      <c r="R182" t="n">
        <v>1.05</v>
      </c>
      <c r="S182">
        <f>LN(SQRT(EXP(
SQRT(
+POWER(LN(L182),2)
+POWER(LN(M182),2)
+POWER(LN(N182),2)
+POWER(LN(O182),2)
+POWER(LN(P182),2)
+POWER(LN(Q182),2)
+POWER(LN(R182),2)
)
)))</f>
        <v>9.4886477223156879E-2</v>
      </c>
    </row>
    <row r="183">
      <c r="A183" t="inlineStr">
        <is>
          <t>Carbon dioxide, non-fossil</t>
        </is>
      </c>
      <c r="B183">
        <f>unallocated!B186/I183</f>
        <v>0.59399999999999997</v>
      </c>
      <c r="D183" t="inlineStr">
        <is>
          <t>kilogram</t>
        </is>
      </c>
      <c r="E183" t="inlineStr">
        <is>
          <t>air::urban air close to ground</t>
        </is>
      </c>
      <c r="F183" t="inlineStr">
        <is>
          <t>biosphere</t>
        </is>
      </c>
      <c r="I183" t="n">
        <v>1000</v>
      </c>
      <c r="J183" t="n">
        <v>2</v>
      </c>
      <c r="K183" s="3">
        <f>LN(B183)</f>
        <v>-0.52087595961949218</v>
      </c>
      <c r="L183" t="n">
        <v>1</v>
      </c>
      <c r="M183" t="n">
        <v>1</v>
      </c>
      <c r="N183" t="n">
        <v>1</v>
      </c>
      <c r="O183" t="n">
        <v>1.02</v>
      </c>
      <c r="P183" t="n">
        <v>1.2</v>
      </c>
      <c r="Q183" t="n">
        <v>1</v>
      </c>
      <c r="R183" t="n">
        <v>1.05</v>
      </c>
      <c r="S183">
        <f>LN(SQRT(EXP(
SQRT(
+POWER(LN(L183),2)
+POWER(LN(M183),2)
+POWER(LN(N183),2)
+POWER(LN(O183),2)
+POWER(LN(P183),2)
+POWER(LN(Q183),2)
+POWER(LN(R183),2)
)
)))</f>
        <v>9.4886477223156879E-2</v>
      </c>
    </row>
    <row r="184"/>
    <row r="185">
      <c r="A185" s="1" t="inlineStr">
        <is>
          <t>Activity</t>
        </is>
      </c>
      <c r="B185" s="1" t="inlineStr">
        <is>
          <t>municipal waste incineration, at incineration plant, with semi-dry air pollution control, with flue gas condensation, with electricity recovery only, with carbon capture and storage</t>
        </is>
      </c>
    </row>
    <row r="186">
      <c r="A186" t="inlineStr">
        <is>
          <t>location</t>
        </is>
      </c>
      <c r="B186" t="inlineStr">
        <is>
          <t>RER</t>
        </is>
      </c>
    </row>
    <row r="187">
      <c r="A187" t="inlineStr">
        <is>
          <t>production amount</t>
        </is>
      </c>
      <c r="B187" t="n">
        <v>1</v>
      </c>
    </row>
    <row r="188">
      <c r="A188" s="2" t="inlineStr">
        <is>
          <t>source</t>
        </is>
      </c>
      <c r="B188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89">
      <c r="A189" t="inlineStr">
        <is>
          <t>reference product</t>
        </is>
      </c>
      <c r="B189" t="inlineStr">
        <is>
          <t>municipal solid waste</t>
        </is>
      </c>
    </row>
    <row r="190">
      <c r="A190" t="inlineStr">
        <is>
          <t>type</t>
        </is>
      </c>
      <c r="B190" t="inlineStr">
        <is>
          <t>process</t>
        </is>
      </c>
    </row>
    <row r="191">
      <c r="A191" t="inlineStr">
        <is>
          <t>unit</t>
        </is>
      </c>
      <c r="B191" t="inlineStr">
        <is>
          <t>kilogram</t>
        </is>
      </c>
    </row>
    <row r="192">
      <c r="A192" t="inlineStr">
        <is>
          <t>comment</t>
        </is>
      </c>
      <c r="B192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Yes. Electricity production per ton MSWI incinerated: 478 kWh.</t>
        </is>
      </c>
    </row>
    <row r="193">
      <c r="A193" s="1" t="inlineStr">
        <is>
          <t>Exchanges</t>
        </is>
      </c>
    </row>
    <row r="194">
      <c r="A194" s="7" t="inlineStr">
        <is>
          <t>name</t>
        </is>
      </c>
      <c r="B194" s="7" t="inlineStr">
        <is>
          <t>amount</t>
        </is>
      </c>
      <c r="C194" s="7" t="inlineStr">
        <is>
          <t>location</t>
        </is>
      </c>
      <c r="D194" s="7" t="inlineStr">
        <is>
          <t>unit</t>
        </is>
      </c>
      <c r="E194" s="7" t="inlineStr">
        <is>
          <t>categories</t>
        </is>
      </c>
      <c r="F194" s="7" t="inlineStr">
        <is>
          <t>type</t>
        </is>
      </c>
      <c r="G194" s="7" t="inlineStr">
        <is>
          <t>reference product</t>
        </is>
      </c>
      <c r="H194" s="7" t="inlineStr">
        <is>
          <t>comment</t>
        </is>
      </c>
      <c r="I194" s="7" t="inlineStr">
        <is>
          <t>normalization</t>
        </is>
      </c>
      <c r="J194" s="7" t="inlineStr">
        <is>
          <t>uncertainty type</t>
        </is>
      </c>
      <c r="K194" s="7" t="inlineStr">
        <is>
          <t>loc</t>
        </is>
      </c>
      <c r="L194" s="1" t="inlineStr">
        <is>
          <t>u1</t>
        </is>
      </c>
      <c r="M194" s="1" t="inlineStr">
        <is>
          <t>u2</t>
        </is>
      </c>
      <c r="N194" s="1" t="inlineStr">
        <is>
          <t>u3</t>
        </is>
      </c>
      <c r="O194" s="1" t="inlineStr">
        <is>
          <t>u4</t>
        </is>
      </c>
      <c r="P194" s="1" t="inlineStr">
        <is>
          <t>u5</t>
        </is>
      </c>
      <c r="Q194" s="1" t="inlineStr">
        <is>
          <t>u6</t>
        </is>
      </c>
      <c r="R194" s="1" t="inlineStr">
        <is>
          <t>ub</t>
        </is>
      </c>
      <c r="S194" s="1" t="inlineStr">
        <is>
          <t>scale</t>
        </is>
      </c>
    </row>
    <row r="195">
      <c r="A195" t="inlineStr">
        <is>
          <t>municipal waste incineration, at incineration plant, with semi-dry air pollution control, with flue gas condensation, with electricity recovery only, with carbon capture and storage</t>
        </is>
      </c>
      <c r="B195">
        <f>unallocated!B198/I195</f>
        <v>1</v>
      </c>
      <c r="C195" t="inlineStr">
        <is>
          <t>RER</t>
        </is>
      </c>
      <c r="D195" t="inlineStr">
        <is>
          <t>kilogram</t>
        </is>
      </c>
      <c r="F195" t="inlineStr">
        <is>
          <t>production</t>
        </is>
      </c>
      <c r="G195" t="inlineStr">
        <is>
          <t>municipal solid waste</t>
        </is>
      </c>
      <c r="H195" t="inlineStr"/>
      <c r="I195" t="n">
        <v>1000</v>
      </c>
      <c r="J195" t="n">
        <v>0</v>
      </c>
      <c r="L195" s="5" t="n"/>
      <c r="M195" s="5" t="n"/>
      <c r="N195" s="5" t="n"/>
      <c r="O195" s="5" t="n"/>
      <c r="P195" s="5" t="n"/>
      <c r="Q195" s="5" t="n"/>
    </row>
    <row r="196">
      <c r="A196" t="inlineStr">
        <is>
          <t>market group for electricity, medium voltage</t>
        </is>
      </c>
      <c r="B196">
        <f>unallocated!B199/I196</f>
        <v>-0.47799999999999998</v>
      </c>
      <c r="C196" t="inlineStr">
        <is>
          <t>RER</t>
        </is>
      </c>
      <c r="D196" t="inlineStr">
        <is>
          <t>kilowatt hour</t>
        </is>
      </c>
      <c r="F196" t="inlineStr">
        <is>
          <t>technosphere</t>
        </is>
      </c>
      <c r="G196" t="inlineStr">
        <is>
          <t>electricity, medium voltage</t>
        </is>
      </c>
      <c r="H196" t="inlineStr">
        <is>
          <t>Co-produced heat and electricity.</t>
        </is>
      </c>
      <c r="I196" t="n">
        <v>-1000</v>
      </c>
      <c r="J196" t="n">
        <v>0</v>
      </c>
      <c r="K196" s="3" t="n"/>
    </row>
    <row r="197">
      <c r="A197" t="inlineStr">
        <is>
          <t>market for heat, central or small-scale, natural gas</t>
        </is>
      </c>
      <c r="B197">
        <f>unallocated!B200/I197</f>
        <v>0</v>
      </c>
      <c r="C197" t="inlineStr">
        <is>
          <t>Europe without Switzerland</t>
        </is>
      </c>
      <c r="D197" t="inlineStr">
        <is>
          <t>megajoule</t>
        </is>
      </c>
      <c r="F197" t="inlineStr">
        <is>
          <t>technosphere</t>
        </is>
      </c>
      <c r="G197" t="inlineStr">
        <is>
          <t>heat, central or small-scale, natural gas</t>
        </is>
      </c>
      <c r="H197" t="inlineStr">
        <is>
          <t>Co-produced heat and electricity.</t>
        </is>
      </c>
      <c r="I197" t="n">
        <v>-1000</v>
      </c>
      <c r="J197" t="n">
        <v>0</v>
      </c>
      <c r="K197" s="3" t="n"/>
    </row>
    <row r="198">
      <c r="A198" t="inlineStr">
        <is>
          <t>market for diesel, low-sulfur</t>
        </is>
      </c>
      <c r="B198">
        <f>unallocated!B201/I198</f>
        <v>8.5000000000000006E-5</v>
      </c>
      <c r="C198" t="inlineStr">
        <is>
          <t>Europe without Switzerland</t>
        </is>
      </c>
      <c r="D198" t="inlineStr">
        <is>
          <t>kilogram</t>
        </is>
      </c>
      <c r="F198" t="inlineStr">
        <is>
          <t>technosphere</t>
        </is>
      </c>
      <c r="G198" t="inlineStr">
        <is>
          <t>diesel, low-sulfur</t>
        </is>
      </c>
      <c r="H198" t="inlineStr">
        <is>
          <t>Diesel density: 0.85 kg/l</t>
        </is>
      </c>
      <c r="I198" t="n">
        <v>1000</v>
      </c>
      <c r="J198" t="n">
        <v>2</v>
      </c>
      <c r="K198" s="3">
        <f>LN(B198)</f>
        <v>-9.372859301473957</v>
      </c>
      <c r="L198" t="n">
        <v>1</v>
      </c>
      <c r="M198" t="n">
        <v>1</v>
      </c>
      <c r="N198" t="n">
        <v>1</v>
      </c>
      <c r="O198" t="n">
        <v>1.02</v>
      </c>
      <c r="P198" t="n">
        <v>1.2</v>
      </c>
      <c r="Q198" t="n">
        <v>1</v>
      </c>
      <c r="R198" t="n">
        <v>1.05</v>
      </c>
      <c r="S198">
        <f>LN(SQRT(EXP(
SQRT(
+POWER(LN(L198),2)
+POWER(LN(M198),2)
+POWER(LN(N198),2)
+POWER(LN(O198),2)
+POWER(LN(P198),2)
+POWER(LN(Q198),2)
+POWER(LN(R198),2)
)
)))</f>
        <v>9.4886477223156879E-2</v>
      </c>
    </row>
    <row r="199">
      <c r="A199" t="inlineStr">
        <is>
          <t>market for activated carbon, granular</t>
        </is>
      </c>
      <c r="B199">
        <f>unallocated!B202/I199</f>
        <v>4.0000000000000002E-4</v>
      </c>
      <c r="C199" t="inlineStr">
        <is>
          <t>GLO</t>
        </is>
      </c>
      <c r="D199" t="inlineStr">
        <is>
          <t>kilogram</t>
        </is>
      </c>
      <c r="F199" t="inlineStr">
        <is>
          <t>technosphere</t>
        </is>
      </c>
      <c r="G199" t="inlineStr">
        <is>
          <t>activated carbon, granular</t>
        </is>
      </c>
      <c r="I199" t="n">
        <v>1000</v>
      </c>
      <c r="J199" t="n">
        <v>2</v>
      </c>
      <c r="K199" s="3">
        <f>LN(B199)</f>
        <v>-7.8240460108562919</v>
      </c>
      <c r="L199" t="n">
        <v>1</v>
      </c>
      <c r="M199" t="n">
        <v>1</v>
      </c>
      <c r="N199" t="n">
        <v>1</v>
      </c>
      <c r="O199" t="n">
        <v>1.02</v>
      </c>
      <c r="P199" t="n">
        <v>1.2</v>
      </c>
      <c r="Q199" t="n">
        <v>1</v>
      </c>
      <c r="R199" t="n">
        <v>1.05</v>
      </c>
      <c r="S199">
        <f>LN(SQRT(EXP(
SQRT(
+POWER(LN(L199),2)
+POWER(LN(M199),2)
+POWER(LN(N199),2)
+POWER(LN(O199),2)
+POWER(LN(P199),2)
+POWER(LN(Q199),2)
+POWER(LN(R199),2)
)
)))</f>
        <v>9.4886477223156879E-2</v>
      </c>
    </row>
    <row r="200">
      <c r="A200" t="inlineStr">
        <is>
          <t>market for ammonia, anhydrous, liquid</t>
        </is>
      </c>
      <c r="B200">
        <f>unallocated!B203/I200</f>
        <v>9.7999999999999997E-4</v>
      </c>
      <c r="C200" t="inlineStr">
        <is>
          <t>RER</t>
        </is>
      </c>
      <c r="D200" t="inlineStr">
        <is>
          <t>kilogram</t>
        </is>
      </c>
      <c r="F200" t="inlineStr">
        <is>
          <t>technosphere</t>
        </is>
      </c>
      <c r="G200" t="inlineStr">
        <is>
          <t>ammonia, anhydrous, liquid</t>
        </is>
      </c>
      <c r="H200" t="inlineStr">
        <is>
          <t>100% liquid ammonia. In original publication, it is dilluated to 23.5% in water. We discount the original value by 75%.</t>
        </is>
      </c>
      <c r="I200" t="n">
        <v>1000</v>
      </c>
      <c r="J200" t="n">
        <v>2</v>
      </c>
      <c r="K200" s="3">
        <f>LN(B200)</f>
        <v>-6.9279579862996563</v>
      </c>
      <c r="L200" t="n">
        <v>1</v>
      </c>
      <c r="M200" t="n">
        <v>1</v>
      </c>
      <c r="N200" t="n">
        <v>1</v>
      </c>
      <c r="O200" t="n">
        <v>1.02</v>
      </c>
      <c r="P200" t="n">
        <v>1.2</v>
      </c>
      <c r="Q200" t="n">
        <v>1</v>
      </c>
      <c r="R200" t="n">
        <v>1.05</v>
      </c>
      <c r="S200">
        <f>LN(SQRT(EXP(
SQRT(
+POWER(LN(L200),2)
+POWER(LN(M200),2)
+POWER(LN(N200),2)
+POWER(LN(O200),2)
+POWER(LN(P200),2)
+POWER(LN(Q200),2)
+POWER(LN(R200),2)
)
)))</f>
        <v>9.4886477223156879E-2</v>
      </c>
    </row>
    <row r="201">
      <c r="A201" t="inlineStr">
        <is>
          <t>market for tap water</t>
        </is>
      </c>
      <c r="B201">
        <f>unallocated!B204/I201</f>
        <v>3.0200000000000001E-3</v>
      </c>
      <c r="C201" t="inlineStr">
        <is>
          <t>Europe without Switzerland</t>
        </is>
      </c>
      <c r="D201" t="inlineStr">
        <is>
          <t>kilogram</t>
        </is>
      </c>
      <c r="F201" t="inlineStr">
        <is>
          <t>technosphere</t>
        </is>
      </c>
      <c r="G201" t="inlineStr">
        <is>
          <t>tap water</t>
        </is>
      </c>
      <c r="H201" t="inlineStr">
        <is>
          <t>Used to dilute the ammonia.</t>
        </is>
      </c>
      <c r="I201" t="n">
        <v>1000</v>
      </c>
      <c r="J201" t="n">
        <v>2</v>
      </c>
      <c r="K201" s="3">
        <f>LN(B201)</f>
        <v>-5.8024984475953589</v>
      </c>
      <c r="L201" t="n">
        <v>1</v>
      </c>
      <c r="M201" t="n">
        <v>1</v>
      </c>
      <c r="N201" t="n">
        <v>1</v>
      </c>
      <c r="O201" t="n">
        <v>1.02</v>
      </c>
      <c r="P201" t="n">
        <v>1.2</v>
      </c>
      <c r="Q201" t="n">
        <v>1</v>
      </c>
      <c r="R201" t="n">
        <v>1.05</v>
      </c>
      <c r="S201">
        <f>LN(SQRT(EXP(
SQRT(
+POWER(LN(L201),2)
+POWER(LN(M201),2)
+POWER(LN(N201),2)
+POWER(LN(O201),2)
+POWER(LN(P201),2)
+POWER(LN(Q201),2)
+POWER(LN(R201),2)
)
)))</f>
        <v>9.4886477223156879E-2</v>
      </c>
    </row>
    <row r="202">
      <c r="A202" t="inlineStr">
        <is>
          <t>market for calcium carbonate, precipitated</t>
        </is>
      </c>
      <c r="B202">
        <f>unallocated!B205/I202</f>
        <v>0</v>
      </c>
      <c r="C202" t="inlineStr">
        <is>
          <t>RER</t>
        </is>
      </c>
      <c r="D202" t="inlineStr">
        <is>
          <t>kilogram</t>
        </is>
      </c>
      <c r="F202" t="inlineStr">
        <is>
          <t>technosphere</t>
        </is>
      </c>
      <c r="G202" t="inlineStr">
        <is>
          <t>calcium carbonate, precipitated</t>
        </is>
      </c>
      <c r="I202" t="n">
        <v>1000</v>
      </c>
      <c r="J202" t="n">
        <v>0</v>
      </c>
      <c r="K202" s="3" t="n"/>
    </row>
    <row r="203">
      <c r="A203" t="inlineStr">
        <is>
          <t>market for iron(III) chloride, without water, in 40% solution state</t>
        </is>
      </c>
      <c r="B203">
        <f>unallocated!B206/I203</f>
        <v>0</v>
      </c>
      <c r="C203" t="inlineStr">
        <is>
          <t>GLO</t>
        </is>
      </c>
      <c r="D203" t="inlineStr">
        <is>
          <t>kilogram</t>
        </is>
      </c>
      <c r="F203" t="inlineStr">
        <is>
          <t>technosphere</t>
        </is>
      </c>
      <c r="G203" t="inlineStr">
        <is>
          <t>iron(III) chloride, without water, in 40% solution state</t>
        </is>
      </c>
      <c r="I203" t="n">
        <v>1000</v>
      </c>
      <c r="J203" t="n">
        <v>0</v>
      </c>
      <c r="K203" s="3" t="n"/>
    </row>
    <row r="204">
      <c r="A204" t="inlineStr">
        <is>
          <t>market for lime, hydrated, packed</t>
        </is>
      </c>
      <c r="B204">
        <f>unallocated!B207/I204</f>
        <v>0.01</v>
      </c>
      <c r="C204" t="inlineStr">
        <is>
          <t>RER</t>
        </is>
      </c>
      <c r="D204" t="inlineStr">
        <is>
          <t>kilogram</t>
        </is>
      </c>
      <c r="F204" t="inlineStr">
        <is>
          <t>technosphere</t>
        </is>
      </c>
      <c r="G204" t="inlineStr">
        <is>
          <t>lime, hydrated, packed</t>
        </is>
      </c>
      <c r="I204" t="n">
        <v>1000</v>
      </c>
      <c r="J204" t="n">
        <v>2</v>
      </c>
      <c r="K204" s="3">
        <f>LN(B204)</f>
        <v>-4.6051701859880909</v>
      </c>
      <c r="L204" t="n">
        <v>1</v>
      </c>
      <c r="M204" t="n">
        <v>1</v>
      </c>
      <c r="N204" t="n">
        <v>1</v>
      </c>
      <c r="O204" t="n">
        <v>1.02</v>
      </c>
      <c r="P204" t="n">
        <v>1.2</v>
      </c>
      <c r="Q204" t="n">
        <v>1</v>
      </c>
      <c r="R204" t="n">
        <v>1.05</v>
      </c>
      <c r="S204">
        <f>LN(SQRT(EXP(
SQRT(
+POWER(LN(L204),2)
+POWER(LN(M204),2)
+POWER(LN(N204),2)
+POWER(LN(O204),2)
+POWER(LN(P204),2)
+POWER(LN(Q204),2)
+POWER(LN(R204),2)
)
)))</f>
        <v>9.4886477223156879E-2</v>
      </c>
    </row>
    <row r="205">
      <c r="A205" t="inlineStr">
        <is>
          <t>market for sodium hydroxide, without water, in 50% solution state</t>
        </is>
      </c>
      <c r="B205">
        <f>unallocated!B208/I205</f>
        <v>5.0000000000000001E-4</v>
      </c>
      <c r="C205" t="inlineStr">
        <is>
          <t>RER</t>
        </is>
      </c>
      <c r="D205" t="inlineStr">
        <is>
          <t>kilogram</t>
        </is>
      </c>
      <c r="F205" t="inlineStr">
        <is>
          <t>technosphere</t>
        </is>
      </c>
      <c r="G205" t="inlineStr">
        <is>
          <t>sodium hydroxide, without water, in 50% solution state</t>
        </is>
      </c>
      <c r="H205" t="inlineStr">
        <is>
          <t>50% liquid ammonia. In original publication, it is dilluated to 27% in water. We discount the original value by 50%.</t>
        </is>
      </c>
      <c r="I205" t="n">
        <v>1000</v>
      </c>
      <c r="J205" t="n">
        <v>0</v>
      </c>
      <c r="K205" s="3" t="n"/>
    </row>
    <row r="206">
      <c r="A206" t="inlineStr">
        <is>
          <t>market for monoethanolamine</t>
        </is>
      </c>
      <c r="B206">
        <f>unallocated!B209/I206</f>
        <v>4.0000000000000001E-3</v>
      </c>
      <c r="C206" t="inlineStr">
        <is>
          <t>GLO</t>
        </is>
      </c>
      <c r="D206" t="inlineStr">
        <is>
          <t>kilogram</t>
        </is>
      </c>
      <c r="F206" t="inlineStr">
        <is>
          <t>technosphere</t>
        </is>
      </c>
      <c r="G206" t="inlineStr">
        <is>
          <t>monoethanolamine</t>
        </is>
      </c>
      <c r="I206" t="n">
        <v>1000</v>
      </c>
      <c r="J206" t="n">
        <v>0</v>
      </c>
      <c r="K206" s="3" t="n"/>
    </row>
    <row r="207">
      <c r="A207" t="inlineStr">
        <is>
          <t>municipal waste incineration facility construction</t>
        </is>
      </c>
      <c r="B207">
        <f>unallocated!B210/I207</f>
        <v>2.4999999999999996E-10</v>
      </c>
      <c r="C207" t="inlineStr">
        <is>
          <t>CH</t>
        </is>
      </c>
      <c r="D207" t="inlineStr">
        <is>
          <t>unit</t>
        </is>
      </c>
      <c r="F207" t="inlineStr">
        <is>
          <t>technosphere</t>
        </is>
      </c>
      <c r="G207" t="inlineStr">
        <is>
          <t>municipal waste incineration facility</t>
        </is>
      </c>
      <c r="H207" t="inlineStr">
        <is>
          <t>Lifetime: 4'000'000 tons MSWI treated.</t>
        </is>
      </c>
      <c r="I207" t="n">
        <v>1000</v>
      </c>
      <c r="J207" t="n">
        <v>2</v>
      </c>
      <c r="K207" s="3">
        <f>LN(B207)</f>
        <v>-22.109560198066301</v>
      </c>
      <c r="L207" t="n">
        <v>1</v>
      </c>
      <c r="M207" t="n">
        <v>1</v>
      </c>
      <c r="N207" t="n">
        <v>1</v>
      </c>
      <c r="O207" t="n">
        <v>1.02</v>
      </c>
      <c r="P207" t="n">
        <v>1.2</v>
      </c>
      <c r="Q207" t="n">
        <v>1</v>
      </c>
      <c r="R207" t="n">
        <v>3</v>
      </c>
      <c r="S207">
        <f>LN(SQRT(EXP(
SQRT(
+POWER(LN(L207),2)
+POWER(LN(M207),2)
+POWER(LN(N207),2)
+POWER(LN(O207),2)
+POWER(LN(P207),2)
+POWER(LN(Q207),2)
+POWER(LN(R207),2)
)
)))</f>
        <v>0.5569071410325479</v>
      </c>
    </row>
    <row r="208">
      <c r="A208" t="inlineStr">
        <is>
          <t>carbon dioxide storage at wood burning power plant 20 MW post, pipeline 200km, storage 1000m</t>
        </is>
      </c>
      <c r="B208">
        <f>unallocated!B211/I208</f>
        <v>0.82299999999999995</v>
      </c>
      <c r="C208" t="inlineStr">
        <is>
          <t>RER</t>
        </is>
      </c>
      <c r="D208" t="inlineStr">
        <is>
          <t>kilogram</t>
        </is>
      </c>
      <c r="F208" t="inlineStr">
        <is>
          <t>technosphere</t>
        </is>
      </c>
      <c r="G208" t="inlineStr">
        <is>
          <t>carbon dioxide storage at wood burning power plant 20 MW post, pipeline 200km, storage 1000m</t>
        </is>
      </c>
      <c r="I208" t="n">
        <v>1000</v>
      </c>
      <c r="J208" t="n">
        <v>2</v>
      </c>
      <c r="K208" s="3">
        <f>LN(B208)</f>
        <v>-0.19479907830506729</v>
      </c>
      <c r="L208" t="n">
        <v>1</v>
      </c>
      <c r="M208" t="n">
        <v>1</v>
      </c>
      <c r="N208" t="n">
        <v>1</v>
      </c>
      <c r="O208" t="n">
        <v>1.02</v>
      </c>
      <c r="P208" t="n">
        <v>1.2</v>
      </c>
      <c r="Q208" t="n">
        <v>1</v>
      </c>
      <c r="R208" t="n">
        <v>3</v>
      </c>
      <c r="S208">
        <f>LN(SQRT(EXP(
SQRT(
+POWER(LN(L208),2)
+POWER(LN(M208),2)
+POWER(LN(N208),2)
+POWER(LN(O208),2)
+POWER(LN(P208),2)
+POWER(LN(Q208),2)
+POWER(LN(R208),2)
)
)))</f>
        <v>0.5569071410325479</v>
      </c>
    </row>
    <row r="209">
      <c r="A209" t="inlineStr">
        <is>
          <t>Water, cooling, unspecified natural origin</t>
        </is>
      </c>
      <c r="B209">
        <f>unallocated!B212/I209</f>
        <v>0</v>
      </c>
      <c r="D209" t="inlineStr">
        <is>
          <t>cubic meter</t>
        </is>
      </c>
      <c r="E209" t="inlineStr">
        <is>
          <t>natural resource::in water</t>
        </is>
      </c>
      <c r="F209" t="inlineStr">
        <is>
          <t>biosphere</t>
        </is>
      </c>
      <c r="I209" t="n">
        <v>1000</v>
      </c>
      <c r="J209" t="n">
        <v>0</v>
      </c>
      <c r="K209" s="3" t="n"/>
    </row>
    <row r="210">
      <c r="A210" t="inlineStr">
        <is>
          <t>Sulfur dioxide</t>
        </is>
      </c>
      <c r="B210">
        <f>unallocated!B213/I210</f>
        <v>6.0000000000000002E-6</v>
      </c>
      <c r="D210" t="inlineStr">
        <is>
          <t>kilogram</t>
        </is>
      </c>
      <c r="E210" t="inlineStr">
        <is>
          <t>air::urban air close to ground</t>
        </is>
      </c>
      <c r="F210" t="inlineStr">
        <is>
          <t>biosphere</t>
        </is>
      </c>
      <c r="I210" t="n">
        <v>1000</v>
      </c>
      <c r="J210" t="n">
        <v>2</v>
      </c>
      <c r="K210" s="3">
        <f>LN(B210)</f>
        <v>-12.023751088736219</v>
      </c>
      <c r="L210" t="n">
        <v>1</v>
      </c>
      <c r="M210" t="n">
        <v>1</v>
      </c>
      <c r="N210" t="n">
        <v>1</v>
      </c>
      <c r="O210" t="n">
        <v>1.02</v>
      </c>
      <c r="P210" t="n">
        <v>1.2</v>
      </c>
      <c r="Q210" t="n">
        <v>1</v>
      </c>
      <c r="R210" t="n">
        <v>1.05</v>
      </c>
      <c r="S210">
        <f>LN(SQRT(EXP(
SQRT(
+POWER(LN(L210),2)
+POWER(LN(M210),2)
+POWER(LN(N210),2)
+POWER(LN(O210),2)
+POWER(LN(P210),2)
+POWER(LN(Q210),2)
+POWER(LN(R210),2)
)
)))</f>
        <v>9.4886477223156879E-2</v>
      </c>
    </row>
    <row r="211">
      <c r="A211" t="inlineStr">
        <is>
          <t>Hydrochloric acid</t>
        </is>
      </c>
      <c r="B211">
        <f>unallocated!B214/I211</f>
        <v>3.0000000000000001E-6</v>
      </c>
      <c r="D211" t="inlineStr">
        <is>
          <t>kilogram</t>
        </is>
      </c>
      <c r="E211" t="inlineStr">
        <is>
          <t>air</t>
        </is>
      </c>
      <c r="F211" t="inlineStr">
        <is>
          <t>biosphere</t>
        </is>
      </c>
      <c r="I211" t="n">
        <v>1000</v>
      </c>
      <c r="J211" t="n">
        <v>2</v>
      </c>
      <c r="K211" s="3">
        <f>LN(B211)</f>
        <v>-12.716898269296165</v>
      </c>
      <c r="L211" t="n">
        <v>1</v>
      </c>
      <c r="M211" t="n">
        <v>1</v>
      </c>
      <c r="N211" t="n">
        <v>1</v>
      </c>
      <c r="O211" t="n">
        <v>1.02</v>
      </c>
      <c r="P211" t="n">
        <v>1.2</v>
      </c>
      <c r="Q211" t="n">
        <v>1</v>
      </c>
      <c r="R211" t="n">
        <v>1.5</v>
      </c>
      <c r="S211">
        <f>LN(SQRT(EXP(
SQRT(
+POWER(LN(L211),2)
+POWER(LN(M211),2)
+POWER(LN(N211),2)
+POWER(LN(O211),2)
+POWER(LN(P211),2)
+POWER(LN(Q211),2)
+POWER(LN(R211),2)
)
)))</f>
        <v>0.22250575723605889</v>
      </c>
    </row>
    <row r="212">
      <c r="A212" t="inlineStr">
        <is>
          <t>Nitrogen oxides</t>
        </is>
      </c>
      <c r="B212">
        <f>unallocated!B215/I212</f>
        <v>6.7700000000000008E-4</v>
      </c>
      <c r="D212" t="inlineStr">
        <is>
          <t>kilogram</t>
        </is>
      </c>
      <c r="E212" t="inlineStr">
        <is>
          <t>air::urban air close to ground</t>
        </is>
      </c>
      <c r="F212" t="inlineStr">
        <is>
          <t>biosphere</t>
        </is>
      </c>
      <c r="I212" t="n">
        <v>1000</v>
      </c>
      <c r="J212" t="n">
        <v>2</v>
      </c>
      <c r="K212" s="3">
        <f>LN(B212)</f>
        <v>-7.2978392850519986</v>
      </c>
      <c r="L212" t="n">
        <v>1</v>
      </c>
      <c r="M212" t="n">
        <v>1</v>
      </c>
      <c r="N212" t="n">
        <v>1</v>
      </c>
      <c r="O212" t="n">
        <v>1.02</v>
      </c>
      <c r="P212" t="n">
        <v>1.2</v>
      </c>
      <c r="Q212" t="n">
        <v>1</v>
      </c>
      <c r="R212" t="n">
        <v>1.5</v>
      </c>
      <c r="S212">
        <f>LN(SQRT(EXP(
SQRT(
+POWER(LN(L212),2)
+POWER(LN(M212),2)
+POWER(LN(N212),2)
+POWER(LN(O212),2)
+POWER(LN(P212),2)
+POWER(LN(Q212),2)
+POWER(LN(R212),2)
)
)))</f>
        <v>0.22250575723605889</v>
      </c>
    </row>
    <row r="213">
      <c r="A213" t="inlineStr">
        <is>
          <t>Ammonia</t>
        </is>
      </c>
      <c r="B213">
        <f>unallocated!B216/I213</f>
        <v>2.0000000000000002E-5</v>
      </c>
      <c r="D213" t="inlineStr">
        <is>
          <t>kilogram</t>
        </is>
      </c>
      <c r="E213" t="inlineStr">
        <is>
          <t>air::urban air close to ground</t>
        </is>
      </c>
      <c r="F213" t="inlineStr">
        <is>
          <t>biosphere</t>
        </is>
      </c>
      <c r="I213" t="n">
        <v>1000</v>
      </c>
      <c r="J213" t="n">
        <v>2</v>
      </c>
      <c r="K213" s="3">
        <f>LN(B213)</f>
        <v>-10.819778284410283</v>
      </c>
      <c r="L213" t="n">
        <v>1</v>
      </c>
      <c r="M213" t="n">
        <v>1</v>
      </c>
      <c r="N213" t="n">
        <v>1</v>
      </c>
      <c r="O213" t="n">
        <v>1.02</v>
      </c>
      <c r="P213" t="n">
        <v>1.2</v>
      </c>
      <c r="Q213" t="n">
        <v>1</v>
      </c>
      <c r="R213" t="n">
        <v>1.5</v>
      </c>
      <c r="S213">
        <f>LN(SQRT(EXP(
SQRT(
+POWER(LN(L213),2)
+POWER(LN(M213),2)
+POWER(LN(N213),2)
+POWER(LN(O213),2)
+POWER(LN(P213),2)
+POWER(LN(Q213),2)
+POWER(LN(R213),2)
)
)))</f>
        <v>0.22250575723605889</v>
      </c>
    </row>
    <row r="214">
      <c r="A214" t="inlineStr">
        <is>
          <t>Particulate Matter, &lt; 2.5 um</t>
        </is>
      </c>
      <c r="B214">
        <f>unallocated!B217/I214</f>
        <v>6.0000000000000002E-6</v>
      </c>
      <c r="D214" t="inlineStr">
        <is>
          <t>kilogram</t>
        </is>
      </c>
      <c r="E214" t="inlineStr">
        <is>
          <t>air::urban air close to ground</t>
        </is>
      </c>
      <c r="F214" t="inlineStr">
        <is>
          <t>biosphere</t>
        </is>
      </c>
      <c r="I214" t="n">
        <v>1000</v>
      </c>
      <c r="J214" t="n">
        <v>2</v>
      </c>
      <c r="K214" s="3">
        <f>LN(B214)</f>
        <v>-12.023751088736219</v>
      </c>
      <c r="L214" t="n">
        <v>1</v>
      </c>
      <c r="M214" t="n">
        <v>1</v>
      </c>
      <c r="N214" t="n">
        <v>1</v>
      </c>
      <c r="O214" t="n">
        <v>1.02</v>
      </c>
      <c r="P214" t="n">
        <v>1.2</v>
      </c>
      <c r="Q214" t="n">
        <v>1</v>
      </c>
      <c r="R214" t="n">
        <v>3</v>
      </c>
      <c r="S214">
        <f>LN(SQRT(EXP(
SQRT(
+POWER(LN(L214),2)
+POWER(LN(M214),2)
+POWER(LN(N214),2)
+POWER(LN(O214),2)
+POWER(LN(P214),2)
+POWER(LN(Q214),2)
+POWER(LN(R214),2)
)
)))</f>
        <v>0.5569071410325479</v>
      </c>
    </row>
    <row r="215">
      <c r="A215" t="inlineStr">
        <is>
          <t>Mercury II</t>
        </is>
      </c>
      <c r="B215">
        <f>unallocated!B218/I215</f>
        <v>6E-9</v>
      </c>
      <c r="D215" t="inlineStr">
        <is>
          <t>kilogram</t>
        </is>
      </c>
      <c r="E215" t="inlineStr">
        <is>
          <t>air::urban air close to ground</t>
        </is>
      </c>
      <c r="F215" t="inlineStr">
        <is>
          <t>biosphere</t>
        </is>
      </c>
      <c r="I215" t="n">
        <v>1000</v>
      </c>
      <c r="J215" t="n">
        <v>2</v>
      </c>
      <c r="K215" s="3">
        <f>LN(B215)</f>
        <v>-18.931506367718356</v>
      </c>
      <c r="L215" t="n">
        <v>1</v>
      </c>
      <c r="M215" t="n">
        <v>1</v>
      </c>
      <c r="N215" t="n">
        <v>1</v>
      </c>
      <c r="O215" t="n">
        <v>1.02</v>
      </c>
      <c r="P215" t="n">
        <v>1.2</v>
      </c>
      <c r="Q215" t="n">
        <v>1</v>
      </c>
      <c r="R215" t="n">
        <v>5</v>
      </c>
      <c r="S215">
        <f>LN(SQRT(EXP(
SQRT(
+POWER(LN(L215),2)
+POWER(LN(M215),2)
+POWER(LN(N215),2)
+POWER(LN(O215),2)
+POWER(LN(P215),2)
+POWER(LN(Q215),2)
+POWER(LN(R215),2)
)
)))</f>
        <v>0.80992649174166365</v>
      </c>
    </row>
    <row r="216">
      <c r="A216" t="inlineStr">
        <is>
          <t>Lead II</t>
        </is>
      </c>
      <c r="B216">
        <f>unallocated!B219/I216</f>
        <v>6E-9</v>
      </c>
      <c r="D216" t="inlineStr">
        <is>
          <t>kilogram</t>
        </is>
      </c>
      <c r="E216" t="inlineStr">
        <is>
          <t>air::urban air close to ground</t>
        </is>
      </c>
      <c r="F216" t="inlineStr">
        <is>
          <t>biosphere</t>
        </is>
      </c>
      <c r="I216" t="n">
        <v>1000</v>
      </c>
      <c r="J216" t="n">
        <v>2</v>
      </c>
      <c r="K216" s="3">
        <f>LN(B216)</f>
        <v>-18.931506367718356</v>
      </c>
      <c r="L216" t="n">
        <v>1</v>
      </c>
      <c r="M216" t="n">
        <v>1</v>
      </c>
      <c r="N216" t="n">
        <v>1</v>
      </c>
      <c r="O216" t="n">
        <v>1.02</v>
      </c>
      <c r="P216" t="n">
        <v>1.2</v>
      </c>
      <c r="Q216" t="n">
        <v>1</v>
      </c>
      <c r="R216" t="n">
        <v>5</v>
      </c>
      <c r="S216">
        <f>LN(SQRT(EXP(
SQRT(
+POWER(LN(L216),2)
+POWER(LN(M216),2)
+POWER(LN(N216),2)
+POWER(LN(O216),2)
+POWER(LN(P216),2)
+POWER(LN(Q216),2)
+POWER(LN(R216),2)
)
)))</f>
        <v>0.80992649174166365</v>
      </c>
    </row>
    <row r="217">
      <c r="A217" t="inlineStr">
        <is>
          <t>Cadmium II</t>
        </is>
      </c>
      <c r="B217">
        <f>unallocated!B220/I217</f>
        <v>3E-9</v>
      </c>
      <c r="D217" t="inlineStr">
        <is>
          <t>kilogram</t>
        </is>
      </c>
      <c r="E217" t="inlineStr">
        <is>
          <t>air::urban air close to ground</t>
        </is>
      </c>
      <c r="F217" t="inlineStr">
        <is>
          <t>biosphere</t>
        </is>
      </c>
      <c r="I217" t="n">
        <v>1000</v>
      </c>
      <c r="J217" t="n">
        <v>2</v>
      </c>
      <c r="K217" s="3">
        <f>LN(B217)</f>
        <v>-19.624653548278303</v>
      </c>
      <c r="L217" t="n">
        <v>1</v>
      </c>
      <c r="M217" t="n">
        <v>1</v>
      </c>
      <c r="N217" t="n">
        <v>1</v>
      </c>
      <c r="O217" t="n">
        <v>1.02</v>
      </c>
      <c r="P217" t="n">
        <v>1.2</v>
      </c>
      <c r="Q217" t="n">
        <v>1</v>
      </c>
      <c r="R217" t="n">
        <v>5</v>
      </c>
      <c r="S217">
        <f>LN(SQRT(EXP(
SQRT(
+POWER(LN(L217),2)
+POWER(LN(M217),2)
+POWER(LN(N217),2)
+POWER(LN(O217),2)
+POWER(LN(P217),2)
+POWER(LN(Q217),2)
+POWER(LN(R217),2)
)
)))</f>
        <v>0.80992649174166365</v>
      </c>
    </row>
    <row r="218">
      <c r="A218" t="inlineStr">
        <is>
          <t>Arsenic ion</t>
        </is>
      </c>
      <c r="B218">
        <f>unallocated!B221/I218</f>
        <v>3E-9</v>
      </c>
      <c r="D218" t="inlineStr">
        <is>
          <t>kilogram</t>
        </is>
      </c>
      <c r="E218" t="inlineStr">
        <is>
          <t>air::urban air close to ground</t>
        </is>
      </c>
      <c r="F218" t="inlineStr">
        <is>
          <t>biosphere</t>
        </is>
      </c>
      <c r="I218" t="n">
        <v>1000</v>
      </c>
      <c r="J218" t="n">
        <v>2</v>
      </c>
      <c r="K218" s="3">
        <f>LN(B218)</f>
        <v>-19.624653548278303</v>
      </c>
      <c r="L218" t="n">
        <v>1</v>
      </c>
      <c r="M218" t="n">
        <v>1</v>
      </c>
      <c r="N218" t="n">
        <v>1</v>
      </c>
      <c r="O218" t="n">
        <v>1.02</v>
      </c>
      <c r="P218" t="n">
        <v>1.2</v>
      </c>
      <c r="Q218" t="n">
        <v>1</v>
      </c>
      <c r="R218" t="n">
        <v>5</v>
      </c>
      <c r="S218">
        <f>LN(SQRT(EXP(
SQRT(
+POWER(LN(L218),2)
+POWER(LN(M218),2)
+POWER(LN(N218),2)
+POWER(LN(O218),2)
+POWER(LN(P218),2)
+POWER(LN(Q218),2)
+POWER(LN(R218),2)
)
)))</f>
        <v>0.80992649174166365</v>
      </c>
    </row>
    <row r="219">
      <c r="A219" t="inlineStr">
        <is>
          <t>Dioxins, measured as 2,3,7,8-tetrachlorodibenzo-p-dioxin</t>
        </is>
      </c>
      <c r="B219">
        <f>unallocated!B222/I219</f>
        <v>1.1000000000000001E-13</v>
      </c>
      <c r="D219" t="inlineStr">
        <is>
          <t>kilogram</t>
        </is>
      </c>
      <c r="E219" t="inlineStr">
        <is>
          <t>air::urban air close to ground</t>
        </is>
      </c>
      <c r="F219" t="inlineStr">
        <is>
          <t>biosphere</t>
        </is>
      </c>
      <c r="I219" t="n">
        <v>1000</v>
      </c>
      <c r="J219" t="n">
        <v>2</v>
      </c>
      <c r="K219" s="3">
        <f>LN(B219)</f>
        <v>-29.838296029118268</v>
      </c>
      <c r="L219" t="n">
        <v>1</v>
      </c>
      <c r="M219" t="n">
        <v>1</v>
      </c>
      <c r="N219" t="n">
        <v>1</v>
      </c>
      <c r="O219" t="n">
        <v>1.02</v>
      </c>
      <c r="P219" t="n">
        <v>1.2</v>
      </c>
      <c r="Q219" t="n">
        <v>1</v>
      </c>
      <c r="R219" t="n">
        <v>5</v>
      </c>
      <c r="S219">
        <f>LN(SQRT(EXP(
SQRT(
+POWER(LN(L219),2)
+POWER(LN(M219),2)
+POWER(LN(N219),2)
+POWER(LN(O219),2)
+POWER(LN(P219),2)
+POWER(LN(Q219),2)
+POWER(LN(R219),2)
)
)))</f>
        <v>0.80992649174166365</v>
      </c>
    </row>
    <row r="220">
      <c r="A220" t="inlineStr">
        <is>
          <t>Carbon dioxide, fossil</t>
        </is>
      </c>
      <c r="B220">
        <f>unallocated!B223/I220</f>
        <v>5.6000000000000001E-2</v>
      </c>
      <c r="D220" t="inlineStr">
        <is>
          <t>kilogram</t>
        </is>
      </c>
      <c r="E220" t="inlineStr">
        <is>
          <t>air::urban air close to ground</t>
        </is>
      </c>
      <c r="F220" t="inlineStr">
        <is>
          <t>biosphere</t>
        </is>
      </c>
      <c r="I220" t="n">
        <v>1000</v>
      </c>
      <c r="J220" t="n">
        <v>2</v>
      </c>
      <c r="K220" s="3">
        <f>LN(B220)</f>
        <v>-2.8824035882469876</v>
      </c>
      <c r="L220" t="n">
        <v>1</v>
      </c>
      <c r="M220" t="n">
        <v>1</v>
      </c>
      <c r="N220" t="n">
        <v>1</v>
      </c>
      <c r="O220" t="n">
        <v>1.02</v>
      </c>
      <c r="P220" t="n">
        <v>1.2</v>
      </c>
      <c r="Q220" t="n">
        <v>1</v>
      </c>
      <c r="R220" t="n">
        <v>1.05</v>
      </c>
      <c r="S220">
        <f>LN(SQRT(EXP(
SQRT(
+POWER(LN(L220),2)
+POWER(LN(M220),2)
+POWER(LN(N220),2)
+POWER(LN(O220),2)
+POWER(LN(P220),2)
+POWER(LN(Q220),2)
+POWER(LN(R220),2)
)
)))</f>
        <v>9.4886477223156879E-2</v>
      </c>
    </row>
    <row r="221">
      <c r="A221" t="inlineStr">
        <is>
          <t>Carbon dioxide, non-fossil</t>
        </is>
      </c>
      <c r="B221">
        <f>unallocated!B224/I221</f>
        <v>8.8999999999999996E-2</v>
      </c>
      <c r="D221" t="inlineStr">
        <is>
          <t>kilogram</t>
        </is>
      </c>
      <c r="E221" t="inlineStr">
        <is>
          <t>air::urban air close to ground</t>
        </is>
      </c>
      <c r="F221" t="inlineStr">
        <is>
          <t>biosphere</t>
        </is>
      </c>
      <c r="I221" t="n">
        <v>1000</v>
      </c>
      <c r="J221" t="n">
        <v>2</v>
      </c>
      <c r="K221" s="3">
        <f>LN(B221)</f>
        <v>-2.4191189092499972</v>
      </c>
      <c r="L221" t="n">
        <v>1</v>
      </c>
      <c r="M221" t="n">
        <v>1</v>
      </c>
      <c r="N221" t="n">
        <v>1</v>
      </c>
      <c r="O221" t="n">
        <v>1.02</v>
      </c>
      <c r="P221" t="n">
        <v>1.2</v>
      </c>
      <c r="Q221" t="n">
        <v>1</v>
      </c>
      <c r="R221" t="n">
        <v>1.05</v>
      </c>
      <c r="S221">
        <f>LN(SQRT(EXP(
SQRT(
+POWER(LN(L221),2)
+POWER(LN(M221),2)
+POWER(LN(N221),2)
+POWER(LN(O221),2)
+POWER(LN(P221),2)
+POWER(LN(Q221),2)
+POWER(LN(R221),2)
)
)))</f>
        <v>9.4886477223156879E-2</v>
      </c>
    </row>
    <row r="222">
      <c r="A222" t="inlineStr">
        <is>
          <t>Carbon dioxide, in air</t>
        </is>
      </c>
      <c r="B222">
        <f>unallocated!B225/I222</f>
        <v>0.505</v>
      </c>
      <c r="D222" t="inlineStr">
        <is>
          <t>kilogram</t>
        </is>
      </c>
      <c r="E222" t="inlineStr">
        <is>
          <t>natural resource::in air</t>
        </is>
      </c>
      <c r="F222" t="inlineStr">
        <is>
          <t>biosphere</t>
        </is>
      </c>
      <c r="H222" t="inlineStr">
        <is>
          <t>To reflect the permanent storage of non-fossil CO.</t>
        </is>
      </c>
      <c r="I222" t="n">
        <v>1000</v>
      </c>
      <c r="J222" t="n">
        <v>2</v>
      </c>
      <c r="K222" s="3">
        <f>LN(B222)</f>
        <v>-0.68319684970677719</v>
      </c>
      <c r="L222" t="n">
        <v>1</v>
      </c>
      <c r="M222" t="n">
        <v>1</v>
      </c>
      <c r="N222" t="n">
        <v>1</v>
      </c>
      <c r="O222" t="n">
        <v>1.02</v>
      </c>
      <c r="P222" t="n">
        <v>1.2</v>
      </c>
      <c r="Q222" t="n">
        <v>1</v>
      </c>
      <c r="R222" t="n">
        <v>1.05</v>
      </c>
      <c r="S222">
        <f>LN(SQRT(EXP(
SQRT(
+POWER(LN(L222),2)
+POWER(LN(M222),2)
+POWER(LN(N222),2)
+POWER(LN(O222),2)
+POWER(LN(P222),2)
+POWER(LN(Q222),2)
+POWER(LN(R222),2)
)
)))</f>
        <v>9.4886477223156879E-2</v>
      </c>
    </row>
    <row r="223"/>
    <row r="224">
      <c r="A224" s="1" t="inlineStr">
        <is>
          <t>Activity</t>
        </is>
      </c>
      <c r="B224" s="1" t="inlineStr">
        <is>
          <t>municipal waste incineration, at incineration plant, with semi-dry air pollution control, with flue gas condensation, with electricity and heat recovery, with carbon capture and storage</t>
        </is>
      </c>
    </row>
    <row r="225">
      <c r="A225" t="inlineStr">
        <is>
          <t>location</t>
        </is>
      </c>
      <c r="B225" t="inlineStr">
        <is>
          <t>RER</t>
        </is>
      </c>
    </row>
    <row r="226">
      <c r="A226" t="inlineStr">
        <is>
          <t>production amount</t>
        </is>
      </c>
      <c r="B226" t="n">
        <v>1</v>
      </c>
    </row>
    <row r="227">
      <c r="A227" s="2" t="inlineStr">
        <is>
          <t>source</t>
        </is>
      </c>
      <c r="B227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228">
      <c r="A228" t="inlineStr">
        <is>
          <t>reference product</t>
        </is>
      </c>
      <c r="B228" t="inlineStr">
        <is>
          <t>municipal solid waste</t>
        </is>
      </c>
    </row>
    <row r="229">
      <c r="A229" t="inlineStr">
        <is>
          <t>type</t>
        </is>
      </c>
      <c r="B229" t="inlineStr">
        <is>
          <t>process</t>
        </is>
      </c>
    </row>
    <row r="230">
      <c r="A230" t="inlineStr">
        <is>
          <t>unit</t>
        </is>
      </c>
      <c r="B230" t="inlineStr">
        <is>
          <t>kilogram</t>
        </is>
      </c>
    </row>
    <row r="231">
      <c r="A231" t="inlineStr">
        <is>
          <t>comment</t>
        </is>
      </c>
      <c r="B231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Yes. Electricity production per ton MSWI incinerated: 312 kWh. Heat production per ton MSWI incinerated: 7'400 MJ.</t>
        </is>
      </c>
    </row>
    <row r="232">
      <c r="A232" s="1" t="inlineStr">
        <is>
          <t>Exchanges</t>
        </is>
      </c>
    </row>
    <row r="233">
      <c r="A233" s="7" t="inlineStr">
        <is>
          <t>name</t>
        </is>
      </c>
      <c r="B233" s="7" t="inlineStr">
        <is>
          <t>amount</t>
        </is>
      </c>
      <c r="C233" s="7" t="inlineStr">
        <is>
          <t>location</t>
        </is>
      </c>
      <c r="D233" s="7" t="inlineStr">
        <is>
          <t>unit</t>
        </is>
      </c>
      <c r="E233" s="7" t="inlineStr">
        <is>
          <t>categories</t>
        </is>
      </c>
      <c r="F233" s="7" t="inlineStr">
        <is>
          <t>type</t>
        </is>
      </c>
      <c r="G233" s="7" t="inlineStr">
        <is>
          <t>reference product</t>
        </is>
      </c>
      <c r="H233" s="7" t="inlineStr">
        <is>
          <t>comment</t>
        </is>
      </c>
      <c r="I233" s="7" t="inlineStr">
        <is>
          <t>normalization</t>
        </is>
      </c>
      <c r="J233" s="7" t="inlineStr">
        <is>
          <t>uncertainty type</t>
        </is>
      </c>
      <c r="K233" s="7" t="inlineStr">
        <is>
          <t>loc</t>
        </is>
      </c>
      <c r="L233" s="1" t="inlineStr">
        <is>
          <t>u1</t>
        </is>
      </c>
      <c r="M233" s="1" t="inlineStr">
        <is>
          <t>u2</t>
        </is>
      </c>
      <c r="N233" s="1" t="inlineStr">
        <is>
          <t>u3</t>
        </is>
      </c>
      <c r="O233" s="1" t="inlineStr">
        <is>
          <t>u4</t>
        </is>
      </c>
      <c r="P233" s="1" t="inlineStr">
        <is>
          <t>u5</t>
        </is>
      </c>
      <c r="Q233" s="1" t="inlineStr">
        <is>
          <t>u6</t>
        </is>
      </c>
      <c r="R233" s="1" t="inlineStr">
        <is>
          <t>ub</t>
        </is>
      </c>
      <c r="S233" s="1" t="inlineStr">
        <is>
          <t>scale</t>
        </is>
      </c>
    </row>
    <row r="234">
      <c r="A234" t="inlineStr">
        <is>
          <t>municipal waste incineration, at incineration plant, with semi-dry air pollution control, with flue gas condensation, with electricity and heat recovery, with carbon capture and storage</t>
        </is>
      </c>
      <c r="B234">
        <f>unallocated!B237/I234</f>
        <v>1</v>
      </c>
      <c r="C234" t="inlineStr">
        <is>
          <t>RER</t>
        </is>
      </c>
      <c r="D234" t="inlineStr">
        <is>
          <t>kilogram</t>
        </is>
      </c>
      <c r="F234" t="inlineStr">
        <is>
          <t>production</t>
        </is>
      </c>
      <c r="G234" t="inlineStr">
        <is>
          <t>municipal solid waste</t>
        </is>
      </c>
      <c r="H234" t="inlineStr"/>
      <c r="I234" t="n">
        <v>1000</v>
      </c>
      <c r="J234" t="n">
        <v>0</v>
      </c>
      <c r="L234" s="5" t="n"/>
      <c r="M234" s="5" t="n"/>
      <c r="N234" s="5" t="n"/>
      <c r="O234" s="5" t="n"/>
      <c r="P234" s="5" t="n"/>
      <c r="Q234" s="5" t="n"/>
    </row>
    <row r="235">
      <c r="A235" t="inlineStr">
        <is>
          <t>market group for electricity, medium voltage</t>
        </is>
      </c>
      <c r="B235">
        <f>unallocated!B238/I235</f>
        <v>-0.312</v>
      </c>
      <c r="C235" t="inlineStr">
        <is>
          <t>RER</t>
        </is>
      </c>
      <c r="D235" t="inlineStr">
        <is>
          <t>kilowatt hour</t>
        </is>
      </c>
      <c r="F235" t="inlineStr">
        <is>
          <t>technosphere</t>
        </is>
      </c>
      <c r="G235" t="inlineStr">
        <is>
          <t>electricity, medium voltage</t>
        </is>
      </c>
      <c r="H235" t="inlineStr">
        <is>
          <t>Co-produced heat and electricity.</t>
        </is>
      </c>
      <c r="I235" t="n">
        <v>-1000</v>
      </c>
      <c r="J235" t="n">
        <v>0</v>
      </c>
      <c r="K235" s="3" t="n"/>
    </row>
    <row r="236">
      <c r="A236" t="inlineStr">
        <is>
          <t>market for heat, central or small-scale, natural gas</t>
        </is>
      </c>
      <c r="B236">
        <f>unallocated!B239/I236</f>
        <v>-7.4</v>
      </c>
      <c r="C236" t="inlineStr">
        <is>
          <t>Europe without Switzerland</t>
        </is>
      </c>
      <c r="D236" t="inlineStr">
        <is>
          <t>megajoule</t>
        </is>
      </c>
      <c r="F236" t="inlineStr">
        <is>
          <t>technosphere</t>
        </is>
      </c>
      <c r="G236" t="inlineStr">
        <is>
          <t>heat, central or small-scale, natural gas</t>
        </is>
      </c>
      <c r="H236" t="inlineStr">
        <is>
          <t>Co-produced heat and electricity.</t>
        </is>
      </c>
      <c r="I236" t="n">
        <v>-1000</v>
      </c>
      <c r="J236" t="n">
        <v>0</v>
      </c>
      <c r="K236" s="3" t="n"/>
    </row>
    <row r="237">
      <c r="A237" t="inlineStr">
        <is>
          <t>market for diesel, low-sulfur</t>
        </is>
      </c>
      <c r="B237">
        <f>unallocated!B240/I237</f>
        <v>8.5000000000000006E-5</v>
      </c>
      <c r="C237" t="inlineStr">
        <is>
          <t>Europe without Switzerland</t>
        </is>
      </c>
      <c r="D237" t="inlineStr">
        <is>
          <t>kilogram</t>
        </is>
      </c>
      <c r="F237" t="inlineStr">
        <is>
          <t>technosphere</t>
        </is>
      </c>
      <c r="G237" t="inlineStr">
        <is>
          <t>diesel, low-sulfur</t>
        </is>
      </c>
      <c r="H237" t="inlineStr">
        <is>
          <t>Diesel density: 0.85 kg/l</t>
        </is>
      </c>
      <c r="I237" t="n">
        <v>1000</v>
      </c>
      <c r="J237" t="n">
        <v>2</v>
      </c>
      <c r="K237" s="3">
        <f>LN(B237)</f>
        <v>-9.372859301473957</v>
      </c>
      <c r="L237" t="n">
        <v>1</v>
      </c>
      <c r="M237" t="n">
        <v>1</v>
      </c>
      <c r="N237" t="n">
        <v>1</v>
      </c>
      <c r="O237" t="n">
        <v>1.02</v>
      </c>
      <c r="P237" t="n">
        <v>1.2</v>
      </c>
      <c r="Q237" t="n">
        <v>1</v>
      </c>
      <c r="R237" t="n">
        <v>1.05</v>
      </c>
      <c r="S237">
        <f>LN(SQRT(EXP(
SQRT(
+POWER(LN(L237),2)
+POWER(LN(M237),2)
+POWER(LN(N237),2)
+POWER(LN(O237),2)
+POWER(LN(P237),2)
+POWER(LN(Q237),2)
+POWER(LN(R237),2)
)
)))</f>
        <v>9.4886477223156879E-2</v>
      </c>
    </row>
    <row r="238">
      <c r="A238" t="inlineStr">
        <is>
          <t>market for activated carbon, granular</t>
        </is>
      </c>
      <c r="B238">
        <f>unallocated!B241/I238</f>
        <v>4.0000000000000002E-4</v>
      </c>
      <c r="C238" t="inlineStr">
        <is>
          <t>GLO</t>
        </is>
      </c>
      <c r="D238" t="inlineStr">
        <is>
          <t>kilogram</t>
        </is>
      </c>
      <c r="F238" t="inlineStr">
        <is>
          <t>technosphere</t>
        </is>
      </c>
      <c r="G238" t="inlineStr">
        <is>
          <t>activated carbon, granular</t>
        </is>
      </c>
      <c r="I238" t="n">
        <v>1000</v>
      </c>
      <c r="J238" t="n">
        <v>2</v>
      </c>
      <c r="K238" s="3">
        <f>LN(B238)</f>
        <v>-7.8240460108562919</v>
      </c>
      <c r="L238" t="n">
        <v>1</v>
      </c>
      <c r="M238" t="n">
        <v>1</v>
      </c>
      <c r="N238" t="n">
        <v>1</v>
      </c>
      <c r="O238" t="n">
        <v>1.02</v>
      </c>
      <c r="P238" t="n">
        <v>1.2</v>
      </c>
      <c r="Q238" t="n">
        <v>1</v>
      </c>
      <c r="R238" t="n">
        <v>1.05</v>
      </c>
      <c r="S238">
        <f>LN(SQRT(EXP(
SQRT(
+POWER(LN(L238),2)
+POWER(LN(M238),2)
+POWER(LN(N238),2)
+POWER(LN(O238),2)
+POWER(LN(P238),2)
+POWER(LN(Q238),2)
+POWER(LN(R238),2)
)
)))</f>
        <v>9.4886477223156879E-2</v>
      </c>
    </row>
    <row r="239">
      <c r="A239" t="inlineStr">
        <is>
          <t>market for ammonia, anhydrous, liquid</t>
        </is>
      </c>
      <c r="B239">
        <f>unallocated!B242/I239</f>
        <v>9.7999999999999997E-4</v>
      </c>
      <c r="C239" t="inlineStr">
        <is>
          <t>RER</t>
        </is>
      </c>
      <c r="D239" t="inlineStr">
        <is>
          <t>kilogram</t>
        </is>
      </c>
      <c r="F239" t="inlineStr">
        <is>
          <t>technosphere</t>
        </is>
      </c>
      <c r="G239" t="inlineStr">
        <is>
          <t>ammonia, anhydrous, liquid</t>
        </is>
      </c>
      <c r="H239" t="inlineStr">
        <is>
          <t>100% liquid ammonia. In original publication, it is dilluated to 23.5% in water. We discount the original value by 75%.</t>
        </is>
      </c>
      <c r="I239" t="n">
        <v>1000</v>
      </c>
      <c r="J239" t="n">
        <v>2</v>
      </c>
      <c r="K239" s="3">
        <f>LN(B239)</f>
        <v>-6.9279579862996563</v>
      </c>
      <c r="L239" t="n">
        <v>1</v>
      </c>
      <c r="M239" t="n">
        <v>1</v>
      </c>
      <c r="N239" t="n">
        <v>1</v>
      </c>
      <c r="O239" t="n">
        <v>1.02</v>
      </c>
      <c r="P239" t="n">
        <v>1.2</v>
      </c>
      <c r="Q239" t="n">
        <v>1</v>
      </c>
      <c r="R239" t="n">
        <v>1.05</v>
      </c>
      <c r="S239">
        <f>LN(SQRT(EXP(
SQRT(
+POWER(LN(L239),2)
+POWER(LN(M239),2)
+POWER(LN(N239),2)
+POWER(LN(O239),2)
+POWER(LN(P239),2)
+POWER(LN(Q239),2)
+POWER(LN(R239),2)
)
)))</f>
        <v>9.4886477223156879E-2</v>
      </c>
    </row>
    <row r="240">
      <c r="A240" t="inlineStr">
        <is>
          <t>market for tap water</t>
        </is>
      </c>
      <c r="B240">
        <f>unallocated!B243/I240</f>
        <v>3.0200000000000001E-3</v>
      </c>
      <c r="C240" t="inlineStr">
        <is>
          <t>Europe without Switzerland</t>
        </is>
      </c>
      <c r="D240" t="inlineStr">
        <is>
          <t>kilogram</t>
        </is>
      </c>
      <c r="F240" t="inlineStr">
        <is>
          <t>technosphere</t>
        </is>
      </c>
      <c r="G240" t="inlineStr">
        <is>
          <t>tap water</t>
        </is>
      </c>
      <c r="H240" t="inlineStr">
        <is>
          <t>Used to dilute the ammonia.</t>
        </is>
      </c>
      <c r="I240" t="n">
        <v>1000</v>
      </c>
      <c r="J240" t="n">
        <v>2</v>
      </c>
      <c r="K240" s="3">
        <f>LN(B240)</f>
        <v>-5.8024984475953589</v>
      </c>
      <c r="L240" t="n">
        <v>1</v>
      </c>
      <c r="M240" t="n">
        <v>1</v>
      </c>
      <c r="N240" t="n">
        <v>1</v>
      </c>
      <c r="O240" t="n">
        <v>1.02</v>
      </c>
      <c r="P240" t="n">
        <v>1.2</v>
      </c>
      <c r="Q240" t="n">
        <v>1</v>
      </c>
      <c r="R240" t="n">
        <v>1.05</v>
      </c>
      <c r="S240">
        <f>LN(SQRT(EXP(
SQRT(
+POWER(LN(L240),2)
+POWER(LN(M240),2)
+POWER(LN(N240),2)
+POWER(LN(O240),2)
+POWER(LN(P240),2)
+POWER(LN(Q240),2)
+POWER(LN(R240),2)
)
)))</f>
        <v>9.4886477223156879E-2</v>
      </c>
    </row>
    <row r="241">
      <c r="A241" t="inlineStr">
        <is>
          <t>market for calcium carbonate, precipitated</t>
        </is>
      </c>
      <c r="B241">
        <f>unallocated!B244/I241</f>
        <v>0</v>
      </c>
      <c r="C241" t="inlineStr">
        <is>
          <t>RER</t>
        </is>
      </c>
      <c r="D241" t="inlineStr">
        <is>
          <t>kilogram</t>
        </is>
      </c>
      <c r="F241" t="inlineStr">
        <is>
          <t>technosphere</t>
        </is>
      </c>
      <c r="G241" t="inlineStr">
        <is>
          <t>calcium carbonate, precipitated</t>
        </is>
      </c>
      <c r="I241" t="n">
        <v>1000</v>
      </c>
      <c r="J241" t="n">
        <v>0</v>
      </c>
      <c r="K241" s="3" t="n"/>
    </row>
    <row r="242">
      <c r="A242" t="inlineStr">
        <is>
          <t>market for iron(III) chloride, without water, in 40% solution state</t>
        </is>
      </c>
      <c r="B242">
        <f>unallocated!B245/I242</f>
        <v>0</v>
      </c>
      <c r="C242" t="inlineStr">
        <is>
          <t>GLO</t>
        </is>
      </c>
      <c r="D242" t="inlineStr">
        <is>
          <t>kilogram</t>
        </is>
      </c>
      <c r="F242" t="inlineStr">
        <is>
          <t>technosphere</t>
        </is>
      </c>
      <c r="G242" t="inlineStr">
        <is>
          <t>iron(III) chloride, without water, in 40% solution state</t>
        </is>
      </c>
      <c r="I242" t="n">
        <v>1000</v>
      </c>
      <c r="J242" t="n">
        <v>0</v>
      </c>
      <c r="K242" s="3" t="n"/>
    </row>
    <row r="243">
      <c r="A243" t="inlineStr">
        <is>
          <t>market for lime, hydrated, packed</t>
        </is>
      </c>
      <c r="B243">
        <f>unallocated!B246/I243</f>
        <v>0.01</v>
      </c>
      <c r="C243" t="inlineStr">
        <is>
          <t>RER</t>
        </is>
      </c>
      <c r="D243" t="inlineStr">
        <is>
          <t>kilogram</t>
        </is>
      </c>
      <c r="F243" t="inlineStr">
        <is>
          <t>technosphere</t>
        </is>
      </c>
      <c r="G243" t="inlineStr">
        <is>
          <t>lime, hydrated, packed</t>
        </is>
      </c>
      <c r="I243" t="n">
        <v>1000</v>
      </c>
      <c r="J243" t="n">
        <v>2</v>
      </c>
      <c r="K243" s="3">
        <f>LN(B243)</f>
        <v>-4.6051701859880909</v>
      </c>
      <c r="L243" t="n">
        <v>1</v>
      </c>
      <c r="M243" t="n">
        <v>1</v>
      </c>
      <c r="N243" t="n">
        <v>1</v>
      </c>
      <c r="O243" t="n">
        <v>1.02</v>
      </c>
      <c r="P243" t="n">
        <v>1.2</v>
      </c>
      <c r="Q243" t="n">
        <v>1</v>
      </c>
      <c r="R243" t="n">
        <v>1.05</v>
      </c>
      <c r="S243">
        <f>LN(SQRT(EXP(
SQRT(
+POWER(LN(L243),2)
+POWER(LN(M243),2)
+POWER(LN(N243),2)
+POWER(LN(O243),2)
+POWER(LN(P243),2)
+POWER(LN(Q243),2)
+POWER(LN(R243),2)
)
)))</f>
        <v>9.4886477223156879E-2</v>
      </c>
    </row>
    <row r="244">
      <c r="A244" t="inlineStr">
        <is>
          <t>market for sodium hydroxide, without water, in 50% solution state</t>
        </is>
      </c>
      <c r="B244">
        <f>unallocated!B247/I244</f>
        <v>2.5000000000000001E-4</v>
      </c>
      <c r="C244" t="inlineStr">
        <is>
          <t>RER</t>
        </is>
      </c>
      <c r="D244" t="inlineStr">
        <is>
          <t>kilogram</t>
        </is>
      </c>
      <c r="F244" t="inlineStr">
        <is>
          <t>technosphere</t>
        </is>
      </c>
      <c r="G244" t="inlineStr">
        <is>
          <t>sodium hydroxide, without water, in 50% solution state</t>
        </is>
      </c>
      <c r="H244" t="inlineStr">
        <is>
          <t>50% liquid ammonia. In original publication, it is dilluated to 27% in water. We discount the original value by 50%.</t>
        </is>
      </c>
      <c r="I244" t="n">
        <v>1000</v>
      </c>
      <c r="J244" t="n">
        <v>0</v>
      </c>
      <c r="K244" s="3" t="n"/>
    </row>
    <row r="245">
      <c r="A245" t="inlineStr">
        <is>
          <t>market for monoethanolamine</t>
        </is>
      </c>
      <c r="B245">
        <f>unallocated!B248/I245</f>
        <v>4.0000000000000001E-3</v>
      </c>
      <c r="C245" t="inlineStr">
        <is>
          <t>GLO</t>
        </is>
      </c>
      <c r="D245" t="inlineStr">
        <is>
          <t>kilogram</t>
        </is>
      </c>
      <c r="F245" t="inlineStr">
        <is>
          <t>technosphere</t>
        </is>
      </c>
      <c r="G245" t="inlineStr">
        <is>
          <t>monoethanolamine</t>
        </is>
      </c>
      <c r="I245" t="n">
        <v>1000</v>
      </c>
      <c r="J245" t="n">
        <v>0</v>
      </c>
      <c r="K245" s="3" t="n"/>
    </row>
    <row r="246">
      <c r="A246" t="inlineStr">
        <is>
          <t>municipal waste incineration facility construction</t>
        </is>
      </c>
      <c r="B246">
        <f>unallocated!B249/I246</f>
        <v>2.4999999999999996E-10</v>
      </c>
      <c r="C246" t="inlineStr">
        <is>
          <t>CH</t>
        </is>
      </c>
      <c r="D246" t="inlineStr">
        <is>
          <t>unit</t>
        </is>
      </c>
      <c r="F246" t="inlineStr">
        <is>
          <t>technosphere</t>
        </is>
      </c>
      <c r="G246" t="inlineStr">
        <is>
          <t>municipal waste incineration facility</t>
        </is>
      </c>
      <c r="H246" t="inlineStr">
        <is>
          <t>Lifetime: 4'000'000 tons MSWI treated.</t>
        </is>
      </c>
      <c r="I246" t="n">
        <v>1000</v>
      </c>
      <c r="J246" t="n">
        <v>2</v>
      </c>
      <c r="K246" s="3">
        <f>LN(B246)</f>
        <v>-22.109560198066301</v>
      </c>
      <c r="L246" t="n">
        <v>1</v>
      </c>
      <c r="M246" t="n">
        <v>1</v>
      </c>
      <c r="N246" t="n">
        <v>1</v>
      </c>
      <c r="O246" t="n">
        <v>1.02</v>
      </c>
      <c r="P246" t="n">
        <v>1.2</v>
      </c>
      <c r="Q246" t="n">
        <v>1</v>
      </c>
      <c r="R246" t="n">
        <v>3</v>
      </c>
      <c r="S246">
        <f>LN(SQRT(EXP(
SQRT(
+POWER(LN(L246),2)
+POWER(LN(M246),2)
+POWER(LN(N246),2)
+POWER(LN(O246),2)
+POWER(LN(P246),2)
+POWER(LN(Q246),2)
+POWER(LN(R246),2)
)
)))</f>
        <v>0.5569071410325479</v>
      </c>
    </row>
    <row r="247">
      <c r="A247" t="inlineStr">
        <is>
          <t>carbon dioxide storage at wood burning power plant 20 MW post, pipeline 200km, storage 1000m</t>
        </is>
      </c>
      <c r="B247">
        <f>unallocated!B250/I247</f>
        <v>0.82299999999999995</v>
      </c>
      <c r="C247" t="inlineStr">
        <is>
          <t>RER</t>
        </is>
      </c>
      <c r="D247" t="inlineStr">
        <is>
          <t>kilogram</t>
        </is>
      </c>
      <c r="F247" t="inlineStr">
        <is>
          <t>technosphere</t>
        </is>
      </c>
      <c r="G247" t="inlineStr">
        <is>
          <t>carbon dioxide storage at wood burning power plant 20 MW post, pipeline 200km, storage 1000m</t>
        </is>
      </c>
      <c r="I247" t="n">
        <v>1000</v>
      </c>
      <c r="J247" t="n">
        <v>2</v>
      </c>
      <c r="K247" s="3">
        <f>LN(B247)</f>
        <v>-0.19479907830506729</v>
      </c>
      <c r="L247" t="n">
        <v>1</v>
      </c>
      <c r="M247" t="n">
        <v>1</v>
      </c>
      <c r="N247" t="n">
        <v>1</v>
      </c>
      <c r="O247" t="n">
        <v>1.02</v>
      </c>
      <c r="P247" t="n">
        <v>1.2</v>
      </c>
      <c r="Q247" t="n">
        <v>1</v>
      </c>
      <c r="R247" t="n">
        <v>3</v>
      </c>
      <c r="S247">
        <f>LN(SQRT(EXP(
SQRT(
+POWER(LN(L247),2)
+POWER(LN(M247),2)
+POWER(LN(N247),2)
+POWER(LN(O247),2)
+POWER(LN(P247),2)
+POWER(LN(Q247),2)
+POWER(LN(R247),2)
)
)))</f>
        <v>0.5569071410325479</v>
      </c>
    </row>
    <row r="248">
      <c r="A248" t="inlineStr">
        <is>
          <t>Water, cooling, unspecified natural origin</t>
        </is>
      </c>
      <c r="B248">
        <f>unallocated!B251/I248</f>
        <v>0</v>
      </c>
      <c r="D248" t="inlineStr">
        <is>
          <t>cubic meter</t>
        </is>
      </c>
      <c r="E248" t="inlineStr">
        <is>
          <t>natural resource::in water</t>
        </is>
      </c>
      <c r="F248" t="inlineStr">
        <is>
          <t>biosphere</t>
        </is>
      </c>
      <c r="I248" t="n">
        <v>1000</v>
      </c>
      <c r="J248" t="n">
        <v>0</v>
      </c>
      <c r="K248" s="3" t="n"/>
    </row>
    <row r="249">
      <c r="A249" t="inlineStr">
        <is>
          <t>Sulfur dioxide</t>
        </is>
      </c>
      <c r="B249">
        <f>unallocated!B252/I249</f>
        <v>6.0000000000000002E-6</v>
      </c>
      <c r="D249" t="inlineStr">
        <is>
          <t>kilogram</t>
        </is>
      </c>
      <c r="E249" t="inlineStr">
        <is>
          <t>air::urban air close to ground</t>
        </is>
      </c>
      <c r="F249" t="inlineStr">
        <is>
          <t>biosphere</t>
        </is>
      </c>
      <c r="I249" t="n">
        <v>1000</v>
      </c>
      <c r="J249" t="n">
        <v>2</v>
      </c>
      <c r="K249" s="3">
        <f>LN(B249)</f>
        <v>-12.023751088736219</v>
      </c>
      <c r="L249" t="n">
        <v>1</v>
      </c>
      <c r="M249" t="n">
        <v>1</v>
      </c>
      <c r="N249" t="n">
        <v>1</v>
      </c>
      <c r="O249" t="n">
        <v>1.02</v>
      </c>
      <c r="P249" t="n">
        <v>1.2</v>
      </c>
      <c r="Q249" t="n">
        <v>1</v>
      </c>
      <c r="R249" t="n">
        <v>1.05</v>
      </c>
      <c r="S249">
        <f>LN(SQRT(EXP(
SQRT(
+POWER(LN(L249),2)
+POWER(LN(M249),2)
+POWER(LN(N249),2)
+POWER(LN(O249),2)
+POWER(LN(P249),2)
+POWER(LN(Q249),2)
+POWER(LN(R249),2)
)
)))</f>
        <v>9.4886477223156879E-2</v>
      </c>
    </row>
    <row r="250">
      <c r="A250" t="inlineStr">
        <is>
          <t>Hydrochloric acid</t>
        </is>
      </c>
      <c r="B250">
        <f>unallocated!B253/I250</f>
        <v>3.0000000000000001E-6</v>
      </c>
      <c r="D250" t="inlineStr">
        <is>
          <t>kilogram</t>
        </is>
      </c>
      <c r="E250" t="inlineStr">
        <is>
          <t>air</t>
        </is>
      </c>
      <c r="F250" t="inlineStr">
        <is>
          <t>biosphere</t>
        </is>
      </c>
      <c r="I250" t="n">
        <v>1000</v>
      </c>
      <c r="J250" t="n">
        <v>2</v>
      </c>
      <c r="K250" s="3">
        <f>LN(B250)</f>
        <v>-12.716898269296165</v>
      </c>
      <c r="L250" t="n">
        <v>1</v>
      </c>
      <c r="M250" t="n">
        <v>1</v>
      </c>
      <c r="N250" t="n">
        <v>1</v>
      </c>
      <c r="O250" t="n">
        <v>1.02</v>
      </c>
      <c r="P250" t="n">
        <v>1.2</v>
      </c>
      <c r="Q250" t="n">
        <v>1</v>
      </c>
      <c r="R250" t="n">
        <v>1.5</v>
      </c>
      <c r="S250">
        <f>LN(SQRT(EXP(
SQRT(
+POWER(LN(L250),2)
+POWER(LN(M250),2)
+POWER(LN(N250),2)
+POWER(LN(O250),2)
+POWER(LN(P250),2)
+POWER(LN(Q250),2)
+POWER(LN(R250),2)
)
)))</f>
        <v>0.22250575723605889</v>
      </c>
    </row>
    <row r="251">
      <c r="A251" t="inlineStr">
        <is>
          <t>Nitrogen oxides</t>
        </is>
      </c>
      <c r="B251">
        <f>unallocated!B254/I251</f>
        <v>6.7700000000000008E-4</v>
      </c>
      <c r="D251" t="inlineStr">
        <is>
          <t>kilogram</t>
        </is>
      </c>
      <c r="E251" t="inlineStr">
        <is>
          <t>air::urban air close to ground</t>
        </is>
      </c>
      <c r="F251" t="inlineStr">
        <is>
          <t>biosphere</t>
        </is>
      </c>
      <c r="I251" t="n">
        <v>1000</v>
      </c>
      <c r="J251" t="n">
        <v>2</v>
      </c>
      <c r="K251" s="3">
        <f>LN(B251)</f>
        <v>-7.2978392850519986</v>
      </c>
      <c r="L251" t="n">
        <v>1</v>
      </c>
      <c r="M251" t="n">
        <v>1</v>
      </c>
      <c r="N251" t="n">
        <v>1</v>
      </c>
      <c r="O251" t="n">
        <v>1.02</v>
      </c>
      <c r="P251" t="n">
        <v>1.2</v>
      </c>
      <c r="Q251" t="n">
        <v>1</v>
      </c>
      <c r="R251" t="n">
        <v>1.5</v>
      </c>
      <c r="S251">
        <f>LN(SQRT(EXP(
SQRT(
+POWER(LN(L251),2)
+POWER(LN(M251),2)
+POWER(LN(N251),2)
+POWER(LN(O251),2)
+POWER(LN(P251),2)
+POWER(LN(Q251),2)
+POWER(LN(R251),2)
)
)))</f>
        <v>0.22250575723605889</v>
      </c>
    </row>
    <row r="252">
      <c r="A252" t="inlineStr">
        <is>
          <t>Ammonia</t>
        </is>
      </c>
      <c r="B252">
        <f>unallocated!B255/I252</f>
        <v>2.0000000000000002E-5</v>
      </c>
      <c r="D252" t="inlineStr">
        <is>
          <t>kilogram</t>
        </is>
      </c>
      <c r="E252" t="inlineStr">
        <is>
          <t>air::urban air close to ground</t>
        </is>
      </c>
      <c r="F252" t="inlineStr">
        <is>
          <t>biosphere</t>
        </is>
      </c>
      <c r="I252" t="n">
        <v>1000</v>
      </c>
      <c r="J252" t="n">
        <v>2</v>
      </c>
      <c r="K252" s="3">
        <f>LN(B252)</f>
        <v>-10.819778284410283</v>
      </c>
      <c r="L252" t="n">
        <v>1</v>
      </c>
      <c r="M252" t="n">
        <v>1</v>
      </c>
      <c r="N252" t="n">
        <v>1</v>
      </c>
      <c r="O252" t="n">
        <v>1.02</v>
      </c>
      <c r="P252" t="n">
        <v>1.2</v>
      </c>
      <c r="Q252" t="n">
        <v>1</v>
      </c>
      <c r="R252" t="n">
        <v>1.5</v>
      </c>
      <c r="S252">
        <f>LN(SQRT(EXP(
SQRT(
+POWER(LN(L252),2)
+POWER(LN(M252),2)
+POWER(LN(N252),2)
+POWER(LN(O252),2)
+POWER(LN(P252),2)
+POWER(LN(Q252),2)
+POWER(LN(R252),2)
)
)))</f>
        <v>0.22250575723605889</v>
      </c>
    </row>
    <row r="253">
      <c r="A253" t="inlineStr">
        <is>
          <t>Particulate Matter, &lt; 2.5 um</t>
        </is>
      </c>
      <c r="B253">
        <f>unallocated!B256/I253</f>
        <v>6.0000000000000002E-6</v>
      </c>
      <c r="D253" t="inlineStr">
        <is>
          <t>kilogram</t>
        </is>
      </c>
      <c r="E253" t="inlineStr">
        <is>
          <t>air::urban air close to ground</t>
        </is>
      </c>
      <c r="F253" t="inlineStr">
        <is>
          <t>biosphere</t>
        </is>
      </c>
      <c r="I253" t="n">
        <v>1000</v>
      </c>
      <c r="J253" t="n">
        <v>2</v>
      </c>
      <c r="K253" s="3">
        <f>LN(B253)</f>
        <v>-12.023751088736219</v>
      </c>
      <c r="L253" t="n">
        <v>1</v>
      </c>
      <c r="M253" t="n">
        <v>1</v>
      </c>
      <c r="N253" t="n">
        <v>1</v>
      </c>
      <c r="O253" t="n">
        <v>1.02</v>
      </c>
      <c r="P253" t="n">
        <v>1.2</v>
      </c>
      <c r="Q253" t="n">
        <v>1</v>
      </c>
      <c r="R253" t="n">
        <v>3</v>
      </c>
      <c r="S253">
        <f>LN(SQRT(EXP(
SQRT(
+POWER(LN(L253),2)
+POWER(LN(M253),2)
+POWER(LN(N253),2)
+POWER(LN(O253),2)
+POWER(LN(P253),2)
+POWER(LN(Q253),2)
+POWER(LN(R253),2)
)
)))</f>
        <v>0.5569071410325479</v>
      </c>
    </row>
    <row r="254">
      <c r="A254" t="inlineStr">
        <is>
          <t>Mercury II</t>
        </is>
      </c>
      <c r="B254">
        <f>unallocated!B257/I254</f>
        <v>6E-9</v>
      </c>
      <c r="D254" t="inlineStr">
        <is>
          <t>kilogram</t>
        </is>
      </c>
      <c r="E254" t="inlineStr">
        <is>
          <t>air::urban air close to ground</t>
        </is>
      </c>
      <c r="F254" t="inlineStr">
        <is>
          <t>biosphere</t>
        </is>
      </c>
      <c r="I254" t="n">
        <v>1000</v>
      </c>
      <c r="J254" t="n">
        <v>2</v>
      </c>
      <c r="K254" s="3">
        <f>LN(B254)</f>
        <v>-18.931506367718356</v>
      </c>
      <c r="L254" t="n">
        <v>1</v>
      </c>
      <c r="M254" t="n">
        <v>1</v>
      </c>
      <c r="N254" t="n">
        <v>1</v>
      </c>
      <c r="O254" t="n">
        <v>1.02</v>
      </c>
      <c r="P254" t="n">
        <v>1.2</v>
      </c>
      <c r="Q254" t="n">
        <v>1</v>
      </c>
      <c r="R254" t="n">
        <v>5</v>
      </c>
      <c r="S254">
        <f>LN(SQRT(EXP(
SQRT(
+POWER(LN(L254),2)
+POWER(LN(M254),2)
+POWER(LN(N254),2)
+POWER(LN(O254),2)
+POWER(LN(P254),2)
+POWER(LN(Q254),2)
+POWER(LN(R254),2)
)
)))</f>
        <v>0.80992649174166365</v>
      </c>
    </row>
    <row r="255">
      <c r="A255" t="inlineStr">
        <is>
          <t>Lead II</t>
        </is>
      </c>
      <c r="B255">
        <f>unallocated!B258/I255</f>
        <v>6E-9</v>
      </c>
      <c r="D255" t="inlineStr">
        <is>
          <t>kilogram</t>
        </is>
      </c>
      <c r="E255" t="inlineStr">
        <is>
          <t>air::urban air close to ground</t>
        </is>
      </c>
      <c r="F255" t="inlineStr">
        <is>
          <t>biosphere</t>
        </is>
      </c>
      <c r="I255" t="n">
        <v>1000</v>
      </c>
      <c r="J255" t="n">
        <v>2</v>
      </c>
      <c r="K255" s="3">
        <f>LN(B255)</f>
        <v>-18.931506367718356</v>
      </c>
      <c r="L255" t="n">
        <v>1</v>
      </c>
      <c r="M255" t="n">
        <v>1</v>
      </c>
      <c r="N255" t="n">
        <v>1</v>
      </c>
      <c r="O255" t="n">
        <v>1.02</v>
      </c>
      <c r="P255" t="n">
        <v>1.2</v>
      </c>
      <c r="Q255" t="n">
        <v>1</v>
      </c>
      <c r="R255" t="n">
        <v>5</v>
      </c>
      <c r="S255">
        <f>LN(SQRT(EXP(
SQRT(
+POWER(LN(L255),2)
+POWER(LN(M255),2)
+POWER(LN(N255),2)
+POWER(LN(O255),2)
+POWER(LN(P255),2)
+POWER(LN(Q255),2)
+POWER(LN(R255),2)
)
)))</f>
        <v>0.80992649174166365</v>
      </c>
    </row>
    <row r="256">
      <c r="A256" t="inlineStr">
        <is>
          <t>Cadmium II</t>
        </is>
      </c>
      <c r="B256">
        <f>unallocated!B259/I256</f>
        <v>3E-9</v>
      </c>
      <c r="D256" t="inlineStr">
        <is>
          <t>kilogram</t>
        </is>
      </c>
      <c r="E256" t="inlineStr">
        <is>
          <t>air::urban air close to ground</t>
        </is>
      </c>
      <c r="F256" t="inlineStr">
        <is>
          <t>biosphere</t>
        </is>
      </c>
      <c r="I256" t="n">
        <v>1000</v>
      </c>
      <c r="J256" t="n">
        <v>2</v>
      </c>
      <c r="K256" s="3">
        <f>LN(B256)</f>
        <v>-19.624653548278303</v>
      </c>
      <c r="L256" t="n">
        <v>1</v>
      </c>
      <c r="M256" t="n">
        <v>1</v>
      </c>
      <c r="N256" t="n">
        <v>1</v>
      </c>
      <c r="O256" t="n">
        <v>1.02</v>
      </c>
      <c r="P256" t="n">
        <v>1.2</v>
      </c>
      <c r="Q256" t="n">
        <v>1</v>
      </c>
      <c r="R256" t="n">
        <v>5</v>
      </c>
      <c r="S256">
        <f>LN(SQRT(EXP(
SQRT(
+POWER(LN(L256),2)
+POWER(LN(M256),2)
+POWER(LN(N256),2)
+POWER(LN(O256),2)
+POWER(LN(P256),2)
+POWER(LN(Q256),2)
+POWER(LN(R256),2)
)
)))</f>
        <v>0.80992649174166365</v>
      </c>
    </row>
    <row r="257">
      <c r="A257" t="inlineStr">
        <is>
          <t>Arsenic ion</t>
        </is>
      </c>
      <c r="B257">
        <f>unallocated!B260/I257</f>
        <v>3E-9</v>
      </c>
      <c r="D257" t="inlineStr">
        <is>
          <t>kilogram</t>
        </is>
      </c>
      <c r="E257" t="inlineStr">
        <is>
          <t>air::urban air close to ground</t>
        </is>
      </c>
      <c r="F257" t="inlineStr">
        <is>
          <t>biosphere</t>
        </is>
      </c>
      <c r="I257" t="n">
        <v>1000</v>
      </c>
      <c r="J257" t="n">
        <v>2</v>
      </c>
      <c r="K257" s="3">
        <f>LN(B257)</f>
        <v>-19.624653548278303</v>
      </c>
      <c r="L257" t="n">
        <v>1</v>
      </c>
      <c r="M257" t="n">
        <v>1</v>
      </c>
      <c r="N257" t="n">
        <v>1</v>
      </c>
      <c r="O257" t="n">
        <v>1.02</v>
      </c>
      <c r="P257" t="n">
        <v>1.2</v>
      </c>
      <c r="Q257" t="n">
        <v>1</v>
      </c>
      <c r="R257" t="n">
        <v>5</v>
      </c>
      <c r="S257">
        <f>LN(SQRT(EXP(
SQRT(
+POWER(LN(L257),2)
+POWER(LN(M257),2)
+POWER(LN(N257),2)
+POWER(LN(O257),2)
+POWER(LN(P257),2)
+POWER(LN(Q257),2)
+POWER(LN(R257),2)
)
)))</f>
        <v>0.80992649174166365</v>
      </c>
    </row>
    <row r="258">
      <c r="A258" t="inlineStr">
        <is>
          <t>Dioxins, measured as 2,3,7,8-tetrachlorodibenzo-p-dioxin</t>
        </is>
      </c>
      <c r="B258">
        <f>unallocated!B261/I258</f>
        <v>1.1000000000000001E-13</v>
      </c>
      <c r="D258" t="inlineStr">
        <is>
          <t>kilogram</t>
        </is>
      </c>
      <c r="E258" t="inlineStr">
        <is>
          <t>air::urban air close to ground</t>
        </is>
      </c>
      <c r="F258" t="inlineStr">
        <is>
          <t>biosphere</t>
        </is>
      </c>
      <c r="I258" t="n">
        <v>1000</v>
      </c>
      <c r="J258" t="n">
        <v>2</v>
      </c>
      <c r="K258" s="3">
        <f>LN(B258)</f>
        <v>-29.838296029118268</v>
      </c>
      <c r="L258" t="n">
        <v>1</v>
      </c>
      <c r="M258" t="n">
        <v>1</v>
      </c>
      <c r="N258" t="n">
        <v>1</v>
      </c>
      <c r="O258" t="n">
        <v>1.02</v>
      </c>
      <c r="P258" t="n">
        <v>1.2</v>
      </c>
      <c r="Q258" t="n">
        <v>1</v>
      </c>
      <c r="R258" t="n">
        <v>5</v>
      </c>
      <c r="S258">
        <f>LN(SQRT(EXP(
SQRT(
+POWER(LN(L258),2)
+POWER(LN(M258),2)
+POWER(LN(N258),2)
+POWER(LN(O258),2)
+POWER(LN(P258),2)
+POWER(LN(Q258),2)
+POWER(LN(R258),2)
)
)))</f>
        <v>0.80992649174166365</v>
      </c>
    </row>
    <row r="259">
      <c r="A259" t="inlineStr">
        <is>
          <t>Carbon dioxide, fossil</t>
        </is>
      </c>
      <c r="B259">
        <f>unallocated!B262/I259</f>
        <v>5.6000000000000001E-2</v>
      </c>
      <c r="D259" t="inlineStr">
        <is>
          <t>kilogram</t>
        </is>
      </c>
      <c r="E259" t="inlineStr">
        <is>
          <t>air::urban air close to ground</t>
        </is>
      </c>
      <c r="F259" t="inlineStr">
        <is>
          <t>biosphere</t>
        </is>
      </c>
      <c r="I259" t="n">
        <v>1000</v>
      </c>
      <c r="J259" t="n">
        <v>2</v>
      </c>
      <c r="K259" s="3">
        <f>LN(B259)</f>
        <v>-2.8824035882469876</v>
      </c>
      <c r="L259" t="n">
        <v>1</v>
      </c>
      <c r="M259" t="n">
        <v>1</v>
      </c>
      <c r="N259" t="n">
        <v>1</v>
      </c>
      <c r="O259" t="n">
        <v>1.02</v>
      </c>
      <c r="P259" t="n">
        <v>1.2</v>
      </c>
      <c r="Q259" t="n">
        <v>1</v>
      </c>
      <c r="R259" t="n">
        <v>1.05</v>
      </c>
      <c r="S259">
        <f>LN(SQRT(EXP(
SQRT(
+POWER(LN(L259),2)
+POWER(LN(M259),2)
+POWER(LN(N259),2)
+POWER(LN(O259),2)
+POWER(LN(P259),2)
+POWER(LN(Q259),2)
+POWER(LN(R259),2)
)
)))</f>
        <v>9.4886477223156879E-2</v>
      </c>
    </row>
    <row r="260">
      <c r="A260" t="inlineStr">
        <is>
          <t>Carbon dioxide, non-fossil</t>
        </is>
      </c>
      <c r="B260">
        <f>unallocated!B263/I260</f>
        <v>8.8999999999999996E-2</v>
      </c>
      <c r="D260" t="inlineStr">
        <is>
          <t>kilogram</t>
        </is>
      </c>
      <c r="E260" t="inlineStr">
        <is>
          <t>air::urban air close to ground</t>
        </is>
      </c>
      <c r="F260" t="inlineStr">
        <is>
          <t>biosphere</t>
        </is>
      </c>
      <c r="I260" t="n">
        <v>1000</v>
      </c>
      <c r="J260" t="n">
        <v>2</v>
      </c>
      <c r="K260" s="3">
        <f>LN(B260)</f>
        <v>-2.4191189092499972</v>
      </c>
      <c r="L260" t="n">
        <v>1</v>
      </c>
      <c r="M260" t="n">
        <v>1</v>
      </c>
      <c r="N260" t="n">
        <v>1</v>
      </c>
      <c r="O260" t="n">
        <v>1.02</v>
      </c>
      <c r="P260" t="n">
        <v>1.2</v>
      </c>
      <c r="Q260" t="n">
        <v>1</v>
      </c>
      <c r="R260" t="n">
        <v>1.05</v>
      </c>
      <c r="S260">
        <f>LN(SQRT(EXP(
SQRT(
+POWER(LN(L260),2)
+POWER(LN(M260),2)
+POWER(LN(N260),2)
+POWER(LN(O260),2)
+POWER(LN(P260),2)
+POWER(LN(Q260),2)
+POWER(LN(R260),2)
)
)))</f>
        <v>9.4886477223156879E-2</v>
      </c>
    </row>
    <row r="261">
      <c r="A261" t="inlineStr">
        <is>
          <t>Carbon dioxide, in air</t>
        </is>
      </c>
      <c r="B261">
        <f>unallocated!B264/I261</f>
        <v>0.505</v>
      </c>
      <c r="D261" t="inlineStr">
        <is>
          <t>kilogram</t>
        </is>
      </c>
      <c r="E261" t="inlineStr">
        <is>
          <t>natural resource::in air</t>
        </is>
      </c>
      <c r="F261" t="inlineStr">
        <is>
          <t>biosphere</t>
        </is>
      </c>
      <c r="H261" t="inlineStr">
        <is>
          <t>To reflect the permanent storage of non-fossil CO.</t>
        </is>
      </c>
      <c r="I261" t="n">
        <v>1000</v>
      </c>
      <c r="J261" t="n">
        <v>2</v>
      </c>
      <c r="K261" s="3">
        <f>LN(B261)</f>
        <v>-0.68319684970677719</v>
      </c>
      <c r="L261" t="n">
        <v>1</v>
      </c>
      <c r="M261" t="n">
        <v>1</v>
      </c>
      <c r="N261" t="n">
        <v>1</v>
      </c>
      <c r="O261" t="n">
        <v>1.02</v>
      </c>
      <c r="P261" t="n">
        <v>1.2</v>
      </c>
      <c r="Q261" t="n">
        <v>1</v>
      </c>
      <c r="R261" t="n">
        <v>1.05</v>
      </c>
      <c r="S261">
        <f>LN(SQRT(EXP(
SQRT(
+POWER(LN(L261),2)
+POWER(LN(M261),2)
+POWER(LN(N261),2)
+POWER(LN(O261),2)
+POWER(LN(P261),2)
+POWER(LN(Q261),2)
+POWER(LN(R261),2)
)
)))</f>
        <v>9.4886477223156879E-2</v>
      </c>
    </row>
    <row r="262"/>
    <row r="263">
      <c r="A263" s="1" t="inlineStr">
        <is>
          <t>Activity</t>
        </is>
      </c>
      <c r="B263" s="1" t="inlineStr">
        <is>
          <t>municipal waste incineration, at incineration plant, with wet air pollution control, with flue gas condensation, with electricity and heat recovery, with carbon capture and storage</t>
        </is>
      </c>
    </row>
    <row r="264">
      <c r="A264" t="inlineStr">
        <is>
          <t>location</t>
        </is>
      </c>
      <c r="B264" t="inlineStr">
        <is>
          <t>RER</t>
        </is>
      </c>
    </row>
    <row r="265">
      <c r="A265" t="inlineStr">
        <is>
          <t>production amount</t>
        </is>
      </c>
      <c r="B265" t="n">
        <v>1</v>
      </c>
    </row>
    <row r="266">
      <c r="A266" s="2" t="inlineStr">
        <is>
          <t>source</t>
        </is>
      </c>
      <c r="B266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267">
      <c r="A267" t="inlineStr">
        <is>
          <t>reference product</t>
        </is>
      </c>
      <c r="B267" t="inlineStr">
        <is>
          <t>municipal solid waste</t>
        </is>
      </c>
    </row>
    <row r="268">
      <c r="A268" t="inlineStr">
        <is>
          <t>type</t>
        </is>
      </c>
      <c r="B268" t="inlineStr">
        <is>
          <t>process</t>
        </is>
      </c>
    </row>
    <row r="269">
      <c r="A269" t="inlineStr">
        <is>
          <t>unit</t>
        </is>
      </c>
      <c r="B269" t="inlineStr">
        <is>
          <t>kilogram</t>
        </is>
      </c>
    </row>
    <row r="270">
      <c r="A270" t="inlineStr">
        <is>
          <t>comment</t>
        </is>
      </c>
      <c r="B270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271">
      <c r="A271" s="1" t="inlineStr">
        <is>
          <t>Exchanges</t>
        </is>
      </c>
    </row>
    <row r="272">
      <c r="A272" s="7" t="inlineStr">
        <is>
          <t>name</t>
        </is>
      </c>
      <c r="B272" s="7" t="inlineStr">
        <is>
          <t>amount</t>
        </is>
      </c>
      <c r="C272" s="7" t="inlineStr">
        <is>
          <t>location</t>
        </is>
      </c>
      <c r="D272" s="7" t="inlineStr">
        <is>
          <t>unit</t>
        </is>
      </c>
      <c r="E272" s="7" t="inlineStr">
        <is>
          <t>categories</t>
        </is>
      </c>
      <c r="F272" s="7" t="inlineStr">
        <is>
          <t>type</t>
        </is>
      </c>
      <c r="G272" s="7" t="inlineStr">
        <is>
          <t>reference product</t>
        </is>
      </c>
      <c r="H272" s="7" t="inlineStr">
        <is>
          <t>comment</t>
        </is>
      </c>
      <c r="I272" s="7" t="inlineStr">
        <is>
          <t>normalization</t>
        </is>
      </c>
      <c r="J272" s="7" t="inlineStr">
        <is>
          <t>uncertainty type</t>
        </is>
      </c>
      <c r="K272" s="7" t="inlineStr">
        <is>
          <t>loc</t>
        </is>
      </c>
      <c r="L272" s="1" t="inlineStr">
        <is>
          <t>u1</t>
        </is>
      </c>
      <c r="M272" s="1" t="inlineStr">
        <is>
          <t>u2</t>
        </is>
      </c>
      <c r="N272" s="1" t="inlineStr">
        <is>
          <t>u3</t>
        </is>
      </c>
      <c r="O272" s="1" t="inlineStr">
        <is>
          <t>u4</t>
        </is>
      </c>
      <c r="P272" s="1" t="inlineStr">
        <is>
          <t>u5</t>
        </is>
      </c>
      <c r="Q272" s="1" t="inlineStr">
        <is>
          <t>u6</t>
        </is>
      </c>
      <c r="R272" s="1" t="inlineStr">
        <is>
          <t>ub</t>
        </is>
      </c>
      <c r="S272" s="1" t="inlineStr">
        <is>
          <t>scale</t>
        </is>
      </c>
    </row>
    <row r="273">
      <c r="A273" t="inlineStr">
        <is>
          <t>municipal waste incineration, at incineration plant, with wet air pollution control, with flue gas condensation, with electricity and heat recovery, with carbon capture and storage</t>
        </is>
      </c>
      <c r="B273">
        <f>unallocated!B276/I273</f>
        <v>1</v>
      </c>
      <c r="C273" t="inlineStr">
        <is>
          <t>RER</t>
        </is>
      </c>
      <c r="D273" t="inlineStr">
        <is>
          <t>kilogram</t>
        </is>
      </c>
      <c r="F273" t="inlineStr">
        <is>
          <t>production</t>
        </is>
      </c>
      <c r="G273" t="inlineStr">
        <is>
          <t>municipal solid waste</t>
        </is>
      </c>
      <c r="H273" t="inlineStr"/>
      <c r="I273" t="n">
        <v>1000</v>
      </c>
      <c r="J273" t="n">
        <v>0</v>
      </c>
      <c r="L273" s="5" t="n"/>
      <c r="M273" s="5" t="n"/>
      <c r="N273" s="5" t="n"/>
      <c r="O273" s="5" t="n"/>
      <c r="P273" s="5" t="n"/>
      <c r="Q273" s="5" t="n"/>
    </row>
    <row r="274">
      <c r="A274" t="inlineStr">
        <is>
          <t>market group for electricity, medium voltage</t>
        </is>
      </c>
      <c r="B274">
        <f>unallocated!B277/I274</f>
        <v>-0.317</v>
      </c>
      <c r="C274" t="inlineStr">
        <is>
          <t>RER</t>
        </is>
      </c>
      <c r="D274" t="inlineStr">
        <is>
          <t>kilowatt hour</t>
        </is>
      </c>
      <c r="F274" t="inlineStr">
        <is>
          <t>technosphere</t>
        </is>
      </c>
      <c r="G274" t="inlineStr">
        <is>
          <t>electricity, medium voltage</t>
        </is>
      </c>
      <c r="H274" t="inlineStr">
        <is>
          <t>Co-produced heat and electricity.</t>
        </is>
      </c>
      <c r="I274" t="n">
        <v>-1000</v>
      </c>
      <c r="J274" t="n">
        <v>0</v>
      </c>
      <c r="K274" s="3" t="n"/>
    </row>
    <row r="275">
      <c r="A275" t="inlineStr">
        <is>
          <t>market for heat, central or small-scale, natural gas</t>
        </is>
      </c>
      <c r="B275">
        <f>unallocated!B278/I275</f>
        <v>-7.4</v>
      </c>
      <c r="C275" t="inlineStr">
        <is>
          <t>Europe without Switzerland</t>
        </is>
      </c>
      <c r="D275" t="inlineStr">
        <is>
          <t>megajoule</t>
        </is>
      </c>
      <c r="F275" t="inlineStr">
        <is>
          <t>technosphere</t>
        </is>
      </c>
      <c r="G275" t="inlineStr">
        <is>
          <t>heat, central or small-scale, natural gas</t>
        </is>
      </c>
      <c r="H275" t="inlineStr">
        <is>
          <t>Co-produced heat and electricity.</t>
        </is>
      </c>
      <c r="I275" t="n">
        <v>-1000</v>
      </c>
      <c r="J275" t="n">
        <v>0</v>
      </c>
      <c r="K275" s="3" t="n"/>
    </row>
    <row r="276">
      <c r="A276" t="inlineStr">
        <is>
          <t>market for diesel, low-sulfur</t>
        </is>
      </c>
      <c r="B276">
        <f>unallocated!B279/I276</f>
        <v>8.5000000000000006E-5</v>
      </c>
      <c r="C276" t="inlineStr">
        <is>
          <t>Europe without Switzerland</t>
        </is>
      </c>
      <c r="D276" t="inlineStr">
        <is>
          <t>kilogram</t>
        </is>
      </c>
      <c r="F276" t="inlineStr">
        <is>
          <t>technosphere</t>
        </is>
      </c>
      <c r="G276" t="inlineStr">
        <is>
          <t>diesel, low-sulfur</t>
        </is>
      </c>
      <c r="H276" t="inlineStr">
        <is>
          <t>Diesel density: 0.85 kg/l</t>
        </is>
      </c>
      <c r="I276" t="n">
        <v>1000</v>
      </c>
      <c r="J276" t="n">
        <v>2</v>
      </c>
      <c r="K276" s="3">
        <f>LN(B276)</f>
        <v>-9.372859301473957</v>
      </c>
      <c r="L276" t="n">
        <v>1</v>
      </c>
      <c r="M276" t="n">
        <v>1</v>
      </c>
      <c r="N276" t="n">
        <v>1</v>
      </c>
      <c r="O276" t="n">
        <v>1.02</v>
      </c>
      <c r="P276" t="n">
        <v>1.2</v>
      </c>
      <c r="Q276" t="n">
        <v>1</v>
      </c>
      <c r="R276" t="n">
        <v>1.05</v>
      </c>
      <c r="S276">
        <f>LN(SQRT(EXP(
SQRT(
+POWER(LN(L276),2)
+POWER(LN(M276),2)
+POWER(LN(N276),2)
+POWER(LN(O276),2)
+POWER(LN(P276),2)
+POWER(LN(Q276),2)
+POWER(LN(R276),2)
)
)))</f>
        <v>9.4886477223156879E-2</v>
      </c>
    </row>
    <row r="277">
      <c r="A277" t="inlineStr">
        <is>
          <t>market for activated carbon, granular</t>
        </is>
      </c>
      <c r="B277">
        <f>unallocated!B280/I277</f>
        <v>4.0000000000000002E-4</v>
      </c>
      <c r="C277" t="inlineStr">
        <is>
          <t>GLO</t>
        </is>
      </c>
      <c r="D277" t="inlineStr">
        <is>
          <t>kilogram</t>
        </is>
      </c>
      <c r="F277" t="inlineStr">
        <is>
          <t>technosphere</t>
        </is>
      </c>
      <c r="G277" t="inlineStr">
        <is>
          <t>activated carbon, granular</t>
        </is>
      </c>
      <c r="I277" t="n">
        <v>1000</v>
      </c>
      <c r="J277" t="n">
        <v>2</v>
      </c>
      <c r="K277" s="3">
        <f>LN(B277)</f>
        <v>-7.8240460108562919</v>
      </c>
      <c r="L277" t="n">
        <v>1</v>
      </c>
      <c r="M277" t="n">
        <v>1</v>
      </c>
      <c r="N277" t="n">
        <v>1</v>
      </c>
      <c r="O277" t="n">
        <v>1.02</v>
      </c>
      <c r="P277" t="n">
        <v>1.2</v>
      </c>
      <c r="Q277" t="n">
        <v>1</v>
      </c>
      <c r="R277" t="n">
        <v>1.05</v>
      </c>
      <c r="S277">
        <f>LN(SQRT(EXP(
SQRT(
+POWER(LN(L277),2)
+POWER(LN(M277),2)
+POWER(LN(N277),2)
+POWER(LN(O277),2)
+POWER(LN(P277),2)
+POWER(LN(Q277),2)
+POWER(LN(R277),2)
)
)))</f>
        <v>9.4886477223156879E-2</v>
      </c>
    </row>
    <row r="278">
      <c r="A278" t="inlineStr">
        <is>
          <t>market for ammonia, anhydrous, liquid</t>
        </is>
      </c>
      <c r="B278">
        <f>unallocated!B281/I278</f>
        <v>9.7999999999999997E-4</v>
      </c>
      <c r="C278" t="inlineStr">
        <is>
          <t>RER</t>
        </is>
      </c>
      <c r="D278" t="inlineStr">
        <is>
          <t>kilogram</t>
        </is>
      </c>
      <c r="F278" t="inlineStr">
        <is>
          <t>technosphere</t>
        </is>
      </c>
      <c r="G278" t="inlineStr">
        <is>
          <t>ammonia, anhydrous, liquid</t>
        </is>
      </c>
      <c r="H278" t="inlineStr">
        <is>
          <t>100% liquid ammonia. In original publication, it is dilluated to 23.5% in water. We discount the original value by 75%.</t>
        </is>
      </c>
      <c r="I278" t="n">
        <v>1000</v>
      </c>
      <c r="J278" t="n">
        <v>2</v>
      </c>
      <c r="K278" s="3">
        <f>LN(B278)</f>
        <v>-6.9279579862996563</v>
      </c>
      <c r="L278" t="n">
        <v>1</v>
      </c>
      <c r="M278" t="n">
        <v>1</v>
      </c>
      <c r="N278" t="n">
        <v>1</v>
      </c>
      <c r="O278" t="n">
        <v>1.02</v>
      </c>
      <c r="P278" t="n">
        <v>1.2</v>
      </c>
      <c r="Q278" t="n">
        <v>1</v>
      </c>
      <c r="R278" t="n">
        <v>1.05</v>
      </c>
      <c r="S278">
        <f>LN(SQRT(EXP(
SQRT(
+POWER(LN(L278),2)
+POWER(LN(M278),2)
+POWER(LN(N278),2)
+POWER(LN(O278),2)
+POWER(LN(P278),2)
+POWER(LN(Q278),2)
+POWER(LN(R278),2)
)
)))</f>
        <v>9.4886477223156879E-2</v>
      </c>
    </row>
    <row r="279">
      <c r="A279" t="inlineStr">
        <is>
          <t>market for tap water</t>
        </is>
      </c>
      <c r="B279">
        <f>unallocated!B282/I279</f>
        <v>3.0200000000000001E-3</v>
      </c>
      <c r="C279" t="inlineStr">
        <is>
          <t>Europe without Switzerland</t>
        </is>
      </c>
      <c r="D279" t="inlineStr">
        <is>
          <t>kilogram</t>
        </is>
      </c>
      <c r="F279" t="inlineStr">
        <is>
          <t>technosphere</t>
        </is>
      </c>
      <c r="G279" t="inlineStr">
        <is>
          <t>tap water</t>
        </is>
      </c>
      <c r="H279" t="inlineStr">
        <is>
          <t>Used to dilute the ammonia.</t>
        </is>
      </c>
      <c r="I279" t="n">
        <v>1000</v>
      </c>
      <c r="J279" t="n">
        <v>2</v>
      </c>
      <c r="K279" s="3">
        <f>LN(B279)</f>
        <v>-5.8024984475953589</v>
      </c>
      <c r="L279" t="n">
        <v>1</v>
      </c>
      <c r="M279" t="n">
        <v>1</v>
      </c>
      <c r="N279" t="n">
        <v>1</v>
      </c>
      <c r="O279" t="n">
        <v>1.02</v>
      </c>
      <c r="P279" t="n">
        <v>1.2</v>
      </c>
      <c r="Q279" t="n">
        <v>1</v>
      </c>
      <c r="R279" t="n">
        <v>1.05</v>
      </c>
      <c r="S279">
        <f>LN(SQRT(EXP(
SQRT(
+POWER(LN(L279),2)
+POWER(LN(M279),2)
+POWER(LN(N279),2)
+POWER(LN(O279),2)
+POWER(LN(P279),2)
+POWER(LN(Q279),2)
+POWER(LN(R279),2)
)
)))</f>
        <v>9.4886477223156879E-2</v>
      </c>
    </row>
    <row r="280">
      <c r="A280" t="inlineStr">
        <is>
          <t>market for calcium carbonate, precipitated</t>
        </is>
      </c>
      <c r="B280">
        <f>unallocated!B283/I280</f>
        <v>7.0000000000000001E-3</v>
      </c>
      <c r="C280" t="inlineStr">
        <is>
          <t>RER</t>
        </is>
      </c>
      <c r="D280" t="inlineStr">
        <is>
          <t>kilogram</t>
        </is>
      </c>
      <c r="F280" t="inlineStr">
        <is>
          <t>technosphere</t>
        </is>
      </c>
      <c r="G280" t="inlineStr">
        <is>
          <t>calcium carbonate, precipitated</t>
        </is>
      </c>
      <c r="I280" t="n">
        <v>1000</v>
      </c>
      <c r="J280" t="n">
        <v>0</v>
      </c>
      <c r="K280" s="3" t="n"/>
    </row>
    <row r="281">
      <c r="A281" t="inlineStr">
        <is>
          <t>market for iron(III) chloride, without water, in 40% solution state</t>
        </is>
      </c>
      <c r="B281">
        <f>unallocated!B284/I281</f>
        <v>5.0000000000000002E-5</v>
      </c>
      <c r="C281" t="inlineStr">
        <is>
          <t>GLO</t>
        </is>
      </c>
      <c r="D281" t="inlineStr">
        <is>
          <t>kilogram</t>
        </is>
      </c>
      <c r="F281" t="inlineStr">
        <is>
          <t>technosphere</t>
        </is>
      </c>
      <c r="G281" t="inlineStr">
        <is>
          <t>iron(III) chloride, without water, in 40% solution state</t>
        </is>
      </c>
      <c r="I281" t="n">
        <v>1000</v>
      </c>
      <c r="J281" t="n">
        <v>0</v>
      </c>
      <c r="K281" s="3" t="n"/>
    </row>
    <row r="282">
      <c r="A282" t="inlineStr">
        <is>
          <t>market for lime, hydrated, packed</t>
        </is>
      </c>
      <c r="B282">
        <f>unallocated!B285/I282</f>
        <v>0</v>
      </c>
      <c r="C282" t="inlineStr">
        <is>
          <t>RER</t>
        </is>
      </c>
      <c r="D282" t="inlineStr">
        <is>
          <t>kilogram</t>
        </is>
      </c>
      <c r="F282" t="inlineStr">
        <is>
          <t>technosphere</t>
        </is>
      </c>
      <c r="G282" t="inlineStr">
        <is>
          <t>lime, hydrated, packed</t>
        </is>
      </c>
      <c r="I282" t="n">
        <v>1000</v>
      </c>
      <c r="J282" t="n">
        <v>0</v>
      </c>
      <c r="K282" s="3" t="n"/>
    </row>
    <row r="283">
      <c r="A283" t="inlineStr">
        <is>
          <t>market for sodium hydroxide, without water, in 50% solution state</t>
        </is>
      </c>
      <c r="B283">
        <f>unallocated!B286/I283</f>
        <v>5.0000000000000001E-4</v>
      </c>
      <c r="C283" t="inlineStr">
        <is>
          <t>RER</t>
        </is>
      </c>
      <c r="D283" t="inlineStr">
        <is>
          <t>kilogram</t>
        </is>
      </c>
      <c r="F283" t="inlineStr">
        <is>
          <t>technosphere</t>
        </is>
      </c>
      <c r="G283" t="inlineStr">
        <is>
          <t>sodium hydroxide, without water, in 50% solution state</t>
        </is>
      </c>
      <c r="H283" t="inlineStr">
        <is>
          <t>50% liquid ammonia. In original publication, it is dilluated to 27% in water. We discount the original value by 50%.</t>
        </is>
      </c>
      <c r="I283" t="n">
        <v>1000</v>
      </c>
      <c r="J283" t="n">
        <v>0</v>
      </c>
      <c r="K283" s="3" t="n"/>
    </row>
    <row r="284">
      <c r="A284" t="inlineStr">
        <is>
          <t>market for monoethanolamine</t>
        </is>
      </c>
      <c r="B284">
        <f>unallocated!B287/I284</f>
        <v>4.0000000000000001E-3</v>
      </c>
      <c r="C284" t="inlineStr">
        <is>
          <t>GLO</t>
        </is>
      </c>
      <c r="D284" t="inlineStr">
        <is>
          <t>kilogram</t>
        </is>
      </c>
      <c r="F284" t="inlineStr">
        <is>
          <t>technosphere</t>
        </is>
      </c>
      <c r="G284" t="inlineStr">
        <is>
          <t>monoethanolamine</t>
        </is>
      </c>
      <c r="I284" t="n">
        <v>1000</v>
      </c>
      <c r="J284" t="n">
        <v>0</v>
      </c>
      <c r="K284" s="3" t="n"/>
    </row>
    <row r="285">
      <c r="A285" t="inlineStr">
        <is>
          <t>municipal waste incineration facility construction</t>
        </is>
      </c>
      <c r="B285">
        <f>unallocated!B288/I285</f>
        <v>2.4999999999999996E-10</v>
      </c>
      <c r="C285" t="inlineStr">
        <is>
          <t>CH</t>
        </is>
      </c>
      <c r="D285" t="inlineStr">
        <is>
          <t>unit</t>
        </is>
      </c>
      <c r="F285" t="inlineStr">
        <is>
          <t>technosphere</t>
        </is>
      </c>
      <c r="G285" t="inlineStr">
        <is>
          <t>municipal waste incineration facility</t>
        </is>
      </c>
      <c r="H285" t="inlineStr">
        <is>
          <t>Lifetime: 4'000'000 tons MSWI treated.</t>
        </is>
      </c>
      <c r="I285" t="n">
        <v>1000</v>
      </c>
      <c r="J285" t="n">
        <v>2</v>
      </c>
      <c r="K285" s="3">
        <f>LN(B285)</f>
        <v>-22.109560198066301</v>
      </c>
      <c r="L285" t="n">
        <v>1</v>
      </c>
      <c r="M285" t="n">
        <v>1</v>
      </c>
      <c r="N285" t="n">
        <v>1</v>
      </c>
      <c r="O285" t="n">
        <v>1.02</v>
      </c>
      <c r="P285" t="n">
        <v>1.2</v>
      </c>
      <c r="Q285" t="n">
        <v>1</v>
      </c>
      <c r="R285" t="n">
        <v>3</v>
      </c>
      <c r="S285">
        <f>LN(SQRT(EXP(
SQRT(
+POWER(LN(L285),2)
+POWER(LN(M285),2)
+POWER(LN(N285),2)
+POWER(LN(O285),2)
+POWER(LN(P285),2)
+POWER(LN(Q285),2)
+POWER(LN(R285),2)
)
)))</f>
        <v>0.5569071410325479</v>
      </c>
    </row>
    <row r="286">
      <c r="A286" t="inlineStr">
        <is>
          <t>carbon dioxide storage at wood burning power plant 20 MW post, pipeline 200km, storage 1000m</t>
        </is>
      </c>
      <c r="B286">
        <f>unallocated!B289/I286</f>
        <v>0.82299999999999995</v>
      </c>
      <c r="C286" t="inlineStr">
        <is>
          <t>RER</t>
        </is>
      </c>
      <c r="D286" t="inlineStr">
        <is>
          <t>kilogram</t>
        </is>
      </c>
      <c r="F286" t="inlineStr">
        <is>
          <t>technosphere</t>
        </is>
      </c>
      <c r="G286" t="inlineStr">
        <is>
          <t>carbon dioxide storage at wood burning power plant 20 MW post, pipeline 200km, storage 1000m</t>
        </is>
      </c>
      <c r="I286" t="n">
        <v>1000</v>
      </c>
      <c r="J286" t="n">
        <v>2</v>
      </c>
      <c r="K286" s="3">
        <f>LN(B286)</f>
        <v>-0.19479907830506729</v>
      </c>
      <c r="L286" t="n">
        <v>1</v>
      </c>
      <c r="M286" t="n">
        <v>1</v>
      </c>
      <c r="N286" t="n">
        <v>1</v>
      </c>
      <c r="O286" t="n">
        <v>1.02</v>
      </c>
      <c r="P286" t="n">
        <v>1.2</v>
      </c>
      <c r="Q286" t="n">
        <v>1</v>
      </c>
      <c r="R286" t="n">
        <v>3</v>
      </c>
      <c r="S286">
        <f>LN(SQRT(EXP(
SQRT(
+POWER(LN(L286),2)
+POWER(LN(M286),2)
+POWER(LN(N286),2)
+POWER(LN(O286),2)
+POWER(LN(P286),2)
+POWER(LN(Q286),2)
+POWER(LN(R286),2)
)
)))</f>
        <v>0.5569071410325479</v>
      </c>
    </row>
    <row r="287">
      <c r="A287" t="inlineStr">
        <is>
          <t>Water, cooling, unspecified natural origin</t>
        </is>
      </c>
      <c r="B287">
        <f>unallocated!B290/I287</f>
        <v>0</v>
      </c>
      <c r="D287" t="inlineStr">
        <is>
          <t>cubic meter</t>
        </is>
      </c>
      <c r="E287" t="inlineStr">
        <is>
          <t>natural resource::in water</t>
        </is>
      </c>
      <c r="F287" t="inlineStr">
        <is>
          <t>biosphere</t>
        </is>
      </c>
      <c r="I287" t="n">
        <v>1000</v>
      </c>
      <c r="J287" t="n">
        <v>0</v>
      </c>
      <c r="K287" s="3" t="n"/>
    </row>
    <row r="288">
      <c r="A288" t="inlineStr">
        <is>
          <t>Sulfur dioxide</t>
        </is>
      </c>
      <c r="B288">
        <f>unallocated!B291/I288</f>
        <v>6.0000000000000002E-6</v>
      </c>
      <c r="D288" t="inlineStr">
        <is>
          <t>kilogram</t>
        </is>
      </c>
      <c r="E288" t="inlineStr">
        <is>
          <t>air::urban air close to ground</t>
        </is>
      </c>
      <c r="F288" t="inlineStr">
        <is>
          <t>biosphere</t>
        </is>
      </c>
      <c r="I288" t="n">
        <v>1000</v>
      </c>
      <c r="J288" t="n">
        <v>2</v>
      </c>
      <c r="K288" s="3">
        <f>LN(B288)</f>
        <v>-12.023751088736219</v>
      </c>
      <c r="L288" t="n">
        <v>1</v>
      </c>
      <c r="M288" t="n">
        <v>1</v>
      </c>
      <c r="N288" t="n">
        <v>1</v>
      </c>
      <c r="O288" t="n">
        <v>1.02</v>
      </c>
      <c r="P288" t="n">
        <v>1.2</v>
      </c>
      <c r="Q288" t="n">
        <v>1</v>
      </c>
      <c r="R288" t="n">
        <v>1.05</v>
      </c>
      <c r="S288">
        <f>LN(SQRT(EXP(
SQRT(
+POWER(LN(L288),2)
+POWER(LN(M288),2)
+POWER(LN(N288),2)
+POWER(LN(O288),2)
+POWER(LN(P288),2)
+POWER(LN(Q288),2)
+POWER(LN(R288),2)
)
)))</f>
        <v>9.4886477223156879E-2</v>
      </c>
    </row>
    <row r="289">
      <c r="A289" t="inlineStr">
        <is>
          <t>Hydrochloric acid</t>
        </is>
      </c>
      <c r="B289">
        <f>unallocated!B292/I289</f>
        <v>3.0000000000000001E-6</v>
      </c>
      <c r="D289" t="inlineStr">
        <is>
          <t>kilogram</t>
        </is>
      </c>
      <c r="E289" t="inlineStr">
        <is>
          <t>air</t>
        </is>
      </c>
      <c r="F289" t="inlineStr">
        <is>
          <t>biosphere</t>
        </is>
      </c>
      <c r="I289" t="n">
        <v>1000</v>
      </c>
      <c r="J289" t="n">
        <v>2</v>
      </c>
      <c r="K289" s="3">
        <f>LN(B289)</f>
        <v>-12.716898269296165</v>
      </c>
      <c r="L289" t="n">
        <v>1</v>
      </c>
      <c r="M289" t="n">
        <v>1</v>
      </c>
      <c r="N289" t="n">
        <v>1</v>
      </c>
      <c r="O289" t="n">
        <v>1.02</v>
      </c>
      <c r="P289" t="n">
        <v>1.2</v>
      </c>
      <c r="Q289" t="n">
        <v>1</v>
      </c>
      <c r="R289" t="n">
        <v>1.5</v>
      </c>
      <c r="S289">
        <f>LN(SQRT(EXP(
SQRT(
+POWER(LN(L289),2)
+POWER(LN(M289),2)
+POWER(LN(N289),2)
+POWER(LN(O289),2)
+POWER(LN(P289),2)
+POWER(LN(Q289),2)
+POWER(LN(R289),2)
)
)))</f>
        <v>0.22250575723605889</v>
      </c>
    </row>
    <row r="290">
      <c r="A290" t="inlineStr">
        <is>
          <t>Nitrogen oxides</t>
        </is>
      </c>
      <c r="B290">
        <f>unallocated!B293/I290</f>
        <v>6.7700000000000008E-4</v>
      </c>
      <c r="D290" t="inlineStr">
        <is>
          <t>kilogram</t>
        </is>
      </c>
      <c r="E290" t="inlineStr">
        <is>
          <t>air::urban air close to ground</t>
        </is>
      </c>
      <c r="F290" t="inlineStr">
        <is>
          <t>biosphere</t>
        </is>
      </c>
      <c r="I290" t="n">
        <v>1000</v>
      </c>
      <c r="J290" t="n">
        <v>2</v>
      </c>
      <c r="K290" s="3">
        <f>LN(B290)</f>
        <v>-7.2978392850519986</v>
      </c>
      <c r="L290" t="n">
        <v>1</v>
      </c>
      <c r="M290" t="n">
        <v>1</v>
      </c>
      <c r="N290" t="n">
        <v>1</v>
      </c>
      <c r="O290" t="n">
        <v>1.02</v>
      </c>
      <c r="P290" t="n">
        <v>1.2</v>
      </c>
      <c r="Q290" t="n">
        <v>1</v>
      </c>
      <c r="R290" t="n">
        <v>1.5</v>
      </c>
      <c r="S290">
        <f>LN(SQRT(EXP(
SQRT(
+POWER(LN(L290),2)
+POWER(LN(M290),2)
+POWER(LN(N290),2)
+POWER(LN(O290),2)
+POWER(LN(P290),2)
+POWER(LN(Q290),2)
+POWER(LN(R290),2)
)
)))</f>
        <v>0.22250575723605889</v>
      </c>
    </row>
    <row r="291">
      <c r="A291" t="inlineStr">
        <is>
          <t>Ammonia</t>
        </is>
      </c>
      <c r="B291">
        <f>unallocated!B294/I291</f>
        <v>2.0000000000000002E-5</v>
      </c>
      <c r="D291" t="inlineStr">
        <is>
          <t>kilogram</t>
        </is>
      </c>
      <c r="E291" t="inlineStr">
        <is>
          <t>air::urban air close to ground</t>
        </is>
      </c>
      <c r="F291" t="inlineStr">
        <is>
          <t>biosphere</t>
        </is>
      </c>
      <c r="I291" t="n">
        <v>1000</v>
      </c>
      <c r="J291" t="n">
        <v>2</v>
      </c>
      <c r="K291" s="3">
        <f>LN(B291)</f>
        <v>-10.819778284410283</v>
      </c>
      <c r="L291" t="n">
        <v>1</v>
      </c>
      <c r="M291" t="n">
        <v>1</v>
      </c>
      <c r="N291" t="n">
        <v>1</v>
      </c>
      <c r="O291" t="n">
        <v>1.02</v>
      </c>
      <c r="P291" t="n">
        <v>1.2</v>
      </c>
      <c r="Q291" t="n">
        <v>1</v>
      </c>
      <c r="R291" t="n">
        <v>1.5</v>
      </c>
      <c r="S291">
        <f>LN(SQRT(EXP(
SQRT(
+POWER(LN(L291),2)
+POWER(LN(M291),2)
+POWER(LN(N291),2)
+POWER(LN(O291),2)
+POWER(LN(P291),2)
+POWER(LN(Q291),2)
+POWER(LN(R291),2)
)
)))</f>
        <v>0.22250575723605889</v>
      </c>
    </row>
    <row r="292">
      <c r="A292" t="inlineStr">
        <is>
          <t>Particulate Matter, &lt; 2.5 um</t>
        </is>
      </c>
      <c r="B292">
        <f>unallocated!B295/I292</f>
        <v>6.0000000000000002E-6</v>
      </c>
      <c r="D292" t="inlineStr">
        <is>
          <t>kilogram</t>
        </is>
      </c>
      <c r="E292" t="inlineStr">
        <is>
          <t>air::urban air close to ground</t>
        </is>
      </c>
      <c r="F292" t="inlineStr">
        <is>
          <t>biosphere</t>
        </is>
      </c>
      <c r="I292" t="n">
        <v>1000</v>
      </c>
      <c r="J292" t="n">
        <v>2</v>
      </c>
      <c r="K292" s="3">
        <f>LN(B292)</f>
        <v>-12.023751088736219</v>
      </c>
      <c r="L292" t="n">
        <v>1</v>
      </c>
      <c r="M292" t="n">
        <v>1</v>
      </c>
      <c r="N292" t="n">
        <v>1</v>
      </c>
      <c r="O292" t="n">
        <v>1.02</v>
      </c>
      <c r="P292" t="n">
        <v>1.2</v>
      </c>
      <c r="Q292" t="n">
        <v>1</v>
      </c>
      <c r="R292" t="n">
        <v>3</v>
      </c>
      <c r="S292">
        <f>LN(SQRT(EXP(
SQRT(
+POWER(LN(L292),2)
+POWER(LN(M292),2)
+POWER(LN(N292),2)
+POWER(LN(O292),2)
+POWER(LN(P292),2)
+POWER(LN(Q292),2)
+POWER(LN(R292),2)
)
)))</f>
        <v>0.5569071410325479</v>
      </c>
    </row>
    <row r="293">
      <c r="A293" t="inlineStr">
        <is>
          <t>Mercury II</t>
        </is>
      </c>
      <c r="B293">
        <f>unallocated!B296/I293</f>
        <v>6E-9</v>
      </c>
      <c r="D293" t="inlineStr">
        <is>
          <t>kilogram</t>
        </is>
      </c>
      <c r="E293" t="inlineStr">
        <is>
          <t>air::urban air close to ground</t>
        </is>
      </c>
      <c r="F293" t="inlineStr">
        <is>
          <t>biosphere</t>
        </is>
      </c>
      <c r="I293" t="n">
        <v>1000</v>
      </c>
      <c r="J293" t="n">
        <v>2</v>
      </c>
      <c r="K293" s="3">
        <f>LN(B293)</f>
        <v>-18.931506367718356</v>
      </c>
      <c r="L293" t="n">
        <v>1</v>
      </c>
      <c r="M293" t="n">
        <v>1</v>
      </c>
      <c r="N293" t="n">
        <v>1</v>
      </c>
      <c r="O293" t="n">
        <v>1.02</v>
      </c>
      <c r="P293" t="n">
        <v>1.2</v>
      </c>
      <c r="Q293" t="n">
        <v>1</v>
      </c>
      <c r="R293" t="n">
        <v>5</v>
      </c>
      <c r="S293">
        <f>LN(SQRT(EXP(
SQRT(
+POWER(LN(L293),2)
+POWER(LN(M293),2)
+POWER(LN(N293),2)
+POWER(LN(O293),2)
+POWER(LN(P293),2)
+POWER(LN(Q293),2)
+POWER(LN(R293),2)
)
)))</f>
        <v>0.80992649174166365</v>
      </c>
    </row>
    <row r="294">
      <c r="A294" t="inlineStr">
        <is>
          <t>Lead II</t>
        </is>
      </c>
      <c r="B294">
        <f>unallocated!B297/I294</f>
        <v>6E-9</v>
      </c>
      <c r="D294" t="inlineStr">
        <is>
          <t>kilogram</t>
        </is>
      </c>
      <c r="E294" t="inlineStr">
        <is>
          <t>air::urban air close to ground</t>
        </is>
      </c>
      <c r="F294" t="inlineStr">
        <is>
          <t>biosphere</t>
        </is>
      </c>
      <c r="I294" t="n">
        <v>1000</v>
      </c>
      <c r="J294" t="n">
        <v>2</v>
      </c>
      <c r="K294" s="3">
        <f>LN(B294)</f>
        <v>-18.931506367718356</v>
      </c>
      <c r="L294" t="n">
        <v>1</v>
      </c>
      <c r="M294" t="n">
        <v>1</v>
      </c>
      <c r="N294" t="n">
        <v>1</v>
      </c>
      <c r="O294" t="n">
        <v>1.02</v>
      </c>
      <c r="P294" t="n">
        <v>1.2</v>
      </c>
      <c r="Q294" t="n">
        <v>1</v>
      </c>
      <c r="R294" t="n">
        <v>5</v>
      </c>
      <c r="S294">
        <f>LN(SQRT(EXP(
SQRT(
+POWER(LN(L294),2)
+POWER(LN(M294),2)
+POWER(LN(N294),2)
+POWER(LN(O294),2)
+POWER(LN(P294),2)
+POWER(LN(Q294),2)
+POWER(LN(R294),2)
)
)))</f>
        <v>0.80992649174166365</v>
      </c>
    </row>
    <row r="295">
      <c r="A295" t="inlineStr">
        <is>
          <t>Cadmium II</t>
        </is>
      </c>
      <c r="B295">
        <f>unallocated!B298/I295</f>
        <v>3E-9</v>
      </c>
      <c r="D295" t="inlineStr">
        <is>
          <t>kilogram</t>
        </is>
      </c>
      <c r="E295" t="inlineStr">
        <is>
          <t>air::urban air close to ground</t>
        </is>
      </c>
      <c r="F295" t="inlineStr">
        <is>
          <t>biosphere</t>
        </is>
      </c>
      <c r="I295" t="n">
        <v>1000</v>
      </c>
      <c r="J295" t="n">
        <v>2</v>
      </c>
      <c r="K295" s="3">
        <f>LN(B295)</f>
        <v>-19.624653548278303</v>
      </c>
      <c r="L295" t="n">
        <v>1</v>
      </c>
      <c r="M295" t="n">
        <v>1</v>
      </c>
      <c r="N295" t="n">
        <v>1</v>
      </c>
      <c r="O295" t="n">
        <v>1.02</v>
      </c>
      <c r="P295" t="n">
        <v>1.2</v>
      </c>
      <c r="Q295" t="n">
        <v>1</v>
      </c>
      <c r="R295" t="n">
        <v>5</v>
      </c>
      <c r="S295">
        <f>LN(SQRT(EXP(
SQRT(
+POWER(LN(L295),2)
+POWER(LN(M295),2)
+POWER(LN(N295),2)
+POWER(LN(O295),2)
+POWER(LN(P295),2)
+POWER(LN(Q295),2)
+POWER(LN(R295),2)
)
)))</f>
        <v>0.80992649174166365</v>
      </c>
    </row>
    <row r="296">
      <c r="A296" t="inlineStr">
        <is>
          <t>Arsenic ion</t>
        </is>
      </c>
      <c r="B296">
        <f>unallocated!B299/I296</f>
        <v>3E-9</v>
      </c>
      <c r="D296" t="inlineStr">
        <is>
          <t>kilogram</t>
        </is>
      </c>
      <c r="E296" t="inlineStr">
        <is>
          <t>air::urban air close to ground</t>
        </is>
      </c>
      <c r="F296" t="inlineStr">
        <is>
          <t>biosphere</t>
        </is>
      </c>
      <c r="I296" t="n">
        <v>1000</v>
      </c>
      <c r="J296" t="n">
        <v>2</v>
      </c>
      <c r="K296" s="3">
        <f>LN(B296)</f>
        <v>-19.624653548278303</v>
      </c>
      <c r="L296" t="n">
        <v>1</v>
      </c>
      <c r="M296" t="n">
        <v>1</v>
      </c>
      <c r="N296" t="n">
        <v>1</v>
      </c>
      <c r="O296" t="n">
        <v>1.02</v>
      </c>
      <c r="P296" t="n">
        <v>1.2</v>
      </c>
      <c r="Q296" t="n">
        <v>1</v>
      </c>
      <c r="R296" t="n">
        <v>5</v>
      </c>
      <c r="S296">
        <f>LN(SQRT(EXP(
SQRT(
+POWER(LN(L296),2)
+POWER(LN(M296),2)
+POWER(LN(N296),2)
+POWER(LN(O296),2)
+POWER(LN(P296),2)
+POWER(LN(Q296),2)
+POWER(LN(R296),2)
)
)))</f>
        <v>0.80992649174166365</v>
      </c>
    </row>
    <row r="297">
      <c r="A297" t="inlineStr">
        <is>
          <t>Dioxins, measured as 2,3,7,8-tetrachlorodibenzo-p-dioxin</t>
        </is>
      </c>
      <c r="B297">
        <f>unallocated!B300/I297</f>
        <v>1.1000000000000001E-13</v>
      </c>
      <c r="D297" t="inlineStr">
        <is>
          <t>kilogram</t>
        </is>
      </c>
      <c r="E297" t="inlineStr">
        <is>
          <t>air::urban air close to ground</t>
        </is>
      </c>
      <c r="F297" t="inlineStr">
        <is>
          <t>biosphere</t>
        </is>
      </c>
      <c r="I297" t="n">
        <v>1000</v>
      </c>
      <c r="J297" t="n">
        <v>2</v>
      </c>
      <c r="K297" s="3">
        <f>LN(B297)</f>
        <v>-29.838296029118268</v>
      </c>
      <c r="L297" t="n">
        <v>1</v>
      </c>
      <c r="M297" t="n">
        <v>1</v>
      </c>
      <c r="N297" t="n">
        <v>1</v>
      </c>
      <c r="O297" t="n">
        <v>1.02</v>
      </c>
      <c r="P297" t="n">
        <v>1.2</v>
      </c>
      <c r="Q297" t="n">
        <v>1</v>
      </c>
      <c r="R297" t="n">
        <v>5</v>
      </c>
      <c r="S297">
        <f>LN(SQRT(EXP(
SQRT(
+POWER(LN(L297),2)
+POWER(LN(M297),2)
+POWER(LN(N297),2)
+POWER(LN(O297),2)
+POWER(LN(P297),2)
+POWER(LN(Q297),2)
+POWER(LN(R297),2)
)
)))</f>
        <v>0.80992649174166365</v>
      </c>
    </row>
    <row r="298">
      <c r="A298" t="inlineStr">
        <is>
          <t>Carbon dioxide, fossil</t>
        </is>
      </c>
      <c r="B298">
        <f>unallocated!B301/I298</f>
        <v>5.6000000000000001E-2</v>
      </c>
      <c r="D298" t="inlineStr">
        <is>
          <t>kilogram</t>
        </is>
      </c>
      <c r="E298" t="inlineStr">
        <is>
          <t>air::urban air close to ground</t>
        </is>
      </c>
      <c r="F298" t="inlineStr">
        <is>
          <t>biosphere</t>
        </is>
      </c>
      <c r="I298" t="n">
        <v>1000</v>
      </c>
      <c r="J298" t="n">
        <v>2</v>
      </c>
      <c r="K298" s="3">
        <f>LN(B298)</f>
        <v>-2.8824035882469876</v>
      </c>
      <c r="L298" t="n">
        <v>1</v>
      </c>
      <c r="M298" t="n">
        <v>1</v>
      </c>
      <c r="N298" t="n">
        <v>1</v>
      </c>
      <c r="O298" t="n">
        <v>1.02</v>
      </c>
      <c r="P298" t="n">
        <v>1.2</v>
      </c>
      <c r="Q298" t="n">
        <v>1</v>
      </c>
      <c r="R298" t="n">
        <v>1.05</v>
      </c>
      <c r="S298">
        <f>LN(SQRT(EXP(
SQRT(
+POWER(LN(L298),2)
+POWER(LN(M298),2)
+POWER(LN(N298),2)
+POWER(LN(O298),2)
+POWER(LN(P298),2)
+POWER(LN(Q298),2)
+POWER(LN(R298),2)
)
)))</f>
        <v>9.4886477223156879E-2</v>
      </c>
    </row>
    <row r="299">
      <c r="A299" t="inlineStr">
        <is>
          <t>Carbon dioxide, non-fossil</t>
        </is>
      </c>
      <c r="B299">
        <f>unallocated!B302/I299</f>
        <v>8.8999999999999996E-2</v>
      </c>
      <c r="D299" t="inlineStr">
        <is>
          <t>kilogram</t>
        </is>
      </c>
      <c r="E299" t="inlineStr">
        <is>
          <t>air::urban air close to ground</t>
        </is>
      </c>
      <c r="F299" t="inlineStr">
        <is>
          <t>biosphere</t>
        </is>
      </c>
      <c r="I299" t="n">
        <v>1000</v>
      </c>
      <c r="J299" t="n">
        <v>2</v>
      </c>
      <c r="K299" s="3">
        <f>LN(B299)</f>
        <v>-2.4191189092499972</v>
      </c>
      <c r="L299" t="n">
        <v>1</v>
      </c>
      <c r="M299" t="n">
        <v>1</v>
      </c>
      <c r="N299" t="n">
        <v>1</v>
      </c>
      <c r="O299" t="n">
        <v>1.02</v>
      </c>
      <c r="P299" t="n">
        <v>1.2</v>
      </c>
      <c r="Q299" t="n">
        <v>1</v>
      </c>
      <c r="R299" t="n">
        <v>1.05</v>
      </c>
      <c r="S299">
        <f>LN(SQRT(EXP(
SQRT(
+POWER(LN(L299),2)
+POWER(LN(M299),2)
+POWER(LN(N299),2)
+POWER(LN(O299),2)
+POWER(LN(P299),2)
+POWER(LN(Q299),2)
+POWER(LN(R299),2)
)
)))</f>
        <v>9.4886477223156879E-2</v>
      </c>
    </row>
    <row r="300">
      <c r="A300" t="inlineStr">
        <is>
          <t>Carbon dioxide, in air</t>
        </is>
      </c>
      <c r="B300">
        <f>unallocated!B303/I300</f>
        <v>0.505</v>
      </c>
      <c r="D300" t="inlineStr">
        <is>
          <t>kilogram</t>
        </is>
      </c>
      <c r="E300" t="inlineStr">
        <is>
          <t>natural resource::in air</t>
        </is>
      </c>
      <c r="F300" t="inlineStr">
        <is>
          <t>biosphere</t>
        </is>
      </c>
      <c r="H300" t="inlineStr">
        <is>
          <t>To reflect the permanent storage of non-fossil CO.</t>
        </is>
      </c>
      <c r="I300" t="n">
        <v>1000</v>
      </c>
      <c r="J300" t="n">
        <v>2</v>
      </c>
      <c r="K300" s="3">
        <f>LN(B300)</f>
        <v>-0.68319684970677719</v>
      </c>
      <c r="L300" t="n">
        <v>1</v>
      </c>
      <c r="M300" t="n">
        <v>1</v>
      </c>
      <c r="N300" t="n">
        <v>1</v>
      </c>
      <c r="O300" t="n">
        <v>1.02</v>
      </c>
      <c r="P300" t="n">
        <v>1.2</v>
      </c>
      <c r="Q300" t="n">
        <v>1</v>
      </c>
      <c r="R300" t="n">
        <v>1.05</v>
      </c>
      <c r="S300">
        <f>LN(SQRT(EXP(
SQRT(
+POWER(LN(L300),2)
+POWER(LN(M300),2)
+POWER(LN(N300),2)
+POWER(LN(O300),2)
+POWER(LN(P300),2)
+POWER(LN(Q300),2)
+POWER(LN(R300),2)
)
)))</f>
        <v>9.4886477223156879E-2</v>
      </c>
    </row>
    <row r="301"/>
    <row r="302">
      <c r="A302" s="1" t="inlineStr">
        <is>
          <t>Activity</t>
        </is>
      </c>
      <c r="B302" s="1" t="inlineStr">
        <is>
          <t>municipal waste incineration, at incineration plant, with wet air pollution control, with flue gas condensation, with electricity and optimized heat recovery, with carbon capture and storage</t>
        </is>
      </c>
    </row>
    <row r="303">
      <c r="A303" t="inlineStr">
        <is>
          <t>location</t>
        </is>
      </c>
      <c r="B303" t="inlineStr">
        <is>
          <t>RER</t>
        </is>
      </c>
    </row>
    <row r="304">
      <c r="A304" t="inlineStr">
        <is>
          <t>production amount</t>
        </is>
      </c>
      <c r="B304" t="n">
        <v>1</v>
      </c>
    </row>
    <row r="305">
      <c r="A305" s="2" t="inlineStr">
        <is>
          <t>source</t>
        </is>
      </c>
      <c r="B305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306">
      <c r="A306" t="inlineStr">
        <is>
          <t>reference product</t>
        </is>
      </c>
      <c r="B306" t="inlineStr">
        <is>
          <t>municipal solid waste</t>
        </is>
      </c>
    </row>
    <row r="307">
      <c r="A307" t="inlineStr">
        <is>
          <t>type</t>
        </is>
      </c>
      <c r="B307" t="inlineStr">
        <is>
          <t>process</t>
        </is>
      </c>
    </row>
    <row r="308">
      <c r="A308" t="inlineStr">
        <is>
          <t>unit</t>
        </is>
      </c>
      <c r="B308" t="inlineStr">
        <is>
          <t>kilogram</t>
        </is>
      </c>
    </row>
    <row r="309">
      <c r="A309" t="inlineStr">
        <is>
          <t>comment</t>
        </is>
      </c>
      <c r="B309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310">
      <c r="A310" s="1" t="inlineStr">
        <is>
          <t>Exchanges</t>
        </is>
      </c>
    </row>
    <row r="311">
      <c r="A311" s="7" t="inlineStr">
        <is>
          <t>name</t>
        </is>
      </c>
      <c r="B311" s="7" t="inlineStr">
        <is>
          <t>amount</t>
        </is>
      </c>
      <c r="C311" s="7" t="inlineStr">
        <is>
          <t>location</t>
        </is>
      </c>
      <c r="D311" s="7" t="inlineStr">
        <is>
          <t>unit</t>
        </is>
      </c>
      <c r="E311" s="7" t="inlineStr">
        <is>
          <t>categories</t>
        </is>
      </c>
      <c r="F311" s="7" t="inlineStr">
        <is>
          <t>type</t>
        </is>
      </c>
      <c r="G311" s="7" t="inlineStr">
        <is>
          <t>reference product</t>
        </is>
      </c>
      <c r="H311" s="7" t="inlineStr">
        <is>
          <t>comment</t>
        </is>
      </c>
      <c r="I311" s="7" t="inlineStr">
        <is>
          <t>normalization</t>
        </is>
      </c>
      <c r="J311" s="7" t="inlineStr">
        <is>
          <t>uncertainty type</t>
        </is>
      </c>
      <c r="K311" s="7" t="inlineStr">
        <is>
          <t>loc</t>
        </is>
      </c>
      <c r="L311" s="1" t="inlineStr">
        <is>
          <t>u1</t>
        </is>
      </c>
      <c r="M311" s="1" t="inlineStr">
        <is>
          <t>u2</t>
        </is>
      </c>
      <c r="N311" s="1" t="inlineStr">
        <is>
          <t>u3</t>
        </is>
      </c>
      <c r="O311" s="1" t="inlineStr">
        <is>
          <t>u4</t>
        </is>
      </c>
      <c r="P311" s="1" t="inlineStr">
        <is>
          <t>u5</t>
        </is>
      </c>
      <c r="Q311" s="1" t="inlineStr">
        <is>
          <t>u6</t>
        </is>
      </c>
      <c r="R311" s="1" t="inlineStr">
        <is>
          <t>ub</t>
        </is>
      </c>
      <c r="S311" s="1" t="inlineStr">
        <is>
          <t>scale</t>
        </is>
      </c>
    </row>
    <row r="312">
      <c r="A312" t="inlineStr">
        <is>
          <t>municipal waste incineration, at incineration plant, with wet air pollution control, with flue gas condensation, with electricity and optimized heat recovery, with carbon capture and storage</t>
        </is>
      </c>
      <c r="B312">
        <f>unallocated!B315/I312</f>
        <v>1</v>
      </c>
      <c r="C312" t="inlineStr">
        <is>
          <t>RER</t>
        </is>
      </c>
      <c r="D312" t="inlineStr">
        <is>
          <t>kilogram</t>
        </is>
      </c>
      <c r="F312" t="inlineStr">
        <is>
          <t>production</t>
        </is>
      </c>
      <c r="G312" t="inlineStr">
        <is>
          <t>municipal solid waste</t>
        </is>
      </c>
      <c r="H312" t="inlineStr"/>
      <c r="I312" t="n">
        <v>1000</v>
      </c>
      <c r="J312" t="n">
        <v>0</v>
      </c>
      <c r="L312" s="5" t="n"/>
      <c r="M312" s="5" t="n"/>
      <c r="N312" s="5" t="n"/>
      <c r="O312" s="5" t="n"/>
      <c r="P312" s="5" t="n"/>
      <c r="Q312" s="5" t="n"/>
    </row>
    <row r="313">
      <c r="A313" t="inlineStr">
        <is>
          <t>market group for electricity, medium voltage</t>
        </is>
      </c>
      <c r="B313">
        <f>unallocated!B316/I313</f>
        <v>-0.47299999999999998</v>
      </c>
      <c r="C313" t="inlineStr">
        <is>
          <t>RER</t>
        </is>
      </c>
      <c r="D313" t="inlineStr">
        <is>
          <t>kilowatt hour</t>
        </is>
      </c>
      <c r="F313" t="inlineStr">
        <is>
          <t>technosphere</t>
        </is>
      </c>
      <c r="G313" t="inlineStr">
        <is>
          <t>electricity, medium voltage</t>
        </is>
      </c>
      <c r="H313" t="inlineStr">
        <is>
          <t>Co-produced heat and electricity.</t>
        </is>
      </c>
      <c r="I313" t="n">
        <v>-1000</v>
      </c>
      <c r="J313" t="n">
        <v>0</v>
      </c>
      <c r="K313" s="3" t="n"/>
    </row>
    <row r="314">
      <c r="A314" t="inlineStr">
        <is>
          <t>market for heat, central or small-scale, natural gas</t>
        </is>
      </c>
      <c r="B314">
        <f>unallocated!B317/I314</f>
        <v>-8.51</v>
      </c>
      <c r="C314" t="inlineStr">
        <is>
          <t>Europe without Switzerland</t>
        </is>
      </c>
      <c r="D314" t="inlineStr">
        <is>
          <t>megajoule</t>
        </is>
      </c>
      <c r="F314" t="inlineStr">
        <is>
          <t>technosphere</t>
        </is>
      </c>
      <c r="G314" t="inlineStr">
        <is>
          <t>heat, central or small-scale, natural gas</t>
        </is>
      </c>
      <c r="H314" t="inlineStr">
        <is>
          <t>Co-produced heat and electricity.</t>
        </is>
      </c>
      <c r="I314" t="n">
        <v>-1000</v>
      </c>
      <c r="J314" t="n">
        <v>0</v>
      </c>
      <c r="K314" s="3" t="n"/>
    </row>
    <row r="315">
      <c r="A315" t="inlineStr">
        <is>
          <t>market for diesel, low-sulfur</t>
        </is>
      </c>
      <c r="B315">
        <f>unallocated!B318/I315</f>
        <v>8.5000000000000006E-5</v>
      </c>
      <c r="C315" t="inlineStr">
        <is>
          <t>Europe without Switzerland</t>
        </is>
      </c>
      <c r="D315" t="inlineStr">
        <is>
          <t>kilogram</t>
        </is>
      </c>
      <c r="F315" t="inlineStr">
        <is>
          <t>technosphere</t>
        </is>
      </c>
      <c r="G315" t="inlineStr">
        <is>
          <t>diesel, low-sulfur</t>
        </is>
      </c>
      <c r="H315" t="inlineStr">
        <is>
          <t>Diesel density: 0.85 kg/l</t>
        </is>
      </c>
      <c r="I315" t="n">
        <v>1000</v>
      </c>
      <c r="J315" t="n">
        <v>2</v>
      </c>
      <c r="K315" s="3">
        <f>LN(B315)</f>
        <v>-9.372859301473957</v>
      </c>
      <c r="L315" t="n">
        <v>1</v>
      </c>
      <c r="M315" t="n">
        <v>1</v>
      </c>
      <c r="N315" t="n">
        <v>1</v>
      </c>
      <c r="O315" t="n">
        <v>1.02</v>
      </c>
      <c r="P315" t="n">
        <v>1.2</v>
      </c>
      <c r="Q315" t="n">
        <v>1</v>
      </c>
      <c r="R315" t="n">
        <v>1.05</v>
      </c>
      <c r="S315">
        <f>LN(SQRT(EXP(
SQRT(
+POWER(LN(L315),2)
+POWER(LN(M315),2)
+POWER(LN(N315),2)
+POWER(LN(O315),2)
+POWER(LN(P315),2)
+POWER(LN(Q315),2)
+POWER(LN(R315),2)
)
)))</f>
        <v>9.4886477223156879E-2</v>
      </c>
    </row>
    <row r="316">
      <c r="A316" t="inlineStr">
        <is>
          <t>market for activated carbon, granular</t>
        </is>
      </c>
      <c r="B316">
        <f>unallocated!B319/I316</f>
        <v>4.0000000000000002E-4</v>
      </c>
      <c r="C316" t="inlineStr">
        <is>
          <t>GLO</t>
        </is>
      </c>
      <c r="D316" t="inlineStr">
        <is>
          <t>kilogram</t>
        </is>
      </c>
      <c r="F316" t="inlineStr">
        <is>
          <t>technosphere</t>
        </is>
      </c>
      <c r="G316" t="inlineStr">
        <is>
          <t>activated carbon, granular</t>
        </is>
      </c>
      <c r="I316" t="n">
        <v>1000</v>
      </c>
      <c r="J316" t="n">
        <v>2</v>
      </c>
      <c r="K316" s="3">
        <f>LN(B316)</f>
        <v>-7.8240460108562919</v>
      </c>
      <c r="L316" t="n">
        <v>1</v>
      </c>
      <c r="M316" t="n">
        <v>1</v>
      </c>
      <c r="N316" t="n">
        <v>1</v>
      </c>
      <c r="O316" t="n">
        <v>1.02</v>
      </c>
      <c r="P316" t="n">
        <v>1.2</v>
      </c>
      <c r="Q316" t="n">
        <v>1</v>
      </c>
      <c r="R316" t="n">
        <v>1.05</v>
      </c>
      <c r="S316">
        <f>LN(SQRT(EXP(
SQRT(
+POWER(LN(L316),2)
+POWER(LN(M316),2)
+POWER(LN(N316),2)
+POWER(LN(O316),2)
+POWER(LN(P316),2)
+POWER(LN(Q316),2)
+POWER(LN(R316),2)
)
)))</f>
        <v>9.4886477223156879E-2</v>
      </c>
    </row>
    <row r="317">
      <c r="A317" t="inlineStr">
        <is>
          <t>market for ammonia, anhydrous, liquid</t>
        </is>
      </c>
      <c r="B317">
        <f>unallocated!B320/I317</f>
        <v>9.7999999999999997E-4</v>
      </c>
      <c r="C317" t="inlineStr">
        <is>
          <t>RER</t>
        </is>
      </c>
      <c r="D317" t="inlineStr">
        <is>
          <t>kilogram</t>
        </is>
      </c>
      <c r="F317" t="inlineStr">
        <is>
          <t>technosphere</t>
        </is>
      </c>
      <c r="G317" t="inlineStr">
        <is>
          <t>ammonia, anhydrous, liquid</t>
        </is>
      </c>
      <c r="H317" t="inlineStr">
        <is>
          <t>100% liquid ammonia. In original publication, it is dilluated to 23.5% in water. We discount the original value by 75%.</t>
        </is>
      </c>
      <c r="I317" t="n">
        <v>1000</v>
      </c>
      <c r="J317" t="n">
        <v>2</v>
      </c>
      <c r="K317" s="3">
        <f>LN(B317)</f>
        <v>-6.9279579862996563</v>
      </c>
      <c r="L317" t="n">
        <v>1</v>
      </c>
      <c r="M317" t="n">
        <v>1</v>
      </c>
      <c r="N317" t="n">
        <v>1</v>
      </c>
      <c r="O317" t="n">
        <v>1.02</v>
      </c>
      <c r="P317" t="n">
        <v>1.2</v>
      </c>
      <c r="Q317" t="n">
        <v>1</v>
      </c>
      <c r="R317" t="n">
        <v>1.05</v>
      </c>
      <c r="S317">
        <f>LN(SQRT(EXP(
SQRT(
+POWER(LN(L317),2)
+POWER(LN(M317),2)
+POWER(LN(N317),2)
+POWER(LN(O317),2)
+POWER(LN(P317),2)
+POWER(LN(Q317),2)
+POWER(LN(R317),2)
)
)))</f>
        <v>9.4886477223156879E-2</v>
      </c>
    </row>
    <row r="318">
      <c r="A318" t="inlineStr">
        <is>
          <t>market for tap water</t>
        </is>
      </c>
      <c r="B318">
        <f>unallocated!B321/I318</f>
        <v>3.0200000000000001E-3</v>
      </c>
      <c r="C318" t="inlineStr">
        <is>
          <t>Europe without Switzerland</t>
        </is>
      </c>
      <c r="D318" t="inlineStr">
        <is>
          <t>kilogram</t>
        </is>
      </c>
      <c r="F318" t="inlineStr">
        <is>
          <t>technosphere</t>
        </is>
      </c>
      <c r="G318" t="inlineStr">
        <is>
          <t>tap water</t>
        </is>
      </c>
      <c r="H318" t="inlineStr">
        <is>
          <t>Used to dilute the ammonia.</t>
        </is>
      </c>
      <c r="I318" t="n">
        <v>1000</v>
      </c>
      <c r="J318" t="n">
        <v>2</v>
      </c>
      <c r="K318" s="3">
        <f>LN(B318)</f>
        <v>-5.8024984475953589</v>
      </c>
      <c r="L318" t="n">
        <v>1</v>
      </c>
      <c r="M318" t="n">
        <v>1</v>
      </c>
      <c r="N318" t="n">
        <v>1</v>
      </c>
      <c r="O318" t="n">
        <v>1.02</v>
      </c>
      <c r="P318" t="n">
        <v>1.2</v>
      </c>
      <c r="Q318" t="n">
        <v>1</v>
      </c>
      <c r="R318" t="n">
        <v>1.05</v>
      </c>
      <c r="S318">
        <f>LN(SQRT(EXP(
SQRT(
+POWER(LN(L318),2)
+POWER(LN(M318),2)
+POWER(LN(N318),2)
+POWER(LN(O318),2)
+POWER(LN(P318),2)
+POWER(LN(Q318),2)
+POWER(LN(R318),2)
)
)))</f>
        <v>9.4886477223156879E-2</v>
      </c>
    </row>
    <row r="319">
      <c r="A319" t="inlineStr">
        <is>
          <t>market for calcium carbonate, precipitated</t>
        </is>
      </c>
      <c r="B319">
        <f>unallocated!B322/I319</f>
        <v>7.0000000000000001E-3</v>
      </c>
      <c r="C319" t="inlineStr">
        <is>
          <t>RER</t>
        </is>
      </c>
      <c r="D319" t="inlineStr">
        <is>
          <t>kilogram</t>
        </is>
      </c>
      <c r="F319" t="inlineStr">
        <is>
          <t>technosphere</t>
        </is>
      </c>
      <c r="G319" t="inlineStr">
        <is>
          <t>calcium carbonate, precipitated</t>
        </is>
      </c>
      <c r="I319" t="n">
        <v>1000</v>
      </c>
      <c r="J319" t="n">
        <v>0</v>
      </c>
      <c r="K319" s="3" t="n"/>
    </row>
    <row r="320">
      <c r="A320" t="inlineStr">
        <is>
          <t>market for iron(III) chloride, without water, in 40% solution state</t>
        </is>
      </c>
      <c r="B320">
        <f>unallocated!B323/I320</f>
        <v>5.0000000000000002E-5</v>
      </c>
      <c r="C320" t="inlineStr">
        <is>
          <t>GLO</t>
        </is>
      </c>
      <c r="D320" t="inlineStr">
        <is>
          <t>kilogram</t>
        </is>
      </c>
      <c r="F320" t="inlineStr">
        <is>
          <t>technosphere</t>
        </is>
      </c>
      <c r="G320" t="inlineStr">
        <is>
          <t>iron(III) chloride, without water, in 40% solution state</t>
        </is>
      </c>
      <c r="I320" t="n">
        <v>1000</v>
      </c>
      <c r="J320" t="n">
        <v>0</v>
      </c>
      <c r="K320" s="3" t="n"/>
    </row>
    <row r="321">
      <c r="A321" t="inlineStr">
        <is>
          <t>market for lime, hydrated, packed</t>
        </is>
      </c>
      <c r="B321">
        <f>unallocated!B324/I321</f>
        <v>0</v>
      </c>
      <c r="C321" t="inlineStr">
        <is>
          <t>RER</t>
        </is>
      </c>
      <c r="D321" t="inlineStr">
        <is>
          <t>kilogram</t>
        </is>
      </c>
      <c r="F321" t="inlineStr">
        <is>
          <t>technosphere</t>
        </is>
      </c>
      <c r="G321" t="inlineStr">
        <is>
          <t>lime, hydrated, packed</t>
        </is>
      </c>
      <c r="I321" t="n">
        <v>1000</v>
      </c>
      <c r="J321" t="n">
        <v>0</v>
      </c>
      <c r="K321" s="3" t="n"/>
    </row>
    <row r="322">
      <c r="A322" t="inlineStr">
        <is>
          <t>market for sodium hydroxide, without water, in 50% solution state</t>
        </is>
      </c>
      <c r="B322">
        <f>unallocated!B325/I322</f>
        <v>5.0000000000000001E-4</v>
      </c>
      <c r="C322" t="inlineStr">
        <is>
          <t>RER</t>
        </is>
      </c>
      <c r="D322" t="inlineStr">
        <is>
          <t>kilogram</t>
        </is>
      </c>
      <c r="F322" t="inlineStr">
        <is>
          <t>technosphere</t>
        </is>
      </c>
      <c r="G322" t="inlineStr">
        <is>
          <t>sodium hydroxide, without water, in 50% solution state</t>
        </is>
      </c>
      <c r="H322" t="inlineStr">
        <is>
          <t>50% liquid ammonia. In original publication, it is dilluated to 27% in water. We discount the original value by 50%.</t>
        </is>
      </c>
      <c r="I322" t="n">
        <v>1000</v>
      </c>
      <c r="J322" t="n">
        <v>0</v>
      </c>
      <c r="K322" s="3" t="n"/>
    </row>
    <row r="323">
      <c r="A323" t="inlineStr">
        <is>
          <t>market for monoethanolamine</t>
        </is>
      </c>
      <c r="B323">
        <f>unallocated!B326/I323</f>
        <v>4.0000000000000001E-3</v>
      </c>
      <c r="C323" t="inlineStr">
        <is>
          <t>GLO</t>
        </is>
      </c>
      <c r="D323" t="inlineStr">
        <is>
          <t>kilogram</t>
        </is>
      </c>
      <c r="F323" t="inlineStr">
        <is>
          <t>technosphere</t>
        </is>
      </c>
      <c r="G323" t="inlineStr">
        <is>
          <t>monoethanolamine</t>
        </is>
      </c>
      <c r="I323" t="n">
        <v>1000</v>
      </c>
      <c r="J323" t="n">
        <v>0</v>
      </c>
      <c r="K323" s="3" t="n"/>
    </row>
    <row r="324">
      <c r="A324" t="inlineStr">
        <is>
          <t>municipal waste incineration facility construction</t>
        </is>
      </c>
      <c r="B324">
        <f>unallocated!B327/I324</f>
        <v>2.4999999999999996E-10</v>
      </c>
      <c r="C324" t="inlineStr">
        <is>
          <t>CH</t>
        </is>
      </c>
      <c r="D324" t="inlineStr">
        <is>
          <t>unit</t>
        </is>
      </c>
      <c r="F324" t="inlineStr">
        <is>
          <t>technosphere</t>
        </is>
      </c>
      <c r="G324" t="inlineStr">
        <is>
          <t>municipal waste incineration facility</t>
        </is>
      </c>
      <c r="H324" t="inlineStr">
        <is>
          <t>Lifetime: 4'000'000 tons MSWI treated.</t>
        </is>
      </c>
      <c r="I324" t="n">
        <v>1000</v>
      </c>
      <c r="J324" t="n">
        <v>2</v>
      </c>
      <c r="K324" s="3">
        <f>LN(B324)</f>
        <v>-22.109560198066301</v>
      </c>
      <c r="L324" t="n">
        <v>1</v>
      </c>
      <c r="M324" t="n">
        <v>1</v>
      </c>
      <c r="N324" t="n">
        <v>1</v>
      </c>
      <c r="O324" t="n">
        <v>1.02</v>
      </c>
      <c r="P324" t="n">
        <v>1.2</v>
      </c>
      <c r="Q324" t="n">
        <v>1</v>
      </c>
      <c r="R324" t="n">
        <v>3</v>
      </c>
      <c r="S324">
        <f>LN(SQRT(EXP(
SQRT(
+POWER(LN(L324),2)
+POWER(LN(M324),2)
+POWER(LN(N324),2)
+POWER(LN(O324),2)
+POWER(LN(P324),2)
+POWER(LN(Q324),2)
+POWER(LN(R324),2)
)
)))</f>
        <v>0.5569071410325479</v>
      </c>
    </row>
    <row r="325">
      <c r="A325" t="inlineStr">
        <is>
          <t>carbon dioxide storage at wood burning power plant 20 MW post, pipeline 200km, storage 1000m</t>
        </is>
      </c>
      <c r="B325">
        <f>unallocated!B328/I325</f>
        <v>0.82299999999999995</v>
      </c>
      <c r="C325" t="inlineStr">
        <is>
          <t>RER</t>
        </is>
      </c>
      <c r="D325" t="inlineStr">
        <is>
          <t>kilogram</t>
        </is>
      </c>
      <c r="F325" t="inlineStr">
        <is>
          <t>technosphere</t>
        </is>
      </c>
      <c r="G325" t="inlineStr">
        <is>
          <t>carbon dioxide storage at wood burning power plant 20 MW post, pipeline 200km, storage 1000m</t>
        </is>
      </c>
      <c r="I325" t="n">
        <v>1000</v>
      </c>
      <c r="J325" t="n">
        <v>2</v>
      </c>
      <c r="K325" s="3">
        <f>LN(B325)</f>
        <v>-0.19479907830506729</v>
      </c>
      <c r="L325" t="n">
        <v>1</v>
      </c>
      <c r="M325" t="n">
        <v>1</v>
      </c>
      <c r="N325" t="n">
        <v>1</v>
      </c>
      <c r="O325" t="n">
        <v>1.02</v>
      </c>
      <c r="P325" t="n">
        <v>1.2</v>
      </c>
      <c r="Q325" t="n">
        <v>1</v>
      </c>
      <c r="R325" t="n">
        <v>3</v>
      </c>
      <c r="S325">
        <f>LN(SQRT(EXP(
SQRT(
+POWER(LN(L325),2)
+POWER(LN(M325),2)
+POWER(LN(N325),2)
+POWER(LN(O325),2)
+POWER(LN(P325),2)
+POWER(LN(Q325),2)
+POWER(LN(R325),2)
)
)))</f>
        <v>0.5569071410325479</v>
      </c>
    </row>
    <row r="326">
      <c r="A326" t="inlineStr">
        <is>
          <t>Water, cooling, unspecified natural origin</t>
        </is>
      </c>
      <c r="B326">
        <f>unallocated!B329/I326</f>
        <v>0</v>
      </c>
      <c r="D326" t="inlineStr">
        <is>
          <t>cubic meter</t>
        </is>
      </c>
      <c r="E326" t="inlineStr">
        <is>
          <t>natural resource::in water</t>
        </is>
      </c>
      <c r="F326" t="inlineStr">
        <is>
          <t>biosphere</t>
        </is>
      </c>
      <c r="I326" t="n">
        <v>1000</v>
      </c>
      <c r="J326" t="n">
        <v>0</v>
      </c>
      <c r="K326" s="3" t="n"/>
    </row>
    <row r="327">
      <c r="A327" t="inlineStr">
        <is>
          <t>Sulfur dioxide</t>
        </is>
      </c>
      <c r="B327">
        <f>unallocated!B330/I327</f>
        <v>6.0000000000000002E-6</v>
      </c>
      <c r="D327" t="inlineStr">
        <is>
          <t>kilogram</t>
        </is>
      </c>
      <c r="E327" t="inlineStr">
        <is>
          <t>air::urban air close to ground</t>
        </is>
      </c>
      <c r="F327" t="inlineStr">
        <is>
          <t>biosphere</t>
        </is>
      </c>
      <c r="I327" t="n">
        <v>1000</v>
      </c>
      <c r="J327" t="n">
        <v>2</v>
      </c>
      <c r="K327" s="3">
        <f>LN(B327)</f>
        <v>-12.023751088736219</v>
      </c>
      <c r="L327" t="n">
        <v>1</v>
      </c>
      <c r="M327" t="n">
        <v>1</v>
      </c>
      <c r="N327" t="n">
        <v>1</v>
      </c>
      <c r="O327" t="n">
        <v>1.02</v>
      </c>
      <c r="P327" t="n">
        <v>1.2</v>
      </c>
      <c r="Q327" t="n">
        <v>1</v>
      </c>
      <c r="R327" t="n">
        <v>1.05</v>
      </c>
      <c r="S327">
        <f>LN(SQRT(EXP(
SQRT(
+POWER(LN(L327),2)
+POWER(LN(M327),2)
+POWER(LN(N327),2)
+POWER(LN(O327),2)
+POWER(LN(P327),2)
+POWER(LN(Q327),2)
+POWER(LN(R327),2)
)
)))</f>
        <v>9.4886477223156879E-2</v>
      </c>
    </row>
    <row r="328">
      <c r="A328" t="inlineStr">
        <is>
          <t>Hydrochloric acid</t>
        </is>
      </c>
      <c r="B328">
        <f>unallocated!B331/I328</f>
        <v>3.0000000000000001E-6</v>
      </c>
      <c r="D328" t="inlineStr">
        <is>
          <t>kilogram</t>
        </is>
      </c>
      <c r="E328" t="inlineStr">
        <is>
          <t>air</t>
        </is>
      </c>
      <c r="F328" t="inlineStr">
        <is>
          <t>biosphere</t>
        </is>
      </c>
      <c r="I328" t="n">
        <v>1000</v>
      </c>
      <c r="J328" t="n">
        <v>2</v>
      </c>
      <c r="K328" s="3">
        <f>LN(B328)</f>
        <v>-12.716898269296165</v>
      </c>
      <c r="L328" t="n">
        <v>1</v>
      </c>
      <c r="M328" t="n">
        <v>1</v>
      </c>
      <c r="N328" t="n">
        <v>1</v>
      </c>
      <c r="O328" t="n">
        <v>1.02</v>
      </c>
      <c r="P328" t="n">
        <v>1.2</v>
      </c>
      <c r="Q328" t="n">
        <v>1</v>
      </c>
      <c r="R328" t="n">
        <v>1.5</v>
      </c>
      <c r="S328">
        <f>LN(SQRT(EXP(
SQRT(
+POWER(LN(L328),2)
+POWER(LN(M328),2)
+POWER(LN(N328),2)
+POWER(LN(O328),2)
+POWER(LN(P328),2)
+POWER(LN(Q328),2)
+POWER(LN(R328),2)
)
)))</f>
        <v>0.22250575723605889</v>
      </c>
    </row>
    <row r="329">
      <c r="A329" t="inlineStr">
        <is>
          <t>Nitrogen oxides</t>
        </is>
      </c>
      <c r="B329">
        <f>unallocated!B332/I329</f>
        <v>6.7700000000000008E-4</v>
      </c>
      <c r="D329" t="inlineStr">
        <is>
          <t>kilogram</t>
        </is>
      </c>
      <c r="E329" t="inlineStr">
        <is>
          <t>air::urban air close to ground</t>
        </is>
      </c>
      <c r="F329" t="inlineStr">
        <is>
          <t>biosphere</t>
        </is>
      </c>
      <c r="I329" t="n">
        <v>1000</v>
      </c>
      <c r="J329" t="n">
        <v>2</v>
      </c>
      <c r="K329" s="3">
        <f>LN(B329)</f>
        <v>-7.2978392850519986</v>
      </c>
      <c r="L329" t="n">
        <v>1</v>
      </c>
      <c r="M329" t="n">
        <v>1</v>
      </c>
      <c r="N329" t="n">
        <v>1</v>
      </c>
      <c r="O329" t="n">
        <v>1.02</v>
      </c>
      <c r="P329" t="n">
        <v>1.2</v>
      </c>
      <c r="Q329" t="n">
        <v>1</v>
      </c>
      <c r="R329" t="n">
        <v>1.5</v>
      </c>
      <c r="S329">
        <f>LN(SQRT(EXP(
SQRT(
+POWER(LN(L329),2)
+POWER(LN(M329),2)
+POWER(LN(N329),2)
+POWER(LN(O329),2)
+POWER(LN(P329),2)
+POWER(LN(Q329),2)
+POWER(LN(R329),2)
)
)))</f>
        <v>0.22250575723605889</v>
      </c>
    </row>
    <row r="330">
      <c r="A330" t="inlineStr">
        <is>
          <t>Ammonia</t>
        </is>
      </c>
      <c r="B330">
        <f>unallocated!B333/I330</f>
        <v>2.0000000000000002E-5</v>
      </c>
      <c r="D330" t="inlineStr">
        <is>
          <t>kilogram</t>
        </is>
      </c>
      <c r="E330" t="inlineStr">
        <is>
          <t>air::urban air close to ground</t>
        </is>
      </c>
      <c r="F330" t="inlineStr">
        <is>
          <t>biosphere</t>
        </is>
      </c>
      <c r="I330" t="n">
        <v>1000</v>
      </c>
      <c r="J330" t="n">
        <v>2</v>
      </c>
      <c r="K330" s="3">
        <f>LN(B330)</f>
        <v>-10.819778284410283</v>
      </c>
      <c r="L330" t="n">
        <v>1</v>
      </c>
      <c r="M330" t="n">
        <v>1</v>
      </c>
      <c r="N330" t="n">
        <v>1</v>
      </c>
      <c r="O330" t="n">
        <v>1.02</v>
      </c>
      <c r="P330" t="n">
        <v>1.2</v>
      </c>
      <c r="Q330" t="n">
        <v>1</v>
      </c>
      <c r="R330" t="n">
        <v>1.5</v>
      </c>
      <c r="S330">
        <f>LN(SQRT(EXP(
SQRT(
+POWER(LN(L330),2)
+POWER(LN(M330),2)
+POWER(LN(N330),2)
+POWER(LN(O330),2)
+POWER(LN(P330),2)
+POWER(LN(Q330),2)
+POWER(LN(R330),2)
)
)))</f>
        <v>0.22250575723605889</v>
      </c>
    </row>
    <row r="331">
      <c r="A331" t="inlineStr">
        <is>
          <t>Particulate Matter, &lt; 2.5 um</t>
        </is>
      </c>
      <c r="B331">
        <f>unallocated!B334/I331</f>
        <v>6.0000000000000002E-6</v>
      </c>
      <c r="D331" t="inlineStr">
        <is>
          <t>kilogram</t>
        </is>
      </c>
      <c r="E331" t="inlineStr">
        <is>
          <t>air::urban air close to ground</t>
        </is>
      </c>
      <c r="F331" t="inlineStr">
        <is>
          <t>biosphere</t>
        </is>
      </c>
      <c r="I331" t="n">
        <v>1000</v>
      </c>
      <c r="J331" t="n">
        <v>2</v>
      </c>
      <c r="K331" s="3">
        <f>LN(B331)</f>
        <v>-12.023751088736219</v>
      </c>
      <c r="L331" t="n">
        <v>1</v>
      </c>
      <c r="M331" t="n">
        <v>1</v>
      </c>
      <c r="N331" t="n">
        <v>1</v>
      </c>
      <c r="O331" t="n">
        <v>1.02</v>
      </c>
      <c r="P331" t="n">
        <v>1.2</v>
      </c>
      <c r="Q331" t="n">
        <v>1</v>
      </c>
      <c r="R331" t="n">
        <v>3</v>
      </c>
      <c r="S331">
        <f>LN(SQRT(EXP(
SQRT(
+POWER(LN(L331),2)
+POWER(LN(M331),2)
+POWER(LN(N331),2)
+POWER(LN(O331),2)
+POWER(LN(P331),2)
+POWER(LN(Q331),2)
+POWER(LN(R331),2)
)
)))</f>
        <v>0.5569071410325479</v>
      </c>
    </row>
    <row r="332">
      <c r="A332" t="inlineStr">
        <is>
          <t>Mercury II</t>
        </is>
      </c>
      <c r="B332">
        <f>unallocated!B335/I332</f>
        <v>6E-9</v>
      </c>
      <c r="D332" t="inlineStr">
        <is>
          <t>kilogram</t>
        </is>
      </c>
      <c r="E332" t="inlineStr">
        <is>
          <t>air::urban air close to ground</t>
        </is>
      </c>
      <c r="F332" t="inlineStr">
        <is>
          <t>biosphere</t>
        </is>
      </c>
      <c r="I332" t="n">
        <v>1000</v>
      </c>
      <c r="J332" t="n">
        <v>2</v>
      </c>
      <c r="K332" s="3">
        <f>LN(B332)</f>
        <v>-18.931506367718356</v>
      </c>
      <c r="L332" t="n">
        <v>1</v>
      </c>
      <c r="M332" t="n">
        <v>1</v>
      </c>
      <c r="N332" t="n">
        <v>1</v>
      </c>
      <c r="O332" t="n">
        <v>1.02</v>
      </c>
      <c r="P332" t="n">
        <v>1.2</v>
      </c>
      <c r="Q332" t="n">
        <v>1</v>
      </c>
      <c r="R332" t="n">
        <v>5</v>
      </c>
      <c r="S332">
        <f>LN(SQRT(EXP(
SQRT(
+POWER(LN(L332),2)
+POWER(LN(M332),2)
+POWER(LN(N332),2)
+POWER(LN(O332),2)
+POWER(LN(P332),2)
+POWER(LN(Q332),2)
+POWER(LN(R332),2)
)
)))</f>
        <v>0.80992649174166365</v>
      </c>
    </row>
    <row r="333">
      <c r="A333" t="inlineStr">
        <is>
          <t>Lead II</t>
        </is>
      </c>
      <c r="B333">
        <f>unallocated!B336/I333</f>
        <v>6E-9</v>
      </c>
      <c r="D333" t="inlineStr">
        <is>
          <t>kilogram</t>
        </is>
      </c>
      <c r="E333" t="inlineStr">
        <is>
          <t>air::urban air close to ground</t>
        </is>
      </c>
      <c r="F333" t="inlineStr">
        <is>
          <t>biosphere</t>
        </is>
      </c>
      <c r="I333" t="n">
        <v>1000</v>
      </c>
      <c r="J333" t="n">
        <v>2</v>
      </c>
      <c r="K333" s="3">
        <f>LN(B333)</f>
        <v>-18.931506367718356</v>
      </c>
      <c r="L333" t="n">
        <v>1</v>
      </c>
      <c r="M333" t="n">
        <v>1</v>
      </c>
      <c r="N333" t="n">
        <v>1</v>
      </c>
      <c r="O333" t="n">
        <v>1.02</v>
      </c>
      <c r="P333" t="n">
        <v>1.2</v>
      </c>
      <c r="Q333" t="n">
        <v>1</v>
      </c>
      <c r="R333" t="n">
        <v>5</v>
      </c>
      <c r="S333">
        <f>LN(SQRT(EXP(
SQRT(
+POWER(LN(L333),2)
+POWER(LN(M333),2)
+POWER(LN(N333),2)
+POWER(LN(O333),2)
+POWER(LN(P333),2)
+POWER(LN(Q333),2)
+POWER(LN(R333),2)
)
)))</f>
        <v>0.80992649174166365</v>
      </c>
    </row>
    <row r="334">
      <c r="A334" t="inlineStr">
        <is>
          <t>Cadmium II</t>
        </is>
      </c>
      <c r="B334">
        <f>unallocated!B337/I334</f>
        <v>3E-9</v>
      </c>
      <c r="D334" t="inlineStr">
        <is>
          <t>kilogram</t>
        </is>
      </c>
      <c r="E334" t="inlineStr">
        <is>
          <t>air::urban air close to ground</t>
        </is>
      </c>
      <c r="F334" t="inlineStr">
        <is>
          <t>biosphere</t>
        </is>
      </c>
      <c r="I334" t="n">
        <v>1000</v>
      </c>
      <c r="J334" t="n">
        <v>2</v>
      </c>
      <c r="K334" s="3">
        <f>LN(B334)</f>
        <v>-19.624653548278303</v>
      </c>
      <c r="L334" t="n">
        <v>1</v>
      </c>
      <c r="M334" t="n">
        <v>1</v>
      </c>
      <c r="N334" t="n">
        <v>1</v>
      </c>
      <c r="O334" t="n">
        <v>1.02</v>
      </c>
      <c r="P334" t="n">
        <v>1.2</v>
      </c>
      <c r="Q334" t="n">
        <v>1</v>
      </c>
      <c r="R334" t="n">
        <v>5</v>
      </c>
      <c r="S334">
        <f>LN(SQRT(EXP(
SQRT(
+POWER(LN(L334),2)
+POWER(LN(M334),2)
+POWER(LN(N334),2)
+POWER(LN(O334),2)
+POWER(LN(P334),2)
+POWER(LN(Q334),2)
+POWER(LN(R334),2)
)
)))</f>
        <v>0.80992649174166365</v>
      </c>
    </row>
    <row r="335">
      <c r="A335" t="inlineStr">
        <is>
          <t>Arsenic ion</t>
        </is>
      </c>
      <c r="B335">
        <f>unallocated!B338/I335</f>
        <v>3E-9</v>
      </c>
      <c r="D335" t="inlineStr">
        <is>
          <t>kilogram</t>
        </is>
      </c>
      <c r="E335" t="inlineStr">
        <is>
          <t>air::urban air close to ground</t>
        </is>
      </c>
      <c r="F335" t="inlineStr">
        <is>
          <t>biosphere</t>
        </is>
      </c>
      <c r="I335" t="n">
        <v>1000</v>
      </c>
      <c r="J335" t="n">
        <v>2</v>
      </c>
      <c r="K335" s="3">
        <f>LN(B335)</f>
        <v>-19.624653548278303</v>
      </c>
      <c r="L335" t="n">
        <v>1</v>
      </c>
      <c r="M335" t="n">
        <v>1</v>
      </c>
      <c r="N335" t="n">
        <v>1</v>
      </c>
      <c r="O335" t="n">
        <v>1.02</v>
      </c>
      <c r="P335" t="n">
        <v>1.2</v>
      </c>
      <c r="Q335" t="n">
        <v>1</v>
      </c>
      <c r="R335" t="n">
        <v>5</v>
      </c>
      <c r="S335">
        <f>LN(SQRT(EXP(
SQRT(
+POWER(LN(L335),2)
+POWER(LN(M335),2)
+POWER(LN(N335),2)
+POWER(LN(O335),2)
+POWER(LN(P335),2)
+POWER(LN(Q335),2)
+POWER(LN(R335),2)
)
)))</f>
        <v>0.80992649174166365</v>
      </c>
    </row>
    <row r="336">
      <c r="A336" t="inlineStr">
        <is>
          <t>Dioxins, measured as 2,3,7,8-tetrachlorodibenzo-p-dioxin</t>
        </is>
      </c>
      <c r="B336">
        <f>unallocated!B339/I336</f>
        <v>1.1000000000000001E-13</v>
      </c>
      <c r="D336" t="inlineStr">
        <is>
          <t>kilogram</t>
        </is>
      </c>
      <c r="E336" t="inlineStr">
        <is>
          <t>air::urban air close to ground</t>
        </is>
      </c>
      <c r="F336" t="inlineStr">
        <is>
          <t>biosphere</t>
        </is>
      </c>
      <c r="I336" t="n">
        <v>1000</v>
      </c>
      <c r="J336" t="n">
        <v>2</v>
      </c>
      <c r="K336" s="3">
        <f>LN(B336)</f>
        <v>-29.838296029118268</v>
      </c>
      <c r="L336" t="n">
        <v>1</v>
      </c>
      <c r="M336" t="n">
        <v>1</v>
      </c>
      <c r="N336" t="n">
        <v>1</v>
      </c>
      <c r="O336" t="n">
        <v>1.02</v>
      </c>
      <c r="P336" t="n">
        <v>1.2</v>
      </c>
      <c r="Q336" t="n">
        <v>1</v>
      </c>
      <c r="R336" t="n">
        <v>5</v>
      </c>
      <c r="S336">
        <f>LN(SQRT(EXP(
SQRT(
+POWER(LN(L336),2)
+POWER(LN(M336),2)
+POWER(LN(N336),2)
+POWER(LN(O336),2)
+POWER(LN(P336),2)
+POWER(LN(Q336),2)
+POWER(LN(R336),2)
)
)))</f>
        <v>0.80992649174166365</v>
      </c>
    </row>
    <row r="337">
      <c r="A337" t="inlineStr">
        <is>
          <t>Carbon dioxide, fossil</t>
        </is>
      </c>
      <c r="B337">
        <f>unallocated!B340/I337</f>
        <v>5.6000000000000001E-2</v>
      </c>
      <c r="D337" t="inlineStr">
        <is>
          <t>kilogram</t>
        </is>
      </c>
      <c r="E337" t="inlineStr">
        <is>
          <t>air::urban air close to ground</t>
        </is>
      </c>
      <c r="F337" t="inlineStr">
        <is>
          <t>biosphere</t>
        </is>
      </c>
      <c r="I337" t="n">
        <v>1000</v>
      </c>
      <c r="J337" t="n">
        <v>2</v>
      </c>
      <c r="K337" s="3">
        <f>LN(B337)</f>
        <v>-2.8824035882469876</v>
      </c>
      <c r="L337" t="n">
        <v>1</v>
      </c>
      <c r="M337" t="n">
        <v>1</v>
      </c>
      <c r="N337" t="n">
        <v>1</v>
      </c>
      <c r="O337" t="n">
        <v>1.02</v>
      </c>
      <c r="P337" t="n">
        <v>1.2</v>
      </c>
      <c r="Q337" t="n">
        <v>1</v>
      </c>
      <c r="R337" t="n">
        <v>1.05</v>
      </c>
      <c r="S337">
        <f>LN(SQRT(EXP(
SQRT(
+POWER(LN(L337),2)
+POWER(LN(M337),2)
+POWER(LN(N337),2)
+POWER(LN(O337),2)
+POWER(LN(P337),2)
+POWER(LN(Q337),2)
+POWER(LN(R337),2)
)
)))</f>
        <v>9.4886477223156879E-2</v>
      </c>
    </row>
    <row r="338">
      <c r="A338" t="inlineStr">
        <is>
          <t>Carbon dioxide, non-fossil</t>
        </is>
      </c>
      <c r="B338">
        <f>unallocated!B341/I338</f>
        <v>8.8999999999999996E-2</v>
      </c>
      <c r="D338" t="inlineStr">
        <is>
          <t>kilogram</t>
        </is>
      </c>
      <c r="E338" t="inlineStr">
        <is>
          <t>air::urban air close to ground</t>
        </is>
      </c>
      <c r="F338" t="inlineStr">
        <is>
          <t>biosphere</t>
        </is>
      </c>
      <c r="I338" t="n">
        <v>1000</v>
      </c>
      <c r="J338" t="n">
        <v>2</v>
      </c>
      <c r="K338" s="3">
        <f>LN(B338)</f>
        <v>-2.4191189092499972</v>
      </c>
      <c r="L338" t="n">
        <v>1</v>
      </c>
      <c r="M338" t="n">
        <v>1</v>
      </c>
      <c r="N338" t="n">
        <v>1</v>
      </c>
      <c r="O338" t="n">
        <v>1.02</v>
      </c>
      <c r="P338" t="n">
        <v>1.2</v>
      </c>
      <c r="Q338" t="n">
        <v>1</v>
      </c>
      <c r="R338" t="n">
        <v>1.05</v>
      </c>
      <c r="S338">
        <f>LN(SQRT(EXP(
SQRT(
+POWER(LN(L338),2)
+POWER(LN(M338),2)
+POWER(LN(N338),2)
+POWER(LN(O338),2)
+POWER(LN(P338),2)
+POWER(LN(Q338),2)
+POWER(LN(R338),2)
)
)))</f>
        <v>9.4886477223156879E-2</v>
      </c>
    </row>
    <row r="339">
      <c r="A339" t="inlineStr">
        <is>
          <t>Carbon dioxide, in air</t>
        </is>
      </c>
      <c r="B339">
        <f>unallocated!B342/I339</f>
        <v>0.505</v>
      </c>
      <c r="D339" t="inlineStr">
        <is>
          <t>kilogram</t>
        </is>
      </c>
      <c r="E339" t="inlineStr">
        <is>
          <t>natural resource::in air</t>
        </is>
      </c>
      <c r="F339" t="inlineStr">
        <is>
          <t>biosphere</t>
        </is>
      </c>
      <c r="H339" t="inlineStr">
        <is>
          <t>To reflect the permanent storage of non-fossil CO.</t>
        </is>
      </c>
      <c r="I339" t="n">
        <v>1000</v>
      </c>
      <c r="J339" t="n">
        <v>2</v>
      </c>
      <c r="K339" s="3">
        <f>LN(B339)</f>
        <v>-0.68319684970677719</v>
      </c>
      <c r="L339" t="n">
        <v>1</v>
      </c>
      <c r="M339" t="n">
        <v>1</v>
      </c>
      <c r="N339" t="n">
        <v>1</v>
      </c>
      <c r="O339" t="n">
        <v>1.02</v>
      </c>
      <c r="P339" t="n">
        <v>1.2</v>
      </c>
      <c r="Q339" t="n">
        <v>1</v>
      </c>
      <c r="R339" t="n">
        <v>1.05</v>
      </c>
      <c r="S339">
        <f>LN(SQRT(EXP(
SQRT(
+POWER(LN(L339),2)
+POWER(LN(M339),2)
+POWER(LN(N339),2)
+POWER(LN(O339),2)
+POWER(LN(P339),2)
+POWER(LN(Q339),2)
+POWER(LN(R339),2)
)
)))</f>
        <v>9.4886477223156879E-2</v>
      </c>
    </row>
  </sheetData>
  <autoFilter ref="A1:S339"/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26" sqref="A26"/>
    </sheetView>
  </sheetViews>
  <sheetFormatPr baseColWidth="10" defaultRowHeight="16"/>
  <cols>
    <col width="88.5" customWidth="1" min="1" max="1"/>
    <col width="12.1640625" bestFit="1" customWidth="1" min="2" max="2"/>
    <col width="33.5" customWidth="1" min="7" max="7"/>
  </cols>
  <sheetData>
    <row r="1">
      <c r="A1" s="1" t="inlineStr">
        <is>
          <t>Database</t>
        </is>
      </c>
      <c r="B1" s="1" t="inlineStr">
        <is>
          <t>Waste CHP</t>
        </is>
      </c>
    </row>
    <row r="2"/>
    <row r="3">
      <c r="A3" s="1" t="inlineStr">
        <is>
          <t>Activity</t>
        </is>
      </c>
      <c r="B3" s="1" t="inlineStr">
        <is>
          <t>municipal waste incineration, at incineration plant, with semi-dry air pollution control, without flue gas condensation, with electricity recovery only, energy allocation</t>
        </is>
      </c>
    </row>
    <row r="4">
      <c r="A4" t="inlineStr">
        <is>
          <t>location</t>
        </is>
      </c>
      <c r="B4" t="inlineStr">
        <is>
          <t>RER</t>
        </is>
      </c>
    </row>
    <row r="5">
      <c r="A5" t="inlineStr">
        <is>
          <t>production amount</t>
        </is>
      </c>
      <c r="B5" t="n">
        <v>1</v>
      </c>
    </row>
    <row r="6">
      <c r="A6" s="2" t="inlineStr">
        <is>
          <t>source</t>
        </is>
      </c>
      <c r="B6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">
      <c r="A7" t="inlineStr">
        <is>
          <t>reference product</t>
        </is>
      </c>
      <c r="B7" t="inlineStr">
        <is>
          <t>municipal solid waste</t>
        </is>
      </c>
    </row>
    <row r="8">
      <c r="A8" t="inlineStr">
        <is>
          <t>type</t>
        </is>
      </c>
      <c r="B8" t="inlineStr">
        <is>
          <t>process</t>
        </is>
      </c>
    </row>
    <row r="9">
      <c r="A9" t="inlineStr">
        <is>
          <t>unit</t>
        </is>
      </c>
      <c r="B9" t="inlineStr">
        <is>
          <t>kilogram</t>
        </is>
      </c>
    </row>
    <row r="10">
      <c r="A10" t="inlineStr">
        <is>
          <t>comment</t>
        </is>
      </c>
      <c r="B10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No. Electricity production per ton MSWI incinerated: 739 kWh.</t>
        </is>
      </c>
    </row>
    <row r="11">
      <c r="A11" s="1" t="inlineStr">
        <is>
          <t>Exchanges</t>
        </is>
      </c>
    </row>
    <row r="12">
      <c r="A12" s="7" t="inlineStr">
        <is>
          <t>name</t>
        </is>
      </c>
      <c r="B12" s="7" t="inlineStr">
        <is>
          <t>amount</t>
        </is>
      </c>
      <c r="C12" s="7" t="inlineStr">
        <is>
          <t>location</t>
        </is>
      </c>
      <c r="D12" s="7" t="inlineStr">
        <is>
          <t>unit</t>
        </is>
      </c>
      <c r="E12" s="7" t="inlineStr">
        <is>
          <t>categories</t>
        </is>
      </c>
      <c r="F12" s="7" t="inlineStr">
        <is>
          <t>type</t>
        </is>
      </c>
      <c r="G12" s="7" t="inlineStr">
        <is>
          <t>reference product</t>
        </is>
      </c>
      <c r="H12" s="7" t="inlineStr">
        <is>
          <t>comment</t>
        </is>
      </c>
      <c r="I12" s="7" t="inlineStr">
        <is>
          <t>normalization</t>
        </is>
      </c>
      <c r="J12" s="7" t="inlineStr">
        <is>
          <t>allocation</t>
        </is>
      </c>
      <c r="K12" s="7" t="inlineStr">
        <is>
          <t>uncertainty type</t>
        </is>
      </c>
      <c r="L12" s="7" t="inlineStr">
        <is>
          <t>loc</t>
        </is>
      </c>
      <c r="M12" s="1" t="inlineStr">
        <is>
          <t>u1</t>
        </is>
      </c>
      <c r="N12" s="1" t="inlineStr">
        <is>
          <t>u2</t>
        </is>
      </c>
      <c r="O12" s="1" t="inlineStr">
        <is>
          <t>u3</t>
        </is>
      </c>
      <c r="P12" s="1" t="inlineStr">
        <is>
          <t>u4</t>
        </is>
      </c>
      <c r="Q12" s="1" t="inlineStr">
        <is>
          <t>u5</t>
        </is>
      </c>
      <c r="R12" s="1" t="inlineStr">
        <is>
          <t>u6</t>
        </is>
      </c>
      <c r="S12" s="1" t="inlineStr">
        <is>
          <t>ub</t>
        </is>
      </c>
      <c r="T12" s="1" t="inlineStr">
        <is>
          <t>scale</t>
        </is>
      </c>
      <c r="U12" s="1" t="inlineStr">
        <is>
          <t>negative</t>
        </is>
      </c>
    </row>
    <row r="13">
      <c r="A13" t="inlineStr">
        <is>
          <t>municipal waste incineration, at incineration plant, with semi-dry air pollution control, without flue gas condensation, with electricity recovery only, energy allocation</t>
        </is>
      </c>
      <c r="B13" t="n">
        <v>1</v>
      </c>
      <c r="C13" t="inlineStr">
        <is>
          <t>RER</t>
        </is>
      </c>
      <c r="D13" t="inlineStr">
        <is>
          <t>kilogram</t>
        </is>
      </c>
      <c r="F13" t="inlineStr">
        <is>
          <t>production</t>
        </is>
      </c>
      <c r="G13" t="inlineStr">
        <is>
          <t>municipal solid waste</t>
        </is>
      </c>
      <c r="H13" t="inlineStr"/>
      <c r="I13" t="n">
        <v>1000</v>
      </c>
      <c r="J13" s="14">
        <f>INDEX('allocation keys'!$F$4:$H$28,MATCH('allocated (energy)'!$B$3,'allocation keys'!$B$4:$B$28,0),MATCH('allocated (energy)'!$B$7,'allocation keys'!$F$3:$H$3,0))</f>
        <v>0</v>
      </c>
      <c r="K13" t="n">
        <v>0</v>
      </c>
      <c r="M13" s="5" t="n"/>
      <c r="N13" s="5" t="n"/>
      <c r="O13" s="5" t="n"/>
      <c r="P13" s="5" t="n"/>
      <c r="Q13" s="5" t="n"/>
      <c r="R13" s="5" t="n"/>
    </row>
    <row r="14">
      <c r="A14" t="inlineStr">
        <is>
          <t>municipal waste incineration, at incineration plant, with semi-dry air pollution control, without flue gas condensation, with electricity recovery only, energy allocation</t>
        </is>
      </c>
      <c r="B14">
        <f>unallocated!B14/'allocated (energy)'!I14*'allocated (energy)'!J14</f>
        <v>0</v>
      </c>
      <c r="C14" t="inlineStr">
        <is>
          <t>RER</t>
        </is>
      </c>
      <c r="D14" t="inlineStr">
        <is>
          <t>kilowatt hour</t>
        </is>
      </c>
      <c r="F14" t="inlineStr">
        <is>
          <t>technosphere</t>
        </is>
      </c>
      <c r="G14" t="inlineStr">
        <is>
          <t>electricity, medium voltage</t>
        </is>
      </c>
      <c r="H14" t="inlineStr"/>
      <c r="I14" t="n">
        <v>1000</v>
      </c>
      <c r="J14" s="11">
        <f>J13</f>
        <v>0</v>
      </c>
      <c r="K14" t="n">
        <v>0</v>
      </c>
      <c r="L14" s="3" t="n"/>
    </row>
    <row r="15">
      <c r="A15" t="inlineStr">
        <is>
          <t>market for diesel, low-sulfur</t>
        </is>
      </c>
      <c r="B15">
        <f>unallocated!B16/'allocated (energy)'!I15*'allocated (energy)'!J15</f>
        <v>0</v>
      </c>
      <c r="C15" t="inlineStr">
        <is>
          <t>Europe without Switzerland</t>
        </is>
      </c>
      <c r="D15" t="inlineStr">
        <is>
          <t>kilogram</t>
        </is>
      </c>
      <c r="F15" t="inlineStr">
        <is>
          <t>technosphere</t>
        </is>
      </c>
      <c r="G15" t="inlineStr">
        <is>
          <t>diesel, low-sulfur</t>
        </is>
      </c>
      <c r="H15" t="inlineStr">
        <is>
          <t>Diesel density: 0.85 kg/l</t>
        </is>
      </c>
      <c r="I15" t="n">
        <v>1000</v>
      </c>
      <c r="J15" s="11">
        <f>J13</f>
        <v>0</v>
      </c>
      <c r="K15" t="n">
        <v>0</v>
      </c>
      <c r="L15" s="3" t="n"/>
    </row>
    <row r="16">
      <c r="A16" t="inlineStr">
        <is>
          <t>market for activated carbon, granular</t>
        </is>
      </c>
      <c r="B16">
        <f>unallocated!B17/'allocated (energy)'!I16*'allocated (energy)'!J16</f>
        <v>0</v>
      </c>
      <c r="C16" t="inlineStr">
        <is>
          <t>GLO</t>
        </is>
      </c>
      <c r="D16" t="inlineStr">
        <is>
          <t>kilogram</t>
        </is>
      </c>
      <c r="F16" t="inlineStr">
        <is>
          <t>technosphere</t>
        </is>
      </c>
      <c r="G16" t="inlineStr">
        <is>
          <t>activated carbon, granular</t>
        </is>
      </c>
      <c r="I16" t="n">
        <v>1000</v>
      </c>
      <c r="J16" s="11">
        <f>J13</f>
        <v>0</v>
      </c>
      <c r="K16" t="n">
        <v>0</v>
      </c>
      <c r="L16" s="3" t="n"/>
    </row>
    <row r="17">
      <c r="A17" t="inlineStr">
        <is>
          <t>market for ammonia, anhydrous, liquid</t>
        </is>
      </c>
      <c r="B17">
        <f>unallocated!B18/'allocated (energy)'!I17*'allocated (energy)'!J17</f>
        <v>0</v>
      </c>
      <c r="C17" t="inlineStr">
        <is>
          <t>RER</t>
        </is>
      </c>
      <c r="D17" t="inlineStr">
        <is>
          <t>kilogram</t>
        </is>
      </c>
      <c r="F17" t="inlineStr">
        <is>
          <t>technosphere</t>
        </is>
      </c>
      <c r="G17" t="inlineStr">
        <is>
          <t>ammonia, anhydrous, liquid</t>
        </is>
      </c>
      <c r="H17" t="inlineStr">
        <is>
          <t>100% liquid ammonia. In original publication, it is dilluated to 23.5% in water. We discount the original value by 75%.</t>
        </is>
      </c>
      <c r="I17" t="n">
        <v>1000</v>
      </c>
      <c r="J17" s="11">
        <f>J13</f>
        <v>0</v>
      </c>
      <c r="K17" t="n">
        <v>0</v>
      </c>
      <c r="L17" s="3" t="n"/>
    </row>
    <row r="18">
      <c r="A18" t="inlineStr">
        <is>
          <t>market for tap water</t>
        </is>
      </c>
      <c r="B18">
        <f>unallocated!B19/'allocated (energy)'!I18*'allocated (energy)'!J18</f>
        <v>0</v>
      </c>
      <c r="C18" t="inlineStr">
        <is>
          <t>Europe without Switzerland</t>
        </is>
      </c>
      <c r="D18" t="inlineStr">
        <is>
          <t>kilogram</t>
        </is>
      </c>
      <c r="F18" t="inlineStr">
        <is>
          <t>technosphere</t>
        </is>
      </c>
      <c r="G18" t="inlineStr">
        <is>
          <t>tap water</t>
        </is>
      </c>
      <c r="H18" t="inlineStr">
        <is>
          <t>Used to dilute the ammonia.</t>
        </is>
      </c>
      <c r="I18" t="n">
        <v>1000</v>
      </c>
      <c r="J18" s="11">
        <f>J13</f>
        <v>0</v>
      </c>
      <c r="K18" t="n">
        <v>0</v>
      </c>
      <c r="L18" s="3" t="n"/>
    </row>
    <row r="19">
      <c r="A19" t="inlineStr">
        <is>
          <t>market for calcium carbonate, precipitated</t>
        </is>
      </c>
      <c r="B19">
        <f>unallocated!B20/'allocated (energy)'!I19*'allocated (energy)'!J19</f>
        <v>0</v>
      </c>
      <c r="C19" t="inlineStr">
        <is>
          <t>RER</t>
        </is>
      </c>
      <c r="D19" t="inlineStr">
        <is>
          <t>kilogram</t>
        </is>
      </c>
      <c r="F19" t="inlineStr">
        <is>
          <t>technosphere</t>
        </is>
      </c>
      <c r="G19" t="inlineStr">
        <is>
          <t>calcium carbonate, precipitated</t>
        </is>
      </c>
      <c r="I19" t="n">
        <v>1000</v>
      </c>
      <c r="J19" s="11">
        <f>J13</f>
        <v>0</v>
      </c>
      <c r="K19" t="n">
        <v>0</v>
      </c>
      <c r="L19" s="3" t="n"/>
    </row>
    <row r="20">
      <c r="A20" t="inlineStr">
        <is>
          <t>market for iron(III) chloride, without water, in 40% solution state</t>
        </is>
      </c>
      <c r="B20">
        <f>unallocated!B21/'allocated (energy)'!I20*'allocated (energy)'!J20</f>
        <v>0</v>
      </c>
      <c r="C20" t="inlineStr">
        <is>
          <t>GLO</t>
        </is>
      </c>
      <c r="D20" t="inlineStr">
        <is>
          <t>kilogram</t>
        </is>
      </c>
      <c r="F20" t="inlineStr">
        <is>
          <t>technosphere</t>
        </is>
      </c>
      <c r="G20" t="inlineStr">
        <is>
          <t>iron(III) chloride, without water, in 40% solution state</t>
        </is>
      </c>
      <c r="I20" t="n">
        <v>1000</v>
      </c>
      <c r="J20" s="11">
        <f>J13</f>
        <v>0</v>
      </c>
      <c r="K20" t="n">
        <v>0</v>
      </c>
      <c r="L20" s="3" t="n"/>
    </row>
    <row r="21">
      <c r="A21" t="inlineStr">
        <is>
          <t>market for lime, hydrated, packed</t>
        </is>
      </c>
      <c r="B21">
        <f>unallocated!B22/'allocated (energy)'!I21*'allocated (energy)'!J21</f>
        <v>0</v>
      </c>
      <c r="C21" t="inlineStr">
        <is>
          <t>RER</t>
        </is>
      </c>
      <c r="D21" t="inlineStr">
        <is>
          <t>kilogram</t>
        </is>
      </c>
      <c r="F21" t="inlineStr">
        <is>
          <t>technosphere</t>
        </is>
      </c>
      <c r="G21" t="inlineStr">
        <is>
          <t>lime, hydrated, packed</t>
        </is>
      </c>
      <c r="I21" t="n">
        <v>1000</v>
      </c>
      <c r="J21" s="11">
        <f>J13</f>
        <v>0</v>
      </c>
      <c r="K21" t="n">
        <v>0</v>
      </c>
      <c r="L21" s="3" t="n"/>
    </row>
    <row r="22">
      <c r="A22" t="inlineStr">
        <is>
          <t>market for sodium hydroxide, without water, in 50% solution state</t>
        </is>
      </c>
      <c r="B22">
        <f>unallocated!B23/'allocated (energy)'!I22*'allocated (energy)'!J22</f>
        <v>0</v>
      </c>
      <c r="C22" t="inlineStr">
        <is>
          <t>RER</t>
        </is>
      </c>
      <c r="D22" t="inlineStr">
        <is>
          <t>kilogram</t>
        </is>
      </c>
      <c r="F22" t="inlineStr">
        <is>
          <t>technosphere</t>
        </is>
      </c>
      <c r="G22" t="inlineStr">
        <is>
          <t>sodium hydroxide, without water, in 50% solution state</t>
        </is>
      </c>
      <c r="H22" t="inlineStr">
        <is>
          <t>50% liquid ammonia. In original publication, it is dilluated to 27% in water. We discount the original value by 50%.</t>
        </is>
      </c>
      <c r="I22" t="n">
        <v>1000</v>
      </c>
      <c r="J22" s="11">
        <f>J13</f>
        <v>0</v>
      </c>
      <c r="K22" t="n">
        <v>0</v>
      </c>
      <c r="L22" s="3" t="n"/>
    </row>
    <row r="23">
      <c r="A23" t="inlineStr">
        <is>
          <t>market for monoethanolamine</t>
        </is>
      </c>
      <c r="B23">
        <f>unallocated!B24/'allocated (energy)'!I23*'allocated (energy)'!J23</f>
        <v>0</v>
      </c>
      <c r="C23" t="inlineStr">
        <is>
          <t>GLO</t>
        </is>
      </c>
      <c r="D23" t="inlineStr">
        <is>
          <t>kilogram</t>
        </is>
      </c>
      <c r="F23" t="inlineStr">
        <is>
          <t>technosphere</t>
        </is>
      </c>
      <c r="G23" t="inlineStr">
        <is>
          <t>monoethanolamine</t>
        </is>
      </c>
      <c r="I23" t="n">
        <v>1000</v>
      </c>
      <c r="J23" s="11">
        <f>J13</f>
        <v>0</v>
      </c>
      <c r="K23" t="n">
        <v>0</v>
      </c>
      <c r="L23" s="3" t="n"/>
    </row>
    <row r="24">
      <c r="A24" t="inlineStr">
        <is>
          <t>municipal waste incineration facility construction</t>
        </is>
      </c>
      <c r="B24">
        <f>unallocated!B25/'allocated (energy)'!I24*'allocated (energy)'!J24</f>
        <v>0</v>
      </c>
      <c r="C24" t="inlineStr">
        <is>
          <t>CH</t>
        </is>
      </c>
      <c r="D24" t="inlineStr">
        <is>
          <t>unit</t>
        </is>
      </c>
      <c r="F24" t="inlineStr">
        <is>
          <t>technosphere</t>
        </is>
      </c>
      <c r="G24" t="inlineStr">
        <is>
          <t>municipal waste incineration facility</t>
        </is>
      </c>
      <c r="H24" t="inlineStr">
        <is>
          <t>Lifetime: 4'000'000 tons MSWI treated.</t>
        </is>
      </c>
      <c r="I24" t="n">
        <v>1000</v>
      </c>
      <c r="J24" s="11">
        <f>J13</f>
        <v>0</v>
      </c>
      <c r="K24" t="n">
        <v>0</v>
      </c>
      <c r="L24" s="3" t="n"/>
    </row>
    <row r="25">
      <c r="A25" t="inlineStr">
        <is>
          <t>Water, cooling, unspecified natural origin</t>
        </is>
      </c>
      <c r="B25">
        <f>unallocated!B26/'allocated (energy)'!I25*'allocated (energy)'!J25</f>
        <v>0</v>
      </c>
      <c r="D25" t="inlineStr">
        <is>
          <t>cubic meter</t>
        </is>
      </c>
      <c r="E25" t="inlineStr">
        <is>
          <t>natural resource::in water</t>
        </is>
      </c>
      <c r="F25" t="inlineStr">
        <is>
          <t>biosphere</t>
        </is>
      </c>
      <c r="I25" t="n">
        <v>1000</v>
      </c>
      <c r="J25" s="11">
        <f>J13</f>
        <v>0</v>
      </c>
      <c r="K25" t="n">
        <v>0</v>
      </c>
      <c r="L25" s="3" t="n"/>
    </row>
    <row r="26">
      <c r="A26" t="inlineStr">
        <is>
          <t>Sulfur dioxide</t>
        </is>
      </c>
      <c r="B26">
        <f>unallocated!B27/'allocated (energy)'!I26*'allocated (energy)'!J26</f>
        <v>0</v>
      </c>
      <c r="D26" t="inlineStr">
        <is>
          <t>kilogram</t>
        </is>
      </c>
      <c r="E26" t="inlineStr">
        <is>
          <t>air::urban air close to ground</t>
        </is>
      </c>
      <c r="F26" t="inlineStr">
        <is>
          <t>biosphere</t>
        </is>
      </c>
      <c r="I26" t="n">
        <v>1000</v>
      </c>
      <c r="J26" s="11">
        <f>J13</f>
        <v>0</v>
      </c>
      <c r="K26" t="n">
        <v>0</v>
      </c>
      <c r="L26" s="3" t="n"/>
    </row>
    <row r="27">
      <c r="A27" t="inlineStr">
        <is>
          <t>Hydrochloric acid</t>
        </is>
      </c>
      <c r="B27">
        <f>unallocated!B28/'allocated (energy)'!I27*'allocated (energy)'!J27</f>
        <v>0</v>
      </c>
      <c r="D27" t="inlineStr">
        <is>
          <t>kilogram</t>
        </is>
      </c>
      <c r="E27" t="inlineStr">
        <is>
          <t>air</t>
        </is>
      </c>
      <c r="F27" t="inlineStr">
        <is>
          <t>biosphere</t>
        </is>
      </c>
      <c r="I27" t="n">
        <v>1000</v>
      </c>
      <c r="J27" s="11">
        <f>J13</f>
        <v>0</v>
      </c>
      <c r="K27" t="n">
        <v>0</v>
      </c>
      <c r="L27" s="3" t="n"/>
    </row>
    <row r="28">
      <c r="A28" t="inlineStr">
        <is>
          <t>Nitrogen oxides</t>
        </is>
      </c>
      <c r="B28">
        <f>unallocated!B29/'allocated (energy)'!I28*'allocated (energy)'!J28</f>
        <v>0</v>
      </c>
      <c r="D28" t="inlineStr">
        <is>
          <t>kilogram</t>
        </is>
      </c>
      <c r="E28" t="inlineStr">
        <is>
          <t>air::urban air close to ground</t>
        </is>
      </c>
      <c r="F28" t="inlineStr">
        <is>
          <t>biosphere</t>
        </is>
      </c>
      <c r="I28" t="n">
        <v>1000</v>
      </c>
      <c r="J28" s="11">
        <f>J13</f>
        <v>0</v>
      </c>
      <c r="K28" t="n">
        <v>0</v>
      </c>
      <c r="L28" s="3" t="n"/>
    </row>
    <row r="29">
      <c r="A29" t="inlineStr">
        <is>
          <t>Ammonia</t>
        </is>
      </c>
      <c r="B29">
        <f>unallocated!B30/'allocated (energy)'!I29*'allocated (energy)'!J29</f>
        <v>0</v>
      </c>
      <c r="D29" t="inlineStr">
        <is>
          <t>kilogram</t>
        </is>
      </c>
      <c r="E29" t="inlineStr">
        <is>
          <t>air::urban air close to ground</t>
        </is>
      </c>
      <c r="F29" t="inlineStr">
        <is>
          <t>biosphere</t>
        </is>
      </c>
      <c r="I29" t="n">
        <v>1000</v>
      </c>
      <c r="J29" s="11">
        <f>J13</f>
        <v>0</v>
      </c>
      <c r="K29" t="n">
        <v>0</v>
      </c>
      <c r="L29" s="3" t="n"/>
    </row>
    <row r="30">
      <c r="A30" t="inlineStr">
        <is>
          <t>Particulate Matter, &lt; 2.5 um</t>
        </is>
      </c>
      <c r="B30">
        <f>unallocated!B31/'allocated (energy)'!I30*'allocated (energy)'!J30</f>
        <v>0</v>
      </c>
      <c r="D30" t="inlineStr">
        <is>
          <t>kilogram</t>
        </is>
      </c>
      <c r="E30" t="inlineStr">
        <is>
          <t>air::urban air close to ground</t>
        </is>
      </c>
      <c r="F30" t="inlineStr">
        <is>
          <t>biosphere</t>
        </is>
      </c>
      <c r="I30" t="n">
        <v>1000</v>
      </c>
      <c r="J30" s="11">
        <f>J13</f>
        <v>0</v>
      </c>
      <c r="K30" t="n">
        <v>0</v>
      </c>
      <c r="L30" s="3" t="n"/>
    </row>
    <row r="31">
      <c r="A31" t="inlineStr">
        <is>
          <t>Mercury II</t>
        </is>
      </c>
      <c r="B31">
        <f>unallocated!B32/'allocated (energy)'!I31*'allocated (energy)'!J31</f>
        <v>0</v>
      </c>
      <c r="D31" t="inlineStr">
        <is>
          <t>kilogram</t>
        </is>
      </c>
      <c r="E31" t="inlineStr">
        <is>
          <t>air::urban air close to ground</t>
        </is>
      </c>
      <c r="F31" t="inlineStr">
        <is>
          <t>biosphere</t>
        </is>
      </c>
      <c r="I31" t="n">
        <v>1000</v>
      </c>
      <c r="J31" s="11">
        <f>J13</f>
        <v>0</v>
      </c>
      <c r="K31" t="n">
        <v>0</v>
      </c>
      <c r="L31" s="3" t="n"/>
    </row>
    <row r="32">
      <c r="A32" t="inlineStr">
        <is>
          <t>Lead II</t>
        </is>
      </c>
      <c r="B32">
        <f>unallocated!B33/'allocated (energy)'!I32*'allocated (energy)'!J32</f>
        <v>0</v>
      </c>
      <c r="D32" t="inlineStr">
        <is>
          <t>kilogram</t>
        </is>
      </c>
      <c r="E32" t="inlineStr">
        <is>
          <t>air::urban air close to ground</t>
        </is>
      </c>
      <c r="F32" t="inlineStr">
        <is>
          <t>biosphere</t>
        </is>
      </c>
      <c r="I32" t="n">
        <v>1000</v>
      </c>
      <c r="J32" s="11">
        <f>J13</f>
        <v>0</v>
      </c>
      <c r="K32" t="n">
        <v>0</v>
      </c>
      <c r="L32" s="3" t="n"/>
    </row>
    <row r="33">
      <c r="A33" t="inlineStr">
        <is>
          <t>Cadmium II</t>
        </is>
      </c>
      <c r="B33">
        <f>unallocated!B34/'allocated (energy)'!I33*'allocated (energy)'!J33</f>
        <v>0</v>
      </c>
      <c r="D33" t="inlineStr">
        <is>
          <t>kilogram</t>
        </is>
      </c>
      <c r="E33" t="inlineStr">
        <is>
          <t>air::urban air close to ground</t>
        </is>
      </c>
      <c r="F33" t="inlineStr">
        <is>
          <t>biosphere</t>
        </is>
      </c>
      <c r="I33" t="n">
        <v>1000</v>
      </c>
      <c r="J33" s="11">
        <f>J13</f>
        <v>0</v>
      </c>
      <c r="K33" t="n">
        <v>0</v>
      </c>
      <c r="L33" s="3" t="n"/>
    </row>
    <row r="34">
      <c r="A34" t="inlineStr">
        <is>
          <t>Arsenic ion</t>
        </is>
      </c>
      <c r="B34">
        <f>unallocated!B35/'allocated (energy)'!I34*'allocated (energy)'!J34</f>
        <v>0</v>
      </c>
      <c r="D34" t="inlineStr">
        <is>
          <t>kilogram</t>
        </is>
      </c>
      <c r="E34" t="inlineStr">
        <is>
          <t>air::urban air close to ground</t>
        </is>
      </c>
      <c r="F34" t="inlineStr">
        <is>
          <t>biosphere</t>
        </is>
      </c>
      <c r="I34" t="n">
        <v>1000</v>
      </c>
      <c r="J34" s="11">
        <f>J13</f>
        <v>0</v>
      </c>
      <c r="K34" t="n">
        <v>0</v>
      </c>
      <c r="L34" s="3" t="n"/>
    </row>
    <row r="35">
      <c r="A35" t="inlineStr">
        <is>
          <t>Dioxins, measured as 2,3,7,8-tetrachlorodibenzo-p-dioxin</t>
        </is>
      </c>
      <c r="B35">
        <f>unallocated!B36/'allocated (energy)'!I35*'allocated (energy)'!J35</f>
        <v>0</v>
      </c>
      <c r="D35" t="inlineStr">
        <is>
          <t>kilogram</t>
        </is>
      </c>
      <c r="E35" t="inlineStr">
        <is>
          <t>air::urban air close to ground</t>
        </is>
      </c>
      <c r="F35" t="inlineStr">
        <is>
          <t>biosphere</t>
        </is>
      </c>
      <c r="I35" t="n">
        <v>1000</v>
      </c>
      <c r="J35" s="11">
        <f>J13</f>
        <v>0</v>
      </c>
      <c r="K35" t="n">
        <v>0</v>
      </c>
      <c r="L35" s="3" t="n"/>
    </row>
    <row r="36">
      <c r="A36" t="inlineStr">
        <is>
          <t>Carbon dioxide, fossil</t>
        </is>
      </c>
      <c r="B36">
        <f>unallocated!B37/'allocated (energy)'!I36*'allocated (energy)'!J36</f>
        <v>0</v>
      </c>
      <c r="D36" t="inlineStr">
        <is>
          <t>kilogram</t>
        </is>
      </c>
      <c r="E36" t="inlineStr">
        <is>
          <t>air::urban air close to ground</t>
        </is>
      </c>
      <c r="F36" t="inlineStr">
        <is>
          <t>biosphere</t>
        </is>
      </c>
      <c r="I36" t="n">
        <v>1000</v>
      </c>
      <c r="J36" s="11">
        <f>J13</f>
        <v>0</v>
      </c>
      <c r="K36" t="n">
        <v>0</v>
      </c>
      <c r="L36" s="3" t="n"/>
    </row>
    <row r="37">
      <c r="A37" t="inlineStr">
        <is>
          <t>Carbon dioxide, non-fossil</t>
        </is>
      </c>
      <c r="B37">
        <f>unallocated!B38/'allocated (energy)'!I37*'allocated (energy)'!J37</f>
        <v>0</v>
      </c>
      <c r="D37" t="inlineStr">
        <is>
          <t>kilogram</t>
        </is>
      </c>
      <c r="E37" t="inlineStr">
        <is>
          <t>air::urban air close to ground</t>
        </is>
      </c>
      <c r="F37" t="inlineStr">
        <is>
          <t>biosphere</t>
        </is>
      </c>
      <c r="I37" t="n">
        <v>1000</v>
      </c>
      <c r="J37" s="11">
        <f>J13</f>
        <v>0</v>
      </c>
      <c r="K37" t="n">
        <v>0</v>
      </c>
      <c r="L37" s="3" t="n"/>
    </row>
    <row r="38"/>
    <row r="39">
      <c r="A39" s="1" t="inlineStr">
        <is>
          <t>Activity</t>
        </is>
      </c>
      <c r="B39" s="1" t="inlineStr">
        <is>
          <t>municipal waste incineration, at incineration plant, with semi-dry air pollution control, without flue gas condensation, with electricity recovery only, energy allocation</t>
        </is>
      </c>
    </row>
    <row r="40">
      <c r="A40" t="inlineStr">
        <is>
          <t>location</t>
        </is>
      </c>
      <c r="B40" t="inlineStr">
        <is>
          <t>RER</t>
        </is>
      </c>
    </row>
    <row r="41">
      <c r="A41" t="inlineStr">
        <is>
          <t>production amount</t>
        </is>
      </c>
      <c r="B41" t="n">
        <v>1</v>
      </c>
    </row>
    <row r="42">
      <c r="A42" s="2" t="inlineStr">
        <is>
          <t>source</t>
        </is>
      </c>
      <c r="B42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3">
      <c r="A43" t="inlineStr">
        <is>
          <t>reference product</t>
        </is>
      </c>
      <c r="B43" t="inlineStr">
        <is>
          <t>electricity, medium voltage</t>
        </is>
      </c>
    </row>
    <row r="44">
      <c r="A44" t="inlineStr">
        <is>
          <t>type</t>
        </is>
      </c>
      <c r="B44" t="inlineStr">
        <is>
          <t>process</t>
        </is>
      </c>
    </row>
    <row r="45">
      <c r="A45" t="inlineStr">
        <is>
          <t>unit</t>
        </is>
      </c>
      <c r="B45" t="inlineStr">
        <is>
          <t>kilowatt hour</t>
        </is>
      </c>
    </row>
    <row r="46">
      <c r="A46" t="inlineStr">
        <is>
          <t>comment</t>
        </is>
      </c>
      <c r="B46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No. Electricity production per ton MSWI incinerated: 739 kWh.</t>
        </is>
      </c>
    </row>
    <row r="47">
      <c r="A47" s="1" t="inlineStr">
        <is>
          <t>Exchanges</t>
        </is>
      </c>
    </row>
    <row r="48">
      <c r="A48" s="7" t="inlineStr">
        <is>
          <t>name</t>
        </is>
      </c>
      <c r="B48" s="7" t="inlineStr">
        <is>
          <t>amount</t>
        </is>
      </c>
      <c r="C48" s="7" t="inlineStr">
        <is>
          <t>location</t>
        </is>
      </c>
      <c r="D48" s="7" t="inlineStr">
        <is>
          <t>unit</t>
        </is>
      </c>
      <c r="E48" s="7" t="inlineStr">
        <is>
          <t>categories</t>
        </is>
      </c>
      <c r="F48" s="7" t="inlineStr">
        <is>
          <t>type</t>
        </is>
      </c>
      <c r="G48" s="7" t="inlineStr">
        <is>
          <t>reference product</t>
        </is>
      </c>
      <c r="H48" s="7" t="inlineStr">
        <is>
          <t>comment</t>
        </is>
      </c>
      <c r="I48" s="7" t="inlineStr">
        <is>
          <t>normalization</t>
        </is>
      </c>
      <c r="J48" s="7" t="inlineStr">
        <is>
          <t>allocation</t>
        </is>
      </c>
      <c r="K48" s="7" t="inlineStr">
        <is>
          <t>uncertainty type</t>
        </is>
      </c>
      <c r="L48" s="7" t="inlineStr">
        <is>
          <t>loc</t>
        </is>
      </c>
      <c r="M48" s="1" t="inlineStr">
        <is>
          <t>u1</t>
        </is>
      </c>
      <c r="N48" s="1" t="inlineStr">
        <is>
          <t>u2</t>
        </is>
      </c>
      <c r="O48" s="1" t="inlineStr">
        <is>
          <t>u3</t>
        </is>
      </c>
      <c r="P48" s="1" t="inlineStr">
        <is>
          <t>u4</t>
        </is>
      </c>
      <c r="Q48" s="1" t="inlineStr">
        <is>
          <t>u5</t>
        </is>
      </c>
      <c r="R48" s="1" t="inlineStr">
        <is>
          <t>u6</t>
        </is>
      </c>
      <c r="S48" s="1" t="inlineStr">
        <is>
          <t>ub</t>
        </is>
      </c>
      <c r="T48" s="1" t="inlineStr">
        <is>
          <t>scale</t>
        </is>
      </c>
      <c r="U48" s="1" t="inlineStr">
        <is>
          <t>negative</t>
        </is>
      </c>
    </row>
    <row r="49">
      <c r="A49" t="inlineStr">
        <is>
          <t>municipal waste incineration, at incineration plant, with semi-dry air pollution control, without flue gas condensation, with electricity recovery only, energy allocation</t>
        </is>
      </c>
      <c r="B49" t="n">
        <v>0</v>
      </c>
      <c r="C49" t="inlineStr">
        <is>
          <t>RER</t>
        </is>
      </c>
      <c r="D49" t="inlineStr">
        <is>
          <t>kilogram</t>
        </is>
      </c>
      <c r="F49" t="inlineStr">
        <is>
          <t>technosphere</t>
        </is>
      </c>
      <c r="G49" t="inlineStr">
        <is>
          <t>municipal solid waste</t>
        </is>
      </c>
      <c r="H49" t="inlineStr"/>
      <c r="I49" t="n">
        <v>739</v>
      </c>
      <c r="J49" s="14">
        <f>INDEX('allocation keys'!$F$4:$H$28,MATCH('allocated (energy)'!$B$39,'allocation keys'!$B$4:$B$28,0),MATCH('allocated (energy)'!$B$43,'allocation keys'!$F$3:$H$3,0))</f>
        <v>1</v>
      </c>
      <c r="K49" t="n">
        <v>0</v>
      </c>
      <c r="M49" s="5" t="n"/>
      <c r="N49" s="5" t="n"/>
      <c r="O49" s="5" t="n"/>
      <c r="P49" s="5" t="n"/>
      <c r="Q49" s="5" t="n"/>
      <c r="R49" s="5" t="n"/>
    </row>
    <row r="50">
      <c r="A50" t="inlineStr">
        <is>
          <t>municipal waste incineration, at incineration plant, with semi-dry air pollution control, without flue gas condensation, with electricity recovery only, energy allocation</t>
        </is>
      </c>
      <c r="B50" t="n">
        <v>1</v>
      </c>
      <c r="C50" t="inlineStr">
        <is>
          <t>RER</t>
        </is>
      </c>
      <c r="D50" t="inlineStr">
        <is>
          <t>kilowatt hour</t>
        </is>
      </c>
      <c r="F50" t="inlineStr">
        <is>
          <t>production</t>
        </is>
      </c>
      <c r="G50" t="inlineStr">
        <is>
          <t>electricity, medium voltage</t>
        </is>
      </c>
      <c r="H50" t="inlineStr"/>
      <c r="I50" t="n">
        <v>739</v>
      </c>
      <c r="J50" s="11">
        <f>J49</f>
        <v>1</v>
      </c>
      <c r="K50" t="n">
        <v>0</v>
      </c>
      <c r="L50" s="3" t="n"/>
    </row>
    <row r="51">
      <c r="A51" t="inlineStr">
        <is>
          <t>market for diesel, low-sulfur</t>
        </is>
      </c>
      <c r="B51">
        <f>unallocated!B16/'allocated (energy)'!I51*'allocated (energy)'!J51</f>
        <v>1.1502029769959405E-4</v>
      </c>
      <c r="C51" t="inlineStr">
        <is>
          <t>Europe without Switzerland</t>
        </is>
      </c>
      <c r="D51" t="inlineStr">
        <is>
          <t>kilogram</t>
        </is>
      </c>
      <c r="F51" t="inlineStr">
        <is>
          <t>technosphere</t>
        </is>
      </c>
      <c r="G51" t="inlineStr">
        <is>
          <t>diesel, low-sulfur</t>
        </is>
      </c>
      <c r="H51" t="inlineStr">
        <is>
          <t>Diesel density: 0.85 kg/l</t>
        </is>
      </c>
      <c r="I51" t="n">
        <v>739</v>
      </c>
      <c r="J51" s="11">
        <f>J49</f>
        <v>1</v>
      </c>
      <c r="K51" t="n">
        <v>2</v>
      </c>
      <c r="L51" s="3">
        <f>LN(B51)</f>
        <v>-9.0704019434400216</v>
      </c>
      <c r="M51" t="n">
        <v>1</v>
      </c>
      <c r="N51" t="n">
        <v>1</v>
      </c>
      <c r="O51" t="n">
        <v>1</v>
      </c>
      <c r="P51" t="n">
        <v>1.02</v>
      </c>
      <c r="Q51" t="n">
        <v>1.2</v>
      </c>
      <c r="R51" t="n">
        <v>1</v>
      </c>
      <c r="S51" t="n">
        <v>1.05</v>
      </c>
      <c r="T51">
        <f>LN(SQRT(EXP(
SQRT(
+POWER(LN(M51),2)
+POWER(LN(N51),2)
+POWER(LN(O51),2)
+POWER(LN(P51),2)
+POWER(LN(Q51),2)
+POWER(LN(R51),2)
+POWER(LN(S51),2)
)
)))</f>
        <v>9.4886477223156879E-2</v>
      </c>
    </row>
    <row r="52">
      <c r="A52" t="inlineStr">
        <is>
          <t>market for activated carbon, granular</t>
        </is>
      </c>
      <c r="B52">
        <f>unallocated!B17/'allocated (energy)'!I52*'allocated (energy)'!J52</f>
        <v>5.4127198917456026E-4</v>
      </c>
      <c r="C52" t="inlineStr">
        <is>
          <t>GLO</t>
        </is>
      </c>
      <c r="D52" t="inlineStr">
        <is>
          <t>kilogram</t>
        </is>
      </c>
      <c r="F52" t="inlineStr">
        <is>
          <t>technosphere</t>
        </is>
      </c>
      <c r="G52" t="inlineStr">
        <is>
          <t>activated carbon, granular</t>
        </is>
      </c>
      <c r="I52" t="n">
        <v>739</v>
      </c>
      <c r="J52" s="11">
        <f>J49</f>
        <v>1</v>
      </c>
      <c r="K52" t="n">
        <v>2</v>
      </c>
      <c r="L52" s="3">
        <f>LN(B52)</f>
        <v>-7.5215886528223566</v>
      </c>
      <c r="M52" t="n">
        <v>1</v>
      </c>
      <c r="N52" t="n">
        <v>1</v>
      </c>
      <c r="O52" t="n">
        <v>1</v>
      </c>
      <c r="P52" t="n">
        <v>1.02</v>
      </c>
      <c r="Q52" t="n">
        <v>1.2</v>
      </c>
      <c r="R52" t="n">
        <v>1</v>
      </c>
      <c r="S52" t="n">
        <v>1.05</v>
      </c>
      <c r="T52">
        <f>LN(SQRT(EXP(
SQRT(
+POWER(LN(M52),2)
+POWER(LN(N52),2)
+POWER(LN(O52),2)
+POWER(LN(P52),2)
+POWER(LN(Q52),2)
+POWER(LN(R52),2)
+POWER(LN(S52),2)
)
)))</f>
        <v>9.4886477223156879E-2</v>
      </c>
    </row>
    <row r="53">
      <c r="A53" t="inlineStr">
        <is>
          <t>market for ammonia, anhydrous, liquid</t>
        </is>
      </c>
      <c r="B53">
        <f>unallocated!B18/'allocated (energy)'!I53*'allocated (energy)'!J53</f>
        <v>1.3261163734776724E-3</v>
      </c>
      <c r="C53" t="inlineStr">
        <is>
          <t>RER</t>
        </is>
      </c>
      <c r="D53" t="inlineStr">
        <is>
          <t>kilogram</t>
        </is>
      </c>
      <c r="F53" t="inlineStr">
        <is>
          <t>technosphere</t>
        </is>
      </c>
      <c r="G53" t="inlineStr">
        <is>
          <t>ammonia, anhydrous, liquid</t>
        </is>
      </c>
      <c r="H53" t="inlineStr">
        <is>
          <t>100% liquid ammonia. In original publication, it is dilluated to 23.5% in water. We discount the original value by 75%.</t>
        </is>
      </c>
      <c r="I53" t="n">
        <v>739</v>
      </c>
      <c r="J53" s="11">
        <f>J49</f>
        <v>1</v>
      </c>
      <c r="K53" t="n">
        <v>2</v>
      </c>
      <c r="L53" s="3">
        <f>LN(B53)</f>
        <v>-6.6255006282657209</v>
      </c>
      <c r="M53" t="n">
        <v>1</v>
      </c>
      <c r="N53" t="n">
        <v>1</v>
      </c>
      <c r="O53" t="n">
        <v>1</v>
      </c>
      <c r="P53" t="n">
        <v>1.02</v>
      </c>
      <c r="Q53" t="n">
        <v>1.2</v>
      </c>
      <c r="R53" t="n">
        <v>1</v>
      </c>
      <c r="S53" t="n">
        <v>1.05</v>
      </c>
      <c r="T53">
        <f>LN(SQRT(EXP(
SQRT(
+POWER(LN(M53),2)
+POWER(LN(N53),2)
+POWER(LN(O53),2)
+POWER(LN(P53),2)
+POWER(LN(Q53),2)
+POWER(LN(R53),2)
+POWER(LN(S53),2)
)
)))</f>
        <v>9.4886477223156879E-2</v>
      </c>
    </row>
    <row r="54">
      <c r="A54" t="inlineStr">
        <is>
          <t>market for tap water</t>
        </is>
      </c>
      <c r="B54">
        <f>unallocated!B19/'allocated (energy)'!I54*'allocated (energy)'!J54</f>
        <v>4.0866035182679297E-3</v>
      </c>
      <c r="C54" t="inlineStr">
        <is>
          <t>Europe without Switzerland</t>
        </is>
      </c>
      <c r="D54" t="inlineStr">
        <is>
          <t>kilogram</t>
        </is>
      </c>
      <c r="F54" t="inlineStr">
        <is>
          <t>technosphere</t>
        </is>
      </c>
      <c r="G54" t="inlineStr">
        <is>
          <t>tap water</t>
        </is>
      </c>
      <c r="H54" t="inlineStr">
        <is>
          <t>Used to dilute the ammonia.</t>
        </is>
      </c>
      <c r="I54" t="n">
        <v>739</v>
      </c>
      <c r="J54" s="11">
        <f>J49</f>
        <v>1</v>
      </c>
      <c r="K54" t="n">
        <v>2</v>
      </c>
      <c r="L54" s="3">
        <f>LN(B54)</f>
        <v>-5.5000410895614236</v>
      </c>
      <c r="M54" t="n">
        <v>1</v>
      </c>
      <c r="N54" t="n">
        <v>1</v>
      </c>
      <c r="O54" t="n">
        <v>1</v>
      </c>
      <c r="P54" t="n">
        <v>1.02</v>
      </c>
      <c r="Q54" t="n">
        <v>1.2</v>
      </c>
      <c r="R54" t="n">
        <v>1</v>
      </c>
      <c r="S54" t="n">
        <v>1.05</v>
      </c>
      <c r="T54">
        <f>LN(SQRT(EXP(
SQRT(
+POWER(LN(M54),2)
+POWER(LN(N54),2)
+POWER(LN(O54),2)
+POWER(LN(P54),2)
+POWER(LN(Q54),2)
+POWER(LN(R54),2)
+POWER(LN(S54),2)
)
)))</f>
        <v>9.4886477223156879E-2</v>
      </c>
    </row>
    <row r="55">
      <c r="A55" t="inlineStr">
        <is>
          <t>market for calcium carbonate, precipitated</t>
        </is>
      </c>
      <c r="B55">
        <f>unallocated!B20/'allocated (energy)'!I55*'allocated (energy)'!J55</f>
        <v>0</v>
      </c>
      <c r="C55" t="inlineStr">
        <is>
          <t>RER</t>
        </is>
      </c>
      <c r="D55" t="inlineStr">
        <is>
          <t>kilogram</t>
        </is>
      </c>
      <c r="F55" t="inlineStr">
        <is>
          <t>technosphere</t>
        </is>
      </c>
      <c r="G55" t="inlineStr">
        <is>
          <t>calcium carbonate, precipitated</t>
        </is>
      </c>
      <c r="I55" t="n">
        <v>739</v>
      </c>
      <c r="J55" s="11">
        <f>J49</f>
        <v>1</v>
      </c>
      <c r="K55" t="n">
        <v>0</v>
      </c>
      <c r="L55" s="3" t="n"/>
    </row>
    <row r="56">
      <c r="A56" t="inlineStr">
        <is>
          <t>market for iron(III) chloride, without water, in 40% solution state</t>
        </is>
      </c>
      <c r="B56">
        <f>unallocated!B21/'allocated (energy)'!I56*'allocated (energy)'!J56</f>
        <v>0</v>
      </c>
      <c r="C56" t="inlineStr">
        <is>
          <t>GLO</t>
        </is>
      </c>
      <c r="D56" t="inlineStr">
        <is>
          <t>kilogram</t>
        </is>
      </c>
      <c r="F56" t="inlineStr">
        <is>
          <t>technosphere</t>
        </is>
      </c>
      <c r="G56" t="inlineStr">
        <is>
          <t>iron(III) chloride, without water, in 40% solution state</t>
        </is>
      </c>
      <c r="I56" t="n">
        <v>739</v>
      </c>
      <c r="J56" s="11">
        <f>J49</f>
        <v>1</v>
      </c>
      <c r="K56" t="n">
        <v>0</v>
      </c>
      <c r="L56" s="3" t="n"/>
    </row>
    <row r="57">
      <c r="A57" t="inlineStr">
        <is>
          <t>market for lime, hydrated, packed</t>
        </is>
      </c>
      <c r="B57">
        <f>unallocated!B22/'allocated (energy)'!I57*'allocated (energy)'!J57</f>
        <v>1.4884979702300407E-2</v>
      </c>
      <c r="C57" t="inlineStr">
        <is>
          <t>RER</t>
        </is>
      </c>
      <c r="D57" t="inlineStr">
        <is>
          <t>kilogram</t>
        </is>
      </c>
      <c r="F57" t="inlineStr">
        <is>
          <t>technosphere</t>
        </is>
      </c>
      <c r="G57" t="inlineStr">
        <is>
          <t>lime, hydrated, packed</t>
        </is>
      </c>
      <c r="I57" t="n">
        <v>739</v>
      </c>
      <c r="J57" s="11">
        <f>J49</f>
        <v>1</v>
      </c>
      <c r="K57" t="n">
        <v>2</v>
      </c>
      <c r="L57" s="3">
        <f>LN(B57)</f>
        <v>-4.2074026481498308</v>
      </c>
      <c r="M57" t="n">
        <v>1</v>
      </c>
      <c r="N57" t="n">
        <v>1</v>
      </c>
      <c r="O57" t="n">
        <v>1</v>
      </c>
      <c r="P57" t="n">
        <v>1.02</v>
      </c>
      <c r="Q57" t="n">
        <v>1.2</v>
      </c>
      <c r="R57" t="n">
        <v>1</v>
      </c>
      <c r="S57" t="n">
        <v>1.05</v>
      </c>
      <c r="T57">
        <f>LN(SQRT(EXP(
SQRT(
+POWER(LN(M57),2)
+POWER(LN(N57),2)
+POWER(LN(O57),2)
+POWER(LN(P57),2)
+POWER(LN(Q57),2)
+POWER(LN(R57),2)
+POWER(LN(S57),2)
)
)))</f>
        <v>9.4886477223156879E-2</v>
      </c>
    </row>
    <row r="58">
      <c r="A58" t="inlineStr">
        <is>
          <t>market for sodium hydroxide, without water, in 50% solution state</t>
        </is>
      </c>
      <c r="B58">
        <f>unallocated!B23/'allocated (energy)'!I58*'allocated (energy)'!J58</f>
        <v>0</v>
      </c>
      <c r="C58" t="inlineStr">
        <is>
          <t>RER</t>
        </is>
      </c>
      <c r="D58" t="inlineStr">
        <is>
          <t>kilogram</t>
        </is>
      </c>
      <c r="F58" t="inlineStr">
        <is>
          <t>technosphere</t>
        </is>
      </c>
      <c r="G58" t="inlineStr">
        <is>
          <t>sodium hydroxide, without water, in 50% solution state</t>
        </is>
      </c>
      <c r="H58" t="inlineStr">
        <is>
          <t>50% liquid ammonia. In original publication, it is dilluated to 27% in water. We discount the original value by 50%.</t>
        </is>
      </c>
      <c r="I58" t="n">
        <v>739</v>
      </c>
      <c r="J58" s="11">
        <f>J49</f>
        <v>1</v>
      </c>
      <c r="K58" t="n">
        <v>0</v>
      </c>
      <c r="L58" s="3" t="n"/>
    </row>
    <row r="59">
      <c r="A59" t="inlineStr">
        <is>
          <t>market for monoethanolamine</t>
        </is>
      </c>
      <c r="B59">
        <f>unallocated!B24/'allocated (energy)'!I59*'allocated (energy)'!J59</f>
        <v>0</v>
      </c>
      <c r="C59" t="inlineStr">
        <is>
          <t>GLO</t>
        </is>
      </c>
      <c r="D59" t="inlineStr">
        <is>
          <t>kilogram</t>
        </is>
      </c>
      <c r="F59" t="inlineStr">
        <is>
          <t>technosphere</t>
        </is>
      </c>
      <c r="G59" t="inlineStr">
        <is>
          <t>monoethanolamine</t>
        </is>
      </c>
      <c r="I59" t="n">
        <v>739</v>
      </c>
      <c r="J59" s="11">
        <f>J49</f>
        <v>1</v>
      </c>
      <c r="K59" t="n">
        <v>0</v>
      </c>
      <c r="L59" s="3" t="n"/>
    </row>
    <row r="60">
      <c r="A60" t="inlineStr">
        <is>
          <t>municipal waste incineration facility construction</t>
        </is>
      </c>
      <c r="B60">
        <f>unallocated!B25/'allocated (energy)'!I60*'allocated (energy)'!J60</f>
        <v>3.3829499323410014E-10</v>
      </c>
      <c r="C60" t="inlineStr">
        <is>
          <t>CH</t>
        </is>
      </c>
      <c r="D60" t="inlineStr">
        <is>
          <t>unit</t>
        </is>
      </c>
      <c r="F60" t="inlineStr">
        <is>
          <t>technosphere</t>
        </is>
      </c>
      <c r="G60" t="inlineStr">
        <is>
          <t>municipal waste incineration facility</t>
        </is>
      </c>
      <c r="H60" t="inlineStr">
        <is>
          <t>Lifetime: 4'000'000 tons MSWI treated.</t>
        </is>
      </c>
      <c r="I60" t="n">
        <v>739</v>
      </c>
      <c r="J60" s="11">
        <f>J49</f>
        <v>1</v>
      </c>
      <c r="K60" t="n">
        <v>2</v>
      </c>
      <c r="L60" s="3">
        <f>LN(B60)</f>
        <v>-21.807102840032368</v>
      </c>
      <c r="M60" t="n">
        <v>1</v>
      </c>
      <c r="N60" t="n">
        <v>1</v>
      </c>
      <c r="O60" t="n">
        <v>1</v>
      </c>
      <c r="P60" t="n">
        <v>1.02</v>
      </c>
      <c r="Q60" t="n">
        <v>1.2</v>
      </c>
      <c r="R60" t="n">
        <v>1</v>
      </c>
      <c r="S60" t="n">
        <v>3</v>
      </c>
      <c r="T60">
        <f>LN(SQRT(EXP(
SQRT(
+POWER(LN(M60),2)
+POWER(LN(N60),2)
+POWER(LN(O60),2)
+POWER(LN(P60),2)
+POWER(LN(Q60),2)
+POWER(LN(R60),2)
+POWER(LN(S60),2)
)
)))</f>
        <v>0.5569071410325479</v>
      </c>
    </row>
    <row r="61">
      <c r="A61" t="inlineStr">
        <is>
          <t>Water, cooling, unspecified natural origin</t>
        </is>
      </c>
      <c r="B61">
        <f>unallocated!B26/'allocated (energy)'!I61*'allocated (energy)'!J61</f>
        <v>2.0297699594046007E-4</v>
      </c>
      <c r="D61" t="inlineStr">
        <is>
          <t>cubic meter</t>
        </is>
      </c>
      <c r="E61" t="inlineStr">
        <is>
          <t>natural resource::in water</t>
        </is>
      </c>
      <c r="F61" t="inlineStr">
        <is>
          <t>biosphere</t>
        </is>
      </c>
      <c r="I61" t="n">
        <v>739</v>
      </c>
      <c r="J61" s="11">
        <f>J49</f>
        <v>1</v>
      </c>
      <c r="K61" t="n">
        <v>2</v>
      </c>
      <c r="L61" s="3">
        <f>LN(B61)</f>
        <v>-8.5024179058340827</v>
      </c>
      <c r="M61" t="n">
        <v>1</v>
      </c>
      <c r="N61" t="n">
        <v>1</v>
      </c>
      <c r="O61" t="n">
        <v>1</v>
      </c>
      <c r="P61" t="n">
        <v>1.02</v>
      </c>
      <c r="Q61" t="n">
        <v>1.2</v>
      </c>
      <c r="R61" t="n">
        <v>1</v>
      </c>
      <c r="S61" t="n">
        <v>1.05</v>
      </c>
      <c r="T61">
        <f>LN(SQRT(EXP(
SQRT(
+POWER(LN(M61),2)
+POWER(LN(N61),2)
+POWER(LN(O61),2)
+POWER(LN(P61),2)
+POWER(LN(Q61),2)
+POWER(LN(R61),2)
+POWER(LN(S61),2)
)
)))</f>
        <v>9.4886477223156879E-2</v>
      </c>
    </row>
    <row r="62">
      <c r="A62" t="inlineStr">
        <is>
          <t>Sulfur dioxide</t>
        </is>
      </c>
      <c r="B62">
        <f>unallocated!B27/'allocated (energy)'!I62*'allocated (energy)'!J62</f>
        <v>1.5290933694181327E-4</v>
      </c>
      <c r="D62" t="inlineStr">
        <is>
          <t>kilogram</t>
        </is>
      </c>
      <c r="E62" t="inlineStr">
        <is>
          <t>air::urban air close to ground</t>
        </is>
      </c>
      <c r="F62" t="inlineStr">
        <is>
          <t>biosphere</t>
        </is>
      </c>
      <c r="I62" t="n">
        <v>739</v>
      </c>
      <c r="J62" s="11">
        <f>J49</f>
        <v>1</v>
      </c>
      <c r="K62" t="n">
        <v>2</v>
      </c>
      <c r="L62" s="3">
        <f>LN(B62)</f>
        <v>-8.7856653812179974</v>
      </c>
      <c r="M62" t="n">
        <v>1</v>
      </c>
      <c r="N62" t="n">
        <v>1</v>
      </c>
      <c r="O62" t="n">
        <v>1</v>
      </c>
      <c r="P62" t="n">
        <v>1.02</v>
      </c>
      <c r="Q62" t="n">
        <v>1.2</v>
      </c>
      <c r="R62" t="n">
        <v>1</v>
      </c>
      <c r="S62" t="n">
        <v>1.05</v>
      </c>
      <c r="T62">
        <f>LN(SQRT(EXP(
SQRT(
+POWER(LN(M62),2)
+POWER(LN(N62),2)
+POWER(LN(O62),2)
+POWER(LN(P62),2)
+POWER(LN(Q62),2)
+POWER(LN(R62),2)
+POWER(LN(S62),2)
)
)))</f>
        <v>9.4886477223156879E-2</v>
      </c>
    </row>
    <row r="63">
      <c r="A63" t="inlineStr">
        <is>
          <t>Hydrochloric acid</t>
        </is>
      </c>
      <c r="B63">
        <f>unallocated!B28/'allocated (energy)'!I63*'allocated (energy)'!J63</f>
        <v>3.7889039242219218E-5</v>
      </c>
      <c r="D63" t="inlineStr">
        <is>
          <t>kilogram</t>
        </is>
      </c>
      <c r="E63" t="inlineStr">
        <is>
          <t>air</t>
        </is>
      </c>
      <c r="F63" t="inlineStr">
        <is>
          <t>biosphere</t>
        </is>
      </c>
      <c r="I63" t="n">
        <v>739</v>
      </c>
      <c r="J63" s="11">
        <f>J49</f>
        <v>1</v>
      </c>
      <c r="K63" t="n">
        <v>2</v>
      </c>
      <c r="L63" s="3">
        <f>LN(B63)</f>
        <v>-10.180848689755134</v>
      </c>
      <c r="M63" t="n">
        <v>1</v>
      </c>
      <c r="N63" t="n">
        <v>1</v>
      </c>
      <c r="O63" t="n">
        <v>1</v>
      </c>
      <c r="P63" t="n">
        <v>1.02</v>
      </c>
      <c r="Q63" t="n">
        <v>1.2</v>
      </c>
      <c r="R63" t="n">
        <v>1</v>
      </c>
      <c r="S63" t="n">
        <v>1.5</v>
      </c>
      <c r="T63">
        <f>LN(SQRT(EXP(
SQRT(
+POWER(LN(M63),2)
+POWER(LN(N63),2)
+POWER(LN(O63),2)
+POWER(LN(P63),2)
+POWER(LN(Q63),2)
+POWER(LN(R63),2)
+POWER(LN(S63),2)
)
)))</f>
        <v>0.22250575723605889</v>
      </c>
    </row>
    <row r="64">
      <c r="A64" t="inlineStr">
        <is>
          <t>Nitrogen oxides</t>
        </is>
      </c>
      <c r="B64">
        <f>unallocated!B29/'allocated (energy)'!I64*'allocated (energy)'!J64</f>
        <v>9.1610284167794318E-4</v>
      </c>
      <c r="D64" t="inlineStr">
        <is>
          <t>kilogram</t>
        </is>
      </c>
      <c r="E64" t="inlineStr">
        <is>
          <t>air::urban air close to ground</t>
        </is>
      </c>
      <c r="F64" t="inlineStr">
        <is>
          <t>biosphere</t>
        </is>
      </c>
      <c r="I64" t="n">
        <v>739</v>
      </c>
      <c r="J64" s="11">
        <f>J49</f>
        <v>1</v>
      </c>
      <c r="K64" t="n">
        <v>2</v>
      </c>
      <c r="L64" s="3">
        <f>LN(B64)</f>
        <v>-6.9953819270180642</v>
      </c>
      <c r="M64" t="n">
        <v>1</v>
      </c>
      <c r="N64" t="n">
        <v>1</v>
      </c>
      <c r="O64" t="n">
        <v>1</v>
      </c>
      <c r="P64" t="n">
        <v>1.02</v>
      </c>
      <c r="Q64" t="n">
        <v>1.2</v>
      </c>
      <c r="R64" t="n">
        <v>1</v>
      </c>
      <c r="S64" t="n">
        <v>1.5</v>
      </c>
      <c r="T64">
        <f>LN(SQRT(EXP(
SQRT(
+POWER(LN(M64),2)
+POWER(LN(N64),2)
+POWER(LN(O64),2)
+POWER(LN(P64),2)
+POWER(LN(Q64),2)
+POWER(LN(R64),2)
+POWER(LN(S64),2)
)
)))</f>
        <v>0.22250575723605889</v>
      </c>
    </row>
    <row r="65">
      <c r="A65" t="inlineStr">
        <is>
          <t>Ammonia</t>
        </is>
      </c>
      <c r="B65">
        <f>unallocated!B30/'allocated (energy)'!I65*'allocated (energy)'!J65</f>
        <v>6.0893098782138022E-5</v>
      </c>
      <c r="D65" t="inlineStr">
        <is>
          <t>kilogram</t>
        </is>
      </c>
      <c r="E65" t="inlineStr">
        <is>
          <t>air::urban air close to ground</t>
        </is>
      </c>
      <c r="F65" t="inlineStr">
        <is>
          <t>biosphere</t>
        </is>
      </c>
      <c r="I65" t="n">
        <v>739</v>
      </c>
      <c r="J65" s="11">
        <f>J49</f>
        <v>1</v>
      </c>
      <c r="K65" t="n">
        <v>2</v>
      </c>
      <c r="L65" s="3">
        <f>LN(B65)</f>
        <v>-9.7063907101600186</v>
      </c>
      <c r="M65" t="n">
        <v>1</v>
      </c>
      <c r="N65" t="n">
        <v>1</v>
      </c>
      <c r="O65" t="n">
        <v>1</v>
      </c>
      <c r="P65" t="n">
        <v>1.02</v>
      </c>
      <c r="Q65" t="n">
        <v>1.2</v>
      </c>
      <c r="R65" t="n">
        <v>1</v>
      </c>
      <c r="S65" t="n">
        <v>1.5</v>
      </c>
      <c r="T65">
        <f>LN(SQRT(EXP(
SQRT(
+POWER(LN(M65),2)
+POWER(LN(N65),2)
+POWER(LN(O65),2)
+POWER(LN(P65),2)
+POWER(LN(Q65),2)
+POWER(LN(R65),2)
+POWER(LN(S65),2)
)
)))</f>
        <v>0.22250575723605889</v>
      </c>
    </row>
    <row r="66">
      <c r="A66" t="inlineStr">
        <is>
          <t>Particulate Matter, &lt; 2.5 um</t>
        </is>
      </c>
      <c r="B66">
        <f>unallocated!B31/'allocated (energy)'!I66*'allocated (energy)'!J66</f>
        <v>8.1190798376184039E-6</v>
      </c>
      <c r="D66" t="inlineStr">
        <is>
          <t>kilogram</t>
        </is>
      </c>
      <c r="E66" t="inlineStr">
        <is>
          <t>air::urban air close to ground</t>
        </is>
      </c>
      <c r="F66" t="inlineStr">
        <is>
          <t>biosphere</t>
        </is>
      </c>
      <c r="I66" t="n">
        <v>739</v>
      </c>
      <c r="J66" s="11">
        <f>J49</f>
        <v>1</v>
      </c>
      <c r="K66" t="n">
        <v>2</v>
      </c>
      <c r="L66" s="3">
        <f>LN(B66)</f>
        <v>-11.721293730702284</v>
      </c>
      <c r="M66" t="n">
        <v>1</v>
      </c>
      <c r="N66" t="n">
        <v>1</v>
      </c>
      <c r="O66" t="n">
        <v>1</v>
      </c>
      <c r="P66" t="n">
        <v>1.02</v>
      </c>
      <c r="Q66" t="n">
        <v>1.2</v>
      </c>
      <c r="R66" t="n">
        <v>1</v>
      </c>
      <c r="S66" t="n">
        <v>3</v>
      </c>
      <c r="T66">
        <f>LN(SQRT(EXP(
SQRT(
+POWER(LN(M66),2)
+POWER(LN(N66),2)
+POWER(LN(O66),2)
+POWER(LN(P66),2)
+POWER(LN(Q66),2)
+POWER(LN(R66),2)
+POWER(LN(S66),2)
)
)))</f>
        <v>0.5569071410325479</v>
      </c>
    </row>
    <row r="67">
      <c r="A67" t="inlineStr">
        <is>
          <t>Mercury II</t>
        </is>
      </c>
      <c r="B67">
        <f>unallocated!B32/'allocated (energy)'!I67*'allocated (energy)'!J67</f>
        <v>3.1123139377537211E-8</v>
      </c>
      <c r="D67" t="inlineStr">
        <is>
          <t>kilogram</t>
        </is>
      </c>
      <c r="E67" t="inlineStr">
        <is>
          <t>air::urban air close to ground</t>
        </is>
      </c>
      <c r="F67" t="inlineStr">
        <is>
          <t>biosphere</t>
        </is>
      </c>
      <c r="I67" t="n">
        <v>739</v>
      </c>
      <c r="J67" s="11">
        <f>J49</f>
        <v>1</v>
      </c>
      <c r="K67" t="n">
        <v>2</v>
      </c>
      <c r="L67" s="3">
        <f>LN(B67)</f>
        <v>-17.285314262983327</v>
      </c>
      <c r="M67" t="n">
        <v>1</v>
      </c>
      <c r="N67" t="n">
        <v>1</v>
      </c>
      <c r="O67" t="n">
        <v>1</v>
      </c>
      <c r="P67" t="n">
        <v>1.02</v>
      </c>
      <c r="Q67" t="n">
        <v>1.2</v>
      </c>
      <c r="R67" t="n">
        <v>1</v>
      </c>
      <c r="S67" t="n">
        <v>5</v>
      </c>
      <c r="T67">
        <f>LN(SQRT(EXP(
SQRT(
+POWER(LN(M67),2)
+POWER(LN(N67),2)
+POWER(LN(O67),2)
+POWER(LN(P67),2)
+POWER(LN(Q67),2)
+POWER(LN(R67),2)
+POWER(LN(S67),2)
)
)))</f>
        <v>0.80992649174166365</v>
      </c>
    </row>
    <row r="68">
      <c r="A68" t="inlineStr">
        <is>
          <t>Lead II</t>
        </is>
      </c>
      <c r="B68">
        <f>unallocated!B33/'allocated (energy)'!I68*'allocated (energy)'!J68</f>
        <v>7.5778078484438429E-8</v>
      </c>
      <c r="D68" t="inlineStr">
        <is>
          <t>kilogram</t>
        </is>
      </c>
      <c r="E68" t="inlineStr">
        <is>
          <t>air::urban air close to ground</t>
        </is>
      </c>
      <c r="F68" t="inlineStr">
        <is>
          <t>biosphere</t>
        </is>
      </c>
      <c r="I68" t="n">
        <v>739</v>
      </c>
      <c r="J68" s="11">
        <f>J49</f>
        <v>1</v>
      </c>
      <c r="K68" t="n">
        <v>2</v>
      </c>
      <c r="L68" s="3">
        <f>LN(B68)</f>
        <v>-16.395456788177327</v>
      </c>
      <c r="M68" t="n">
        <v>1</v>
      </c>
      <c r="N68" t="n">
        <v>1</v>
      </c>
      <c r="O68" t="n">
        <v>1</v>
      </c>
      <c r="P68" t="n">
        <v>1.02</v>
      </c>
      <c r="Q68" t="n">
        <v>1.2</v>
      </c>
      <c r="R68" t="n">
        <v>1</v>
      </c>
      <c r="S68" t="n">
        <v>5</v>
      </c>
      <c r="T68">
        <f>LN(SQRT(EXP(
SQRT(
+POWER(LN(M68),2)
+POWER(LN(N68),2)
+POWER(LN(O68),2)
+POWER(LN(P68),2)
+POWER(LN(Q68),2)
+POWER(LN(R68),2)
+POWER(LN(S68),2)
)
)))</f>
        <v>0.80992649174166365</v>
      </c>
    </row>
    <row r="69">
      <c r="A69" t="inlineStr">
        <is>
          <t>Cadmium II</t>
        </is>
      </c>
      <c r="B69">
        <f>unallocated!B34/'allocated (energy)'!I69*'allocated (energy)'!J69</f>
        <v>3.7889039242219214E-8</v>
      </c>
      <c r="D69" t="inlineStr">
        <is>
          <t>kilogram</t>
        </is>
      </c>
      <c r="E69" t="inlineStr">
        <is>
          <t>air::urban air close to ground</t>
        </is>
      </c>
      <c r="F69" t="inlineStr">
        <is>
          <t>biosphere</t>
        </is>
      </c>
      <c r="I69" t="n">
        <v>739</v>
      </c>
      <c r="J69" s="11">
        <f>J49</f>
        <v>1</v>
      </c>
      <c r="K69" t="n">
        <v>2</v>
      </c>
      <c r="L69" s="3">
        <f>LN(B69)</f>
        <v>-17.088603968737271</v>
      </c>
      <c r="M69" t="n">
        <v>1</v>
      </c>
      <c r="N69" t="n">
        <v>1</v>
      </c>
      <c r="O69" t="n">
        <v>1</v>
      </c>
      <c r="P69" t="n">
        <v>1.02</v>
      </c>
      <c r="Q69" t="n">
        <v>1.2</v>
      </c>
      <c r="R69" t="n">
        <v>1</v>
      </c>
      <c r="S69" t="n">
        <v>5</v>
      </c>
      <c r="T69">
        <f>LN(SQRT(EXP(
SQRT(
+POWER(LN(M69),2)
+POWER(LN(N69),2)
+POWER(LN(O69),2)
+POWER(LN(P69),2)
+POWER(LN(Q69),2)
+POWER(LN(R69),2)
+POWER(LN(S69),2)
)
)))</f>
        <v>0.80992649174166365</v>
      </c>
    </row>
    <row r="70">
      <c r="A70" t="inlineStr">
        <is>
          <t>Arsenic ion</t>
        </is>
      </c>
      <c r="B70">
        <f>unallocated!B35/'allocated (energy)'!I70*'allocated (energy)'!J70</f>
        <v>8.1190798376184028E-9</v>
      </c>
      <c r="D70" t="inlineStr">
        <is>
          <t>kilogram</t>
        </is>
      </c>
      <c r="E70" t="inlineStr">
        <is>
          <t>air::urban air close to ground</t>
        </is>
      </c>
      <c r="F70" t="inlineStr">
        <is>
          <t>biosphere</t>
        </is>
      </c>
      <c r="I70" t="n">
        <v>739</v>
      </c>
      <c r="J70" s="11">
        <f>J49</f>
        <v>1</v>
      </c>
      <c r="K70" t="n">
        <v>2</v>
      </c>
      <c r="L70" s="3">
        <f>LN(B70)</f>
        <v>-18.629049009684422</v>
      </c>
      <c r="M70" t="n">
        <v>1</v>
      </c>
      <c r="N70" t="n">
        <v>1</v>
      </c>
      <c r="O70" t="n">
        <v>1</v>
      </c>
      <c r="P70" t="n">
        <v>1.02</v>
      </c>
      <c r="Q70" t="n">
        <v>1.2</v>
      </c>
      <c r="R70" t="n">
        <v>1</v>
      </c>
      <c r="S70" t="n">
        <v>5</v>
      </c>
      <c r="T70">
        <f>LN(SQRT(EXP(
SQRT(
+POWER(LN(M70),2)
+POWER(LN(N70),2)
+POWER(LN(O70),2)
+POWER(LN(P70),2)
+POWER(LN(Q70),2)
+POWER(LN(R70),2)
+POWER(LN(S70),2)
)
)))</f>
        <v>0.80992649174166365</v>
      </c>
    </row>
    <row r="71">
      <c r="A71" t="inlineStr">
        <is>
          <t>Dioxins, measured as 2,3,7,8-tetrachlorodibenzo-p-dioxin</t>
        </is>
      </c>
      <c r="B71">
        <f>unallocated!B36/'allocated (energy)'!I71*'allocated (energy)'!J71</f>
        <v>1.4884979702300406E-13</v>
      </c>
      <c r="D71" t="inlineStr">
        <is>
          <t>kilogram</t>
        </is>
      </c>
      <c r="E71" t="inlineStr">
        <is>
          <t>air::urban air close to ground</t>
        </is>
      </c>
      <c r="F71" t="inlineStr">
        <is>
          <t>biosphere</t>
        </is>
      </c>
      <c r="I71" t="n">
        <v>739</v>
      </c>
      <c r="J71" s="11">
        <f>J49</f>
        <v>1</v>
      </c>
      <c r="K71" t="n">
        <v>2</v>
      </c>
      <c r="L71" s="3">
        <f>LN(B71)</f>
        <v>-29.535838671084335</v>
      </c>
      <c r="M71" t="n">
        <v>1</v>
      </c>
      <c r="N71" t="n">
        <v>1</v>
      </c>
      <c r="O71" t="n">
        <v>1</v>
      </c>
      <c r="P71" t="n">
        <v>1.02</v>
      </c>
      <c r="Q71" t="n">
        <v>1.2</v>
      </c>
      <c r="R71" t="n">
        <v>1</v>
      </c>
      <c r="S71" t="n">
        <v>5</v>
      </c>
      <c r="T71">
        <f>LN(SQRT(EXP(
SQRT(
+POWER(LN(M71),2)
+POWER(LN(N71),2)
+POWER(LN(O71),2)
+POWER(LN(P71),2)
+POWER(LN(Q71),2)
+POWER(LN(R71),2)
+POWER(LN(S71),2)
)
)))</f>
        <v>0.80992649174166365</v>
      </c>
    </row>
    <row r="72">
      <c r="A72" t="inlineStr">
        <is>
          <t>Carbon dioxide, fossil</t>
        </is>
      </c>
      <c r="B72">
        <f>unallocated!B37/'allocated (energy)'!I72*'allocated (energy)'!J72</f>
        <v>0.50608930987821377</v>
      </c>
      <c r="D72" t="inlineStr">
        <is>
          <t>kilogram</t>
        </is>
      </c>
      <c r="E72" t="inlineStr">
        <is>
          <t>air::urban air close to ground</t>
        </is>
      </c>
      <c r="F72" t="inlineStr">
        <is>
          <t>biosphere</t>
        </is>
      </c>
      <c r="I72" t="n">
        <v>739</v>
      </c>
      <c r="J72" s="11">
        <f>J49</f>
        <v>1</v>
      </c>
      <c r="K72" t="n">
        <v>2</v>
      </c>
      <c r="L72" s="3">
        <f>LN(B72)</f>
        <v>-0.68104212353366989</v>
      </c>
      <c r="M72" t="n">
        <v>1</v>
      </c>
      <c r="N72" t="n">
        <v>1</v>
      </c>
      <c r="O72" t="n">
        <v>1</v>
      </c>
      <c r="P72" t="n">
        <v>1.02</v>
      </c>
      <c r="Q72" t="n">
        <v>1.2</v>
      </c>
      <c r="R72" t="n">
        <v>1</v>
      </c>
      <c r="S72" t="n">
        <v>1.05</v>
      </c>
      <c r="T72">
        <f>LN(SQRT(EXP(
SQRT(
+POWER(LN(M72),2)
+POWER(LN(N72),2)
+POWER(LN(O72),2)
+POWER(LN(P72),2)
+POWER(LN(Q72),2)
+POWER(LN(R72),2)
+POWER(LN(S72),2)
)
)))</f>
        <v>9.4886477223156879E-2</v>
      </c>
    </row>
    <row r="73">
      <c r="A73" t="inlineStr">
        <is>
          <t>Carbon dioxide, non-fossil</t>
        </is>
      </c>
      <c r="B73">
        <f>unallocated!B38/'allocated (energy)'!I73*'allocated (energy)'!J73</f>
        <v>0.80378890392422198</v>
      </c>
      <c r="D73" t="inlineStr">
        <is>
          <t>kilogram</t>
        </is>
      </c>
      <c r="E73" t="inlineStr">
        <is>
          <t>air::urban air close to ground</t>
        </is>
      </c>
      <c r="F73" t="inlineStr">
        <is>
          <t>biosphere</t>
        </is>
      </c>
      <c r="I73" t="n">
        <v>739</v>
      </c>
      <c r="J73" s="11">
        <f>J49</f>
        <v>1</v>
      </c>
      <c r="K73" t="n">
        <v>2</v>
      </c>
      <c r="L73" s="3">
        <f>LN(B73)</f>
        <v>-0.21841860158555679</v>
      </c>
      <c r="M73" t="n">
        <v>1</v>
      </c>
      <c r="N73" t="n">
        <v>1</v>
      </c>
      <c r="O73" t="n">
        <v>1</v>
      </c>
      <c r="P73" t="n">
        <v>1.02</v>
      </c>
      <c r="Q73" t="n">
        <v>1.2</v>
      </c>
      <c r="R73" t="n">
        <v>1</v>
      </c>
      <c r="S73" t="n">
        <v>1.05</v>
      </c>
      <c r="T73">
        <f>LN(SQRT(EXP(
SQRT(
+POWER(LN(M73),2)
+POWER(LN(N73),2)
+POWER(LN(O73),2)
+POWER(LN(P73),2)
+POWER(LN(Q73),2)
+POWER(LN(R73),2)
+POWER(LN(S73),2)
)
)))</f>
        <v>9.4886477223156879E-2</v>
      </c>
    </row>
    <row r="74"/>
    <row r="75">
      <c r="A75" s="1" t="inlineStr">
        <is>
          <t>Activity</t>
        </is>
      </c>
      <c r="B75" s="1" t="inlineStr">
        <is>
          <t>municipal waste incineration, at incineration plant, with semi-dry air pollution control, without flue gas condensation, with electricity and heat recovery, energy allocation</t>
        </is>
      </c>
    </row>
    <row r="76">
      <c r="A76" t="inlineStr">
        <is>
          <t>location</t>
        </is>
      </c>
      <c r="B76" t="inlineStr">
        <is>
          <t>RER</t>
        </is>
      </c>
    </row>
    <row r="77">
      <c r="A77" t="inlineStr">
        <is>
          <t>production amount</t>
        </is>
      </c>
      <c r="B77" t="n">
        <v>1</v>
      </c>
    </row>
    <row r="78">
      <c r="A78" s="2" t="inlineStr">
        <is>
          <t>source</t>
        </is>
      </c>
      <c r="B78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9">
      <c r="A79" t="inlineStr">
        <is>
          <t>reference product</t>
        </is>
      </c>
      <c r="B79" t="inlineStr">
        <is>
          <t>municipal solid waste</t>
        </is>
      </c>
    </row>
    <row r="80">
      <c r="A80" t="inlineStr">
        <is>
          <t>type</t>
        </is>
      </c>
      <c r="B80" t="inlineStr">
        <is>
          <t>process</t>
        </is>
      </c>
    </row>
    <row r="81">
      <c r="A81" t="inlineStr">
        <is>
          <t>unit</t>
        </is>
      </c>
      <c r="B81" t="inlineStr">
        <is>
          <t>kilogram</t>
        </is>
      </c>
    </row>
    <row r="82">
      <c r="A82" t="inlineStr">
        <is>
          <t>comment</t>
        </is>
      </c>
      <c r="B82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638 kWh. Heat production per ton MSWI incinerated: 6'170 MJ.</t>
        </is>
      </c>
    </row>
    <row r="83">
      <c r="A83" s="1" t="inlineStr">
        <is>
          <t>Exchanges</t>
        </is>
      </c>
    </row>
    <row r="84">
      <c r="A84" s="7" t="inlineStr">
        <is>
          <t>name</t>
        </is>
      </c>
      <c r="B84" s="7" t="inlineStr">
        <is>
          <t>amount</t>
        </is>
      </c>
      <c r="C84" s="7" t="inlineStr">
        <is>
          <t>location</t>
        </is>
      </c>
      <c r="D84" s="7" t="inlineStr">
        <is>
          <t>unit</t>
        </is>
      </c>
      <c r="E84" s="7" t="inlineStr">
        <is>
          <t>categories</t>
        </is>
      </c>
      <c r="F84" s="7" t="inlineStr">
        <is>
          <t>type</t>
        </is>
      </c>
      <c r="G84" s="7" t="inlineStr">
        <is>
          <t>reference product</t>
        </is>
      </c>
      <c r="H84" s="7" t="inlineStr">
        <is>
          <t>comment</t>
        </is>
      </c>
      <c r="I84" s="7" t="inlineStr">
        <is>
          <t>normalization</t>
        </is>
      </c>
      <c r="J84" s="7" t="inlineStr">
        <is>
          <t>allocation</t>
        </is>
      </c>
      <c r="K84" s="7" t="inlineStr">
        <is>
          <t>uncertainty type</t>
        </is>
      </c>
      <c r="L84" s="7" t="inlineStr">
        <is>
          <t>loc</t>
        </is>
      </c>
      <c r="M84" s="1" t="inlineStr">
        <is>
          <t>u1</t>
        </is>
      </c>
      <c r="N84" s="1" t="inlineStr">
        <is>
          <t>u2</t>
        </is>
      </c>
      <c r="O84" s="1" t="inlineStr">
        <is>
          <t>u3</t>
        </is>
      </c>
      <c r="P84" s="1" t="inlineStr">
        <is>
          <t>u4</t>
        </is>
      </c>
      <c r="Q84" s="1" t="inlineStr">
        <is>
          <t>u5</t>
        </is>
      </c>
      <c r="R84" s="1" t="inlineStr">
        <is>
          <t>u6</t>
        </is>
      </c>
      <c r="S84" s="1" t="inlineStr">
        <is>
          <t>ub</t>
        </is>
      </c>
      <c r="T84" s="1" t="inlineStr">
        <is>
          <t>scale</t>
        </is>
      </c>
    </row>
    <row r="85">
      <c r="A85" t="inlineStr">
        <is>
          <t>municipal waste incineration, at incineration plant, with semi-dry air pollution control, without flue gas condensation, with electricity and heat recovery, energy allocation</t>
        </is>
      </c>
      <c r="B85" t="n">
        <v>1</v>
      </c>
      <c r="C85" t="inlineStr">
        <is>
          <t>RER</t>
        </is>
      </c>
      <c r="D85" t="inlineStr">
        <is>
          <t>kilogram</t>
        </is>
      </c>
      <c r="F85" t="inlineStr">
        <is>
          <t>production</t>
        </is>
      </c>
      <c r="G85" t="inlineStr">
        <is>
          <t>municipal solid waste</t>
        </is>
      </c>
      <c r="H85" t="inlineStr"/>
      <c r="I85" t="n">
        <v>1000</v>
      </c>
      <c r="J85" s="14">
        <f>INDEX('allocation keys'!$F$4:$H$28,MATCH('allocated (energy)'!$B$75,'allocation keys'!$B$4:$B$28,0),MATCH('allocated (energy)'!$B$79,'allocation keys'!$F$3:$H$3,0))</f>
        <v>0</v>
      </c>
      <c r="K85" t="n">
        <v>0</v>
      </c>
      <c r="M85" s="5" t="n"/>
      <c r="N85" s="5" t="n"/>
      <c r="O85" s="5" t="n"/>
      <c r="P85" s="5" t="n"/>
      <c r="Q85" s="5" t="n"/>
      <c r="R85" s="5" t="n"/>
    </row>
    <row r="86">
      <c r="A86" t="inlineStr">
        <is>
          <t>municipal waste incineration, at incineration plant, with semi-dry air pollution control, without flue gas condensation, with electricity and heat recovery, energy allocation</t>
        </is>
      </c>
      <c r="B86" s="6" t="n">
        <v>0</v>
      </c>
      <c r="C86" t="inlineStr">
        <is>
          <t>RER</t>
        </is>
      </c>
      <c r="D86" t="inlineStr">
        <is>
          <t>kilowatt hour</t>
        </is>
      </c>
      <c r="F86" t="inlineStr">
        <is>
          <t>technosphere</t>
        </is>
      </c>
      <c r="G86" t="inlineStr">
        <is>
          <t>electricity, medium voltage</t>
        </is>
      </c>
      <c r="H86" t="inlineStr"/>
      <c r="I86" t="n">
        <v>1000</v>
      </c>
      <c r="J86" s="11">
        <f>J85</f>
        <v>0</v>
      </c>
      <c r="K86" t="n">
        <v>0</v>
      </c>
      <c r="L86" s="3" t="n"/>
    </row>
    <row r="87">
      <c r="A87" t="inlineStr">
        <is>
          <t>municipal waste incineration, at incineration plant, with semi-dry air pollution control, without flue gas condensation, with electricity and heat recovery, energy allocation</t>
        </is>
      </c>
      <c r="B87" t="n">
        <v>0</v>
      </c>
      <c r="C87" t="inlineStr">
        <is>
          <t>RER</t>
        </is>
      </c>
      <c r="D87" t="inlineStr">
        <is>
          <t>megajoule</t>
        </is>
      </c>
      <c r="F87" t="inlineStr">
        <is>
          <t>technosphere</t>
        </is>
      </c>
      <c r="G87" t="inlineStr">
        <is>
          <t>heat, district or industrial, other than natural gas</t>
        </is>
      </c>
      <c r="H87" t="inlineStr"/>
      <c r="I87" t="n">
        <v>1000</v>
      </c>
      <c r="J87" s="11">
        <f>J85</f>
        <v>0</v>
      </c>
      <c r="K87" t="n">
        <v>0</v>
      </c>
      <c r="L87" s="3" t="n"/>
    </row>
    <row r="88">
      <c r="A88" t="inlineStr">
        <is>
          <t>market for diesel, low-sulfur</t>
        </is>
      </c>
      <c r="B88">
        <f>unallocated!B53/'allocated (energy)'!I88*'allocated (energy)'!J88</f>
        <v>0</v>
      </c>
      <c r="C88" t="inlineStr">
        <is>
          <t>Europe without Switzerland</t>
        </is>
      </c>
      <c r="D88" t="inlineStr">
        <is>
          <t>kilogram</t>
        </is>
      </c>
      <c r="F88" t="inlineStr">
        <is>
          <t>technosphere</t>
        </is>
      </c>
      <c r="G88" t="inlineStr">
        <is>
          <t>diesel, low-sulfur</t>
        </is>
      </c>
      <c r="H88" t="inlineStr">
        <is>
          <t>Diesel density: 0.85 kg/l</t>
        </is>
      </c>
      <c r="I88" t="n">
        <v>1000</v>
      </c>
      <c r="J88" s="11">
        <f>J85</f>
        <v>0</v>
      </c>
      <c r="K88" t="n">
        <v>0</v>
      </c>
      <c r="L88" s="3" t="n"/>
    </row>
    <row r="89">
      <c r="A89" t="inlineStr">
        <is>
          <t>market for activated carbon, granular</t>
        </is>
      </c>
      <c r="B89">
        <f>unallocated!B54/'allocated (energy)'!I89*'allocated (energy)'!J89</f>
        <v>0</v>
      </c>
      <c r="C89" t="inlineStr">
        <is>
          <t>GLO</t>
        </is>
      </c>
      <c r="D89" t="inlineStr">
        <is>
          <t>kilogram</t>
        </is>
      </c>
      <c r="F89" t="inlineStr">
        <is>
          <t>technosphere</t>
        </is>
      </c>
      <c r="G89" t="inlineStr">
        <is>
          <t>activated carbon, granular</t>
        </is>
      </c>
      <c r="I89" t="n">
        <v>1000</v>
      </c>
      <c r="J89" s="11">
        <f>J85</f>
        <v>0</v>
      </c>
      <c r="K89" t="n">
        <v>0</v>
      </c>
      <c r="L89" s="3" t="n"/>
    </row>
    <row r="90">
      <c r="A90" t="inlineStr">
        <is>
          <t>market for ammonia, anhydrous, liquid</t>
        </is>
      </c>
      <c r="B90">
        <f>unallocated!B55/'allocated (energy)'!I90*'allocated (energy)'!J90</f>
        <v>0</v>
      </c>
      <c r="C90" t="inlineStr">
        <is>
          <t>RER</t>
        </is>
      </c>
      <c r="D90" t="inlineStr">
        <is>
          <t>kilogram</t>
        </is>
      </c>
      <c r="F90" t="inlineStr">
        <is>
          <t>technosphere</t>
        </is>
      </c>
      <c r="G90" t="inlineStr">
        <is>
          <t>ammonia, anhydrous, liquid</t>
        </is>
      </c>
      <c r="H90" t="inlineStr">
        <is>
          <t>100% liquid ammonia. In original publication, it is dilluated to 23.5% in water. We discount the original value by 75%.</t>
        </is>
      </c>
      <c r="I90" t="n">
        <v>1000</v>
      </c>
      <c r="J90" s="11">
        <f>J85</f>
        <v>0</v>
      </c>
      <c r="K90" t="n">
        <v>0</v>
      </c>
      <c r="L90" s="3" t="n"/>
    </row>
    <row r="91">
      <c r="A91" t="inlineStr">
        <is>
          <t>market for tap water</t>
        </is>
      </c>
      <c r="B91">
        <f>unallocated!B56/'allocated (energy)'!I91*'allocated (energy)'!J91</f>
        <v>0</v>
      </c>
      <c r="C91" t="inlineStr">
        <is>
          <t>Europe without Switzerland</t>
        </is>
      </c>
      <c r="D91" t="inlineStr">
        <is>
          <t>kilogram</t>
        </is>
      </c>
      <c r="F91" t="inlineStr">
        <is>
          <t>technosphere</t>
        </is>
      </c>
      <c r="G91" t="inlineStr">
        <is>
          <t>tap water</t>
        </is>
      </c>
      <c r="H91" t="inlineStr">
        <is>
          <t>Used to dilute the ammonia.</t>
        </is>
      </c>
      <c r="I91" t="n">
        <v>1000</v>
      </c>
      <c r="J91" s="11">
        <f>J85</f>
        <v>0</v>
      </c>
      <c r="K91" t="n">
        <v>0</v>
      </c>
      <c r="L91" s="3" t="n"/>
    </row>
    <row r="92">
      <c r="A92" t="inlineStr">
        <is>
          <t>market for calcium carbonate, precipitated</t>
        </is>
      </c>
      <c r="B92">
        <f>unallocated!B57/'allocated (energy)'!I92*'allocated (energy)'!J92</f>
        <v>0</v>
      </c>
      <c r="C92" t="inlineStr">
        <is>
          <t>RER</t>
        </is>
      </c>
      <c r="D92" t="inlineStr">
        <is>
          <t>kilogram</t>
        </is>
      </c>
      <c r="F92" t="inlineStr">
        <is>
          <t>technosphere</t>
        </is>
      </c>
      <c r="G92" t="inlineStr">
        <is>
          <t>calcium carbonate, precipitated</t>
        </is>
      </c>
      <c r="I92" t="n">
        <v>1000</v>
      </c>
      <c r="J92" s="11">
        <f>J85</f>
        <v>0</v>
      </c>
      <c r="K92" t="n">
        <v>0</v>
      </c>
      <c r="L92" s="3" t="n"/>
    </row>
    <row r="93">
      <c r="A93" t="inlineStr">
        <is>
          <t>market for iron(III) chloride, without water, in 40% solution state</t>
        </is>
      </c>
      <c r="B93">
        <f>unallocated!B58/'allocated (energy)'!I93*'allocated (energy)'!J93</f>
        <v>0</v>
      </c>
      <c r="C93" t="inlineStr">
        <is>
          <t>GLO</t>
        </is>
      </c>
      <c r="D93" t="inlineStr">
        <is>
          <t>kilogram</t>
        </is>
      </c>
      <c r="F93" t="inlineStr">
        <is>
          <t>technosphere</t>
        </is>
      </c>
      <c r="G93" t="inlineStr">
        <is>
          <t>iron(III) chloride, without water, in 40% solution state</t>
        </is>
      </c>
      <c r="I93" t="n">
        <v>1000</v>
      </c>
      <c r="J93" s="11">
        <f>J85</f>
        <v>0</v>
      </c>
      <c r="K93" t="n">
        <v>0</v>
      </c>
      <c r="L93" s="3" t="n"/>
    </row>
    <row r="94">
      <c r="A94" t="inlineStr">
        <is>
          <t>market for lime, hydrated, packed</t>
        </is>
      </c>
      <c r="B94">
        <f>unallocated!B59/'allocated (energy)'!I94*'allocated (energy)'!J94</f>
        <v>0</v>
      </c>
      <c r="C94" t="inlineStr">
        <is>
          <t>RER</t>
        </is>
      </c>
      <c r="D94" t="inlineStr">
        <is>
          <t>kilogram</t>
        </is>
      </c>
      <c r="F94" t="inlineStr">
        <is>
          <t>technosphere</t>
        </is>
      </c>
      <c r="G94" t="inlineStr">
        <is>
          <t>lime, hydrated, packed</t>
        </is>
      </c>
      <c r="I94" t="n">
        <v>1000</v>
      </c>
      <c r="J94" s="11">
        <f>J85</f>
        <v>0</v>
      </c>
      <c r="K94" t="n">
        <v>0</v>
      </c>
      <c r="L94" s="3" t="n"/>
    </row>
    <row r="95">
      <c r="A95" t="inlineStr">
        <is>
          <t>market for sodium hydroxide, without water, in 50% solution state</t>
        </is>
      </c>
      <c r="B95">
        <f>unallocated!B60/'allocated (energy)'!I95*'allocated (energy)'!J95</f>
        <v>0</v>
      </c>
      <c r="C95" t="inlineStr">
        <is>
          <t>RER</t>
        </is>
      </c>
      <c r="D95" t="inlineStr">
        <is>
          <t>kilogram</t>
        </is>
      </c>
      <c r="F95" t="inlineStr">
        <is>
          <t>technosphere</t>
        </is>
      </c>
      <c r="G95" t="inlineStr">
        <is>
          <t>sodium hydroxide, without water, in 50% solution state</t>
        </is>
      </c>
      <c r="H95" t="inlineStr">
        <is>
          <t>50% liquid ammonia. In original publication, it is dilluated to 27% in water. We discount the original value by 50%.</t>
        </is>
      </c>
      <c r="I95" t="n">
        <v>1000</v>
      </c>
      <c r="J95" s="11">
        <f>J85</f>
        <v>0</v>
      </c>
      <c r="K95" t="n">
        <v>0</v>
      </c>
      <c r="L95" s="3" t="n"/>
    </row>
    <row r="96">
      <c r="A96" t="inlineStr">
        <is>
          <t>market for monoethanolamine</t>
        </is>
      </c>
      <c r="B96">
        <f>unallocated!B61/'allocated (energy)'!I96*'allocated (energy)'!J96</f>
        <v>0</v>
      </c>
      <c r="C96" t="inlineStr">
        <is>
          <t>GLO</t>
        </is>
      </c>
      <c r="D96" t="inlineStr">
        <is>
          <t>kilogram</t>
        </is>
      </c>
      <c r="F96" t="inlineStr">
        <is>
          <t>technosphere</t>
        </is>
      </c>
      <c r="G96" t="inlineStr">
        <is>
          <t>monoethanolamine</t>
        </is>
      </c>
      <c r="I96" t="n">
        <v>1000</v>
      </c>
      <c r="J96" s="11">
        <f>J85</f>
        <v>0</v>
      </c>
      <c r="K96" t="n">
        <v>0</v>
      </c>
      <c r="L96" s="3" t="n"/>
    </row>
    <row r="97">
      <c r="A97" t="inlineStr">
        <is>
          <t>municipal waste incineration facility construction</t>
        </is>
      </c>
      <c r="B97">
        <f>unallocated!B62/'allocated (energy)'!I97*'allocated (energy)'!J97</f>
        <v>0</v>
      </c>
      <c r="C97" t="inlineStr">
        <is>
          <t>CH</t>
        </is>
      </c>
      <c r="D97" t="inlineStr">
        <is>
          <t>unit</t>
        </is>
      </c>
      <c r="F97" t="inlineStr">
        <is>
          <t>technosphere</t>
        </is>
      </c>
      <c r="G97" t="inlineStr">
        <is>
          <t>municipal waste incineration facility</t>
        </is>
      </c>
      <c r="H97" t="inlineStr">
        <is>
          <t>Lifetime: 4'000'000 tons MSWI treated.</t>
        </is>
      </c>
      <c r="I97" t="n">
        <v>1000</v>
      </c>
      <c r="J97" s="11">
        <f>J85</f>
        <v>0</v>
      </c>
      <c r="K97" t="n">
        <v>0</v>
      </c>
      <c r="L97" s="3" t="n"/>
    </row>
    <row r="98">
      <c r="A98" t="inlineStr">
        <is>
          <t>Water, cooling, unspecified natural origin</t>
        </is>
      </c>
      <c r="B98">
        <f>unallocated!B63/'allocated (energy)'!I98*'allocated (energy)'!J98</f>
        <v>0</v>
      </c>
      <c r="D98" t="inlineStr">
        <is>
          <t>cubic meter</t>
        </is>
      </c>
      <c r="E98" t="inlineStr">
        <is>
          <t>natural resource::in water</t>
        </is>
      </c>
      <c r="F98" t="inlineStr">
        <is>
          <t>biosphere</t>
        </is>
      </c>
      <c r="I98" t="n">
        <v>1000</v>
      </c>
      <c r="J98" s="11">
        <f>J85</f>
        <v>0</v>
      </c>
      <c r="K98" t="n">
        <v>0</v>
      </c>
      <c r="L98" s="3" t="n"/>
    </row>
    <row r="99">
      <c r="A99" t="inlineStr">
        <is>
          <t>Sulfur dioxide</t>
        </is>
      </c>
      <c r="B99">
        <f>unallocated!B64/'allocated (energy)'!I99*'allocated (energy)'!J99</f>
        <v>0</v>
      </c>
      <c r="D99" t="inlineStr">
        <is>
          <t>kilogram</t>
        </is>
      </c>
      <c r="E99" t="inlineStr">
        <is>
          <t>air::urban air close to ground</t>
        </is>
      </c>
      <c r="F99" t="inlineStr">
        <is>
          <t>biosphere</t>
        </is>
      </c>
      <c r="I99" t="n">
        <v>1000</v>
      </c>
      <c r="J99" s="11">
        <f>J85</f>
        <v>0</v>
      </c>
      <c r="K99" t="n">
        <v>0</v>
      </c>
      <c r="L99" s="3" t="n"/>
    </row>
    <row r="100">
      <c r="A100" t="inlineStr">
        <is>
          <t>Hydrochloric acid</t>
        </is>
      </c>
      <c r="B100">
        <f>unallocated!B65/'allocated (energy)'!I100*'allocated (energy)'!J100</f>
        <v>0</v>
      </c>
      <c r="D100" t="inlineStr">
        <is>
          <t>kilogram</t>
        </is>
      </c>
      <c r="E100" t="inlineStr">
        <is>
          <t>air</t>
        </is>
      </c>
      <c r="F100" t="inlineStr">
        <is>
          <t>biosphere</t>
        </is>
      </c>
      <c r="I100" t="n">
        <v>1000</v>
      </c>
      <c r="J100" s="11">
        <f>J85</f>
        <v>0</v>
      </c>
      <c r="K100" t="n">
        <v>0</v>
      </c>
      <c r="L100" s="3" t="n"/>
    </row>
    <row r="101">
      <c r="A101" t="inlineStr">
        <is>
          <t>Nitrogen oxides</t>
        </is>
      </c>
      <c r="B101">
        <f>unallocated!B66/'allocated (energy)'!I101*'allocated (energy)'!J101</f>
        <v>0</v>
      </c>
      <c r="D101" t="inlineStr">
        <is>
          <t>kilogram</t>
        </is>
      </c>
      <c r="E101" t="inlineStr">
        <is>
          <t>air::urban air close to ground</t>
        </is>
      </c>
      <c r="F101" t="inlineStr">
        <is>
          <t>biosphere</t>
        </is>
      </c>
      <c r="I101" t="n">
        <v>1000</v>
      </c>
      <c r="J101" s="11">
        <f>J85</f>
        <v>0</v>
      </c>
      <c r="K101" t="n">
        <v>0</v>
      </c>
      <c r="L101" s="3" t="n"/>
    </row>
    <row r="102">
      <c r="A102" t="inlineStr">
        <is>
          <t>Ammonia</t>
        </is>
      </c>
      <c r="B102">
        <f>unallocated!B67/'allocated (energy)'!I102*'allocated (energy)'!J102</f>
        <v>0</v>
      </c>
      <c r="D102" t="inlineStr">
        <is>
          <t>kilogram</t>
        </is>
      </c>
      <c r="E102" t="inlineStr">
        <is>
          <t>air::urban air close to ground</t>
        </is>
      </c>
      <c r="F102" t="inlineStr">
        <is>
          <t>biosphere</t>
        </is>
      </c>
      <c r="I102" t="n">
        <v>1000</v>
      </c>
      <c r="J102" s="11">
        <f>J85</f>
        <v>0</v>
      </c>
      <c r="K102" t="n">
        <v>0</v>
      </c>
      <c r="L102" s="3" t="n"/>
    </row>
    <row r="103">
      <c r="A103" t="inlineStr">
        <is>
          <t>Particulate Matter, &lt; 2.5 um</t>
        </is>
      </c>
      <c r="B103">
        <f>unallocated!B68/'allocated (energy)'!I103*'allocated (energy)'!J103</f>
        <v>0</v>
      </c>
      <c r="D103" t="inlineStr">
        <is>
          <t>kilogram</t>
        </is>
      </c>
      <c r="E103" t="inlineStr">
        <is>
          <t>air::urban air close to ground</t>
        </is>
      </c>
      <c r="F103" t="inlineStr">
        <is>
          <t>biosphere</t>
        </is>
      </c>
      <c r="I103" t="n">
        <v>1000</v>
      </c>
      <c r="J103" s="11">
        <f>J85</f>
        <v>0</v>
      </c>
      <c r="K103" t="n">
        <v>0</v>
      </c>
      <c r="L103" s="3" t="n"/>
    </row>
    <row r="104">
      <c r="A104" t="inlineStr">
        <is>
          <t>Mercury II</t>
        </is>
      </c>
      <c r="B104">
        <f>unallocated!B69/'allocated (energy)'!I104*'allocated (energy)'!J104</f>
        <v>0</v>
      </c>
      <c r="D104" t="inlineStr">
        <is>
          <t>kilogram</t>
        </is>
      </c>
      <c r="E104" t="inlineStr">
        <is>
          <t>air::urban air close to ground</t>
        </is>
      </c>
      <c r="F104" t="inlineStr">
        <is>
          <t>biosphere</t>
        </is>
      </c>
      <c r="I104" t="n">
        <v>1000</v>
      </c>
      <c r="J104" s="11">
        <f>J85</f>
        <v>0</v>
      </c>
      <c r="K104" t="n">
        <v>0</v>
      </c>
      <c r="L104" s="3" t="n"/>
    </row>
    <row r="105">
      <c r="A105" t="inlineStr">
        <is>
          <t>Lead II</t>
        </is>
      </c>
      <c r="B105">
        <f>unallocated!B70/'allocated (energy)'!I105*'allocated (energy)'!J105</f>
        <v>0</v>
      </c>
      <c r="D105" t="inlineStr">
        <is>
          <t>kilogram</t>
        </is>
      </c>
      <c r="E105" t="inlineStr">
        <is>
          <t>air::urban air close to ground</t>
        </is>
      </c>
      <c r="F105" t="inlineStr">
        <is>
          <t>biosphere</t>
        </is>
      </c>
      <c r="I105" t="n">
        <v>1000</v>
      </c>
      <c r="J105" s="11">
        <f>J85</f>
        <v>0</v>
      </c>
      <c r="K105" t="n">
        <v>0</v>
      </c>
      <c r="L105" s="3" t="n"/>
    </row>
    <row r="106">
      <c r="A106" t="inlineStr">
        <is>
          <t>Cadmium II</t>
        </is>
      </c>
      <c r="B106">
        <f>unallocated!B71/'allocated (energy)'!I106*'allocated (energy)'!J106</f>
        <v>0</v>
      </c>
      <c r="D106" t="inlineStr">
        <is>
          <t>kilogram</t>
        </is>
      </c>
      <c r="E106" t="inlineStr">
        <is>
          <t>air::urban air close to ground</t>
        </is>
      </c>
      <c r="F106" t="inlineStr">
        <is>
          <t>biosphere</t>
        </is>
      </c>
      <c r="I106" t="n">
        <v>1000</v>
      </c>
      <c r="J106" s="11">
        <f>J85</f>
        <v>0</v>
      </c>
      <c r="K106" t="n">
        <v>0</v>
      </c>
      <c r="L106" s="3" t="n"/>
    </row>
    <row r="107">
      <c r="A107" t="inlineStr">
        <is>
          <t>Arsenic ion</t>
        </is>
      </c>
      <c r="B107">
        <f>unallocated!B72/'allocated (energy)'!I107*'allocated (energy)'!J107</f>
        <v>0</v>
      </c>
      <c r="D107" t="inlineStr">
        <is>
          <t>kilogram</t>
        </is>
      </c>
      <c r="E107" t="inlineStr">
        <is>
          <t>air::urban air close to ground</t>
        </is>
      </c>
      <c r="F107" t="inlineStr">
        <is>
          <t>biosphere</t>
        </is>
      </c>
      <c r="I107" t="n">
        <v>1000</v>
      </c>
      <c r="J107" s="11">
        <f>J85</f>
        <v>0</v>
      </c>
      <c r="K107" t="n">
        <v>0</v>
      </c>
      <c r="L107" s="3" t="n"/>
    </row>
    <row r="108">
      <c r="A108" t="inlineStr">
        <is>
          <t>Dioxins, measured as 2,3,7,8-tetrachlorodibenzo-p-dioxin</t>
        </is>
      </c>
      <c r="B108">
        <f>unallocated!B73/'allocated (energy)'!I108*'allocated (energy)'!J108</f>
        <v>0</v>
      </c>
      <c r="D108" t="inlineStr">
        <is>
          <t>kilogram</t>
        </is>
      </c>
      <c r="E108" t="inlineStr">
        <is>
          <t>air::urban air close to ground</t>
        </is>
      </c>
      <c r="F108" t="inlineStr">
        <is>
          <t>biosphere</t>
        </is>
      </c>
      <c r="I108" t="n">
        <v>1000</v>
      </c>
      <c r="J108" s="11">
        <f>J85</f>
        <v>0</v>
      </c>
      <c r="K108" t="n">
        <v>0</v>
      </c>
      <c r="L108" s="3" t="n"/>
    </row>
    <row r="109">
      <c r="A109" t="inlineStr">
        <is>
          <t>Carbon dioxide, fossil</t>
        </is>
      </c>
      <c r="B109">
        <f>unallocated!B74/'allocated (energy)'!I109*'allocated (energy)'!J109</f>
        <v>0</v>
      </c>
      <c r="D109" t="inlineStr">
        <is>
          <t>kilogram</t>
        </is>
      </c>
      <c r="E109" t="inlineStr">
        <is>
          <t>air::urban air close to ground</t>
        </is>
      </c>
      <c r="F109" t="inlineStr">
        <is>
          <t>biosphere</t>
        </is>
      </c>
      <c r="I109" t="n">
        <v>1000</v>
      </c>
      <c r="J109" s="11">
        <f>J85</f>
        <v>0</v>
      </c>
      <c r="K109" t="n">
        <v>0</v>
      </c>
      <c r="L109" s="3" t="n"/>
    </row>
    <row r="110">
      <c r="A110" t="inlineStr">
        <is>
          <t>Carbon dioxide, non-fossil</t>
        </is>
      </c>
      <c r="B110">
        <f>unallocated!B75/'allocated (energy)'!I110*'allocated (energy)'!J110</f>
        <v>0</v>
      </c>
      <c r="D110" t="inlineStr">
        <is>
          <t>kilogram</t>
        </is>
      </c>
      <c r="E110" t="inlineStr">
        <is>
          <t>air::urban air close to ground</t>
        </is>
      </c>
      <c r="F110" t="inlineStr">
        <is>
          <t>biosphere</t>
        </is>
      </c>
      <c r="I110" t="n">
        <v>1000</v>
      </c>
      <c r="J110" s="11">
        <f>J85</f>
        <v>0</v>
      </c>
      <c r="K110" t="n">
        <v>0</v>
      </c>
      <c r="L110" s="3" t="n"/>
    </row>
    <row r="111"/>
    <row r="112">
      <c r="A112" s="1" t="inlineStr">
        <is>
          <t>Activity</t>
        </is>
      </c>
      <c r="B112" s="1" t="inlineStr">
        <is>
          <t>municipal waste incineration, at incineration plant, with semi-dry air pollution control, without flue gas condensation, with electricity and heat recovery, energy allocation</t>
        </is>
      </c>
    </row>
    <row r="113">
      <c r="A113" t="inlineStr">
        <is>
          <t>location</t>
        </is>
      </c>
      <c r="B113" t="inlineStr">
        <is>
          <t>RER</t>
        </is>
      </c>
    </row>
    <row r="114">
      <c r="A114" t="inlineStr">
        <is>
          <t>production amount</t>
        </is>
      </c>
      <c r="B114" t="n">
        <v>1</v>
      </c>
    </row>
    <row r="115">
      <c r="A115" s="2" t="inlineStr">
        <is>
          <t>source</t>
        </is>
      </c>
      <c r="B115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16">
      <c r="A116" t="inlineStr">
        <is>
          <t>reference product</t>
        </is>
      </c>
      <c r="B116" t="inlineStr">
        <is>
          <t>electricity, medium voltage</t>
        </is>
      </c>
    </row>
    <row r="117">
      <c r="A117" t="inlineStr">
        <is>
          <t>type</t>
        </is>
      </c>
      <c r="B117" t="inlineStr">
        <is>
          <t>process</t>
        </is>
      </c>
    </row>
    <row r="118">
      <c r="A118" t="inlineStr">
        <is>
          <t>unit</t>
        </is>
      </c>
      <c r="B118" t="inlineStr">
        <is>
          <t>kilowatt hour</t>
        </is>
      </c>
    </row>
    <row r="119">
      <c r="A119" t="inlineStr">
        <is>
          <t>comment</t>
        </is>
      </c>
      <c r="B119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638 kWh. Heat production per ton MSWI incinerated: 6'170 MJ.</t>
        </is>
      </c>
    </row>
    <row r="120">
      <c r="A120" s="1" t="inlineStr">
        <is>
          <t>Exchanges</t>
        </is>
      </c>
    </row>
    <row r="121">
      <c r="A121" s="7" t="inlineStr">
        <is>
          <t>name</t>
        </is>
      </c>
      <c r="B121" s="7" t="inlineStr">
        <is>
          <t>amount</t>
        </is>
      </c>
      <c r="C121" s="7" t="inlineStr">
        <is>
          <t>location</t>
        </is>
      </c>
      <c r="D121" s="7" t="inlineStr">
        <is>
          <t>unit</t>
        </is>
      </c>
      <c r="E121" s="7" t="inlineStr">
        <is>
          <t>categories</t>
        </is>
      </c>
      <c r="F121" s="7" t="inlineStr">
        <is>
          <t>type</t>
        </is>
      </c>
      <c r="G121" s="7" t="inlineStr">
        <is>
          <t>reference product</t>
        </is>
      </c>
      <c r="H121" s="7" t="inlineStr">
        <is>
          <t>comment</t>
        </is>
      </c>
      <c r="I121" s="7" t="inlineStr">
        <is>
          <t>normalization</t>
        </is>
      </c>
      <c r="J121" s="7" t="inlineStr">
        <is>
          <t>allocation</t>
        </is>
      </c>
      <c r="K121" s="7" t="inlineStr">
        <is>
          <t>uncertainty type</t>
        </is>
      </c>
      <c r="L121" s="7" t="inlineStr">
        <is>
          <t>loc</t>
        </is>
      </c>
      <c r="M121" s="1" t="inlineStr">
        <is>
          <t>u1</t>
        </is>
      </c>
      <c r="N121" s="1" t="inlineStr">
        <is>
          <t>u2</t>
        </is>
      </c>
      <c r="O121" s="1" t="inlineStr">
        <is>
          <t>u3</t>
        </is>
      </c>
      <c r="P121" s="1" t="inlineStr">
        <is>
          <t>u4</t>
        </is>
      </c>
      <c r="Q121" s="1" t="inlineStr">
        <is>
          <t>u5</t>
        </is>
      </c>
      <c r="R121" s="1" t="inlineStr">
        <is>
          <t>u6</t>
        </is>
      </c>
      <c r="S121" s="1" t="inlineStr">
        <is>
          <t>ub</t>
        </is>
      </c>
      <c r="T121" s="1" t="inlineStr">
        <is>
          <t>scale</t>
        </is>
      </c>
    </row>
    <row r="122">
      <c r="A122" t="inlineStr">
        <is>
          <t>municipal waste incineration, at incineration plant, with semi-dry air pollution control, without flue gas condensation, with electricity and heat recovery, energy allocation</t>
        </is>
      </c>
      <c r="B122" t="n">
        <v>0</v>
      </c>
      <c r="C122" t="inlineStr">
        <is>
          <t>RER</t>
        </is>
      </c>
      <c r="D122" t="inlineStr">
        <is>
          <t>kilogram</t>
        </is>
      </c>
      <c r="F122" t="inlineStr">
        <is>
          <t>technosphere</t>
        </is>
      </c>
      <c r="G122" t="inlineStr">
        <is>
          <t>municipal solid waste</t>
        </is>
      </c>
      <c r="H122" t="inlineStr"/>
      <c r="I122" t="n">
        <v>638</v>
      </c>
      <c r="J122" s="14">
        <f>INDEX('allocation keys'!$F$4:$H$28,MATCH('allocated (energy)'!$B$112,'allocation keys'!$B$4:$B$28,0),MATCH('allocated (energy)'!$B$116,'allocation keys'!$F$3:$H$3,0))</f>
        <v>0.27127131856191244</v>
      </c>
      <c r="K122" t="n">
        <v>0</v>
      </c>
      <c r="M122" s="5" t="n"/>
      <c r="N122" s="5" t="n"/>
      <c r="O122" s="5" t="n"/>
      <c r="P122" s="5" t="n"/>
      <c r="Q122" s="5" t="n"/>
      <c r="R122" s="5" t="n"/>
    </row>
    <row r="123">
      <c r="A123" t="inlineStr">
        <is>
          <t>municipal waste incineration, at incineration plant, with semi-dry air pollution control, without flue gas condensation, with electricity and heat recovery, energy allocation</t>
        </is>
      </c>
      <c r="B123" s="6" t="n">
        <v>1</v>
      </c>
      <c r="C123" t="inlineStr">
        <is>
          <t>RER</t>
        </is>
      </c>
      <c r="D123" t="inlineStr">
        <is>
          <t>kilowatt hour</t>
        </is>
      </c>
      <c r="F123" t="inlineStr">
        <is>
          <t>production</t>
        </is>
      </c>
      <c r="G123" t="inlineStr">
        <is>
          <t>electricity, medium voltage</t>
        </is>
      </c>
      <c r="H123" t="inlineStr"/>
      <c r="I123" t="n">
        <v>638</v>
      </c>
      <c r="J123" s="11">
        <f>J122</f>
        <v>0.27127131856191244</v>
      </c>
      <c r="K123" t="n">
        <v>0</v>
      </c>
      <c r="L123" s="3" t="n"/>
    </row>
    <row r="124">
      <c r="A124" t="inlineStr">
        <is>
          <t>municipal waste incineration, at incineration plant, with semi-dry air pollution control, without flue gas condensation, with electricity and heat recovery, energy allocation</t>
        </is>
      </c>
      <c r="B124" t="n">
        <v>0</v>
      </c>
      <c r="C124" t="inlineStr">
        <is>
          <t>RER</t>
        </is>
      </c>
      <c r="D124" t="inlineStr">
        <is>
          <t>megajoule</t>
        </is>
      </c>
      <c r="F124" t="inlineStr">
        <is>
          <t>technosphere</t>
        </is>
      </c>
      <c r="G124" t="inlineStr">
        <is>
          <t>heat, district or industrial, other than natural gas</t>
        </is>
      </c>
      <c r="H124" t="inlineStr"/>
      <c r="I124" t="n">
        <v>638</v>
      </c>
      <c r="J124" s="11">
        <f>J122</f>
        <v>0.27127131856191244</v>
      </c>
      <c r="K124" t="n">
        <v>0</v>
      </c>
      <c r="L124" s="3" t="n"/>
    </row>
    <row r="125">
      <c r="A125" t="inlineStr">
        <is>
          <t>market for diesel, low-sulfur</t>
        </is>
      </c>
      <c r="B125">
        <f>unallocated!B53/'allocated (energy)'!I125*'allocated (energy)'!J125</f>
        <v>3.6141163131289278E-5</v>
      </c>
      <c r="C125" t="inlineStr">
        <is>
          <t>Europe without Switzerland</t>
        </is>
      </c>
      <c r="D125" t="inlineStr">
        <is>
          <t>kilogram</t>
        </is>
      </c>
      <c r="F125" t="inlineStr">
        <is>
          <t>technosphere</t>
        </is>
      </c>
      <c r="G125" t="inlineStr">
        <is>
          <t>diesel, low-sulfur</t>
        </is>
      </c>
      <c r="H125" t="inlineStr">
        <is>
          <t>Diesel density: 0.85 kg/l</t>
        </is>
      </c>
      <c r="I125" t="n">
        <v>638</v>
      </c>
      <c r="J125" s="11">
        <f>J122</f>
        <v>0.27127131856191244</v>
      </c>
      <c r="K125" t="n">
        <v>2</v>
      </c>
      <c r="L125" s="3">
        <f>LN(B125)</f>
        <v>-10.228078089275771</v>
      </c>
      <c r="M125" t="n">
        <v>1</v>
      </c>
      <c r="N125" t="n">
        <v>1</v>
      </c>
      <c r="O125" t="n">
        <v>1</v>
      </c>
      <c r="P125" t="n">
        <v>1.02</v>
      </c>
      <c r="Q125" t="n">
        <v>1.2</v>
      </c>
      <c r="R125" t="n">
        <v>1</v>
      </c>
      <c r="S125" t="n">
        <v>1.05</v>
      </c>
      <c r="T125">
        <f>LN(SQRT(EXP(
SQRT(
+POWER(LN(M125),2)
+POWER(LN(N125),2)
+POWER(LN(O125),2)
+POWER(LN(P125),2)
+POWER(LN(Q125),2)
+POWER(LN(R125),2)
+POWER(LN(S125),2)
)
)))</f>
        <v>9.4886477223156879E-2</v>
      </c>
    </row>
    <row r="126">
      <c r="A126" t="inlineStr">
        <is>
          <t>market for activated carbon, granular</t>
        </is>
      </c>
      <c r="B126">
        <f>unallocated!B54/'allocated (energy)'!I126*'allocated (energy)'!J126</f>
        <v>1.7007606179430249E-4</v>
      </c>
      <c r="C126" t="inlineStr">
        <is>
          <t>GLO</t>
        </is>
      </c>
      <c r="D126" t="inlineStr">
        <is>
          <t>kilogram</t>
        </is>
      </c>
      <c r="F126" t="inlineStr">
        <is>
          <t>technosphere</t>
        </is>
      </c>
      <c r="G126" t="inlineStr">
        <is>
          <t>activated carbon, granular</t>
        </is>
      </c>
      <c r="I126" t="n">
        <v>638</v>
      </c>
      <c r="J126" s="11">
        <f>J122</f>
        <v>0.27127131856191244</v>
      </c>
      <c r="K126" t="n">
        <v>2</v>
      </c>
      <c r="L126" s="3">
        <f>LN(B126)</f>
        <v>-8.6792647986581066</v>
      </c>
      <c r="M126" t="n">
        <v>1</v>
      </c>
      <c r="N126" t="n">
        <v>1</v>
      </c>
      <c r="O126" t="n">
        <v>1</v>
      </c>
      <c r="P126" t="n">
        <v>1.02</v>
      </c>
      <c r="Q126" t="n">
        <v>1.2</v>
      </c>
      <c r="R126" t="n">
        <v>1</v>
      </c>
      <c r="S126" t="n">
        <v>1.05</v>
      </c>
      <c r="T126">
        <f>LN(SQRT(EXP(
SQRT(
+POWER(LN(M126),2)
+POWER(LN(N126),2)
+POWER(LN(O126),2)
+POWER(LN(P126),2)
+POWER(LN(Q126),2)
+POWER(LN(R126),2)
+POWER(LN(S126),2)
)
)))</f>
        <v>9.4886477223156879E-2</v>
      </c>
    </row>
    <row r="127">
      <c r="A127" t="inlineStr">
        <is>
          <t>market for ammonia, anhydrous, liquid</t>
        </is>
      </c>
      <c r="B127">
        <f>unallocated!B55/'allocated (energy)'!I127*'allocated (energy)'!J127</f>
        <v>4.1668635139604105E-4</v>
      </c>
      <c r="C127" t="inlineStr">
        <is>
          <t>RER</t>
        </is>
      </c>
      <c r="D127" t="inlineStr">
        <is>
          <t>kilogram</t>
        </is>
      </c>
      <c r="F127" t="inlineStr">
        <is>
          <t>technosphere</t>
        </is>
      </c>
      <c r="G127" t="inlineStr">
        <is>
          <t>ammonia, anhydrous, liquid</t>
        </is>
      </c>
      <c r="H127" t="inlineStr">
        <is>
          <t>100% liquid ammonia. In original publication, it is dilluated to 23.5% in water. We discount the original value by 75%.</t>
        </is>
      </c>
      <c r="I127" t="n">
        <v>638</v>
      </c>
      <c r="J127" s="11">
        <f>J122</f>
        <v>0.27127131856191244</v>
      </c>
      <c r="K127" t="n">
        <v>2</v>
      </c>
      <c r="L127" s="3">
        <f>LN(B127)</f>
        <v>-7.7831767741014701</v>
      </c>
      <c r="M127" t="n">
        <v>1</v>
      </c>
      <c r="N127" t="n">
        <v>1</v>
      </c>
      <c r="O127" t="n">
        <v>1</v>
      </c>
      <c r="P127" t="n">
        <v>1.02</v>
      </c>
      <c r="Q127" t="n">
        <v>1.2</v>
      </c>
      <c r="R127" t="n">
        <v>1</v>
      </c>
      <c r="S127" t="n">
        <v>1.05</v>
      </c>
      <c r="T127">
        <f>LN(SQRT(EXP(
SQRT(
+POWER(LN(M127),2)
+POWER(LN(N127),2)
+POWER(LN(O127),2)
+POWER(LN(P127),2)
+POWER(LN(Q127),2)
+POWER(LN(R127),2)
+POWER(LN(S127),2)
)
)))</f>
        <v>9.4886477223156879E-2</v>
      </c>
    </row>
    <row r="128">
      <c r="A128" t="inlineStr">
        <is>
          <t>market for tap water</t>
        </is>
      </c>
      <c r="B128">
        <f>unallocated!B56/'allocated (energy)'!I128*'allocated (energy)'!J128</f>
        <v>1.2840742665469836E-3</v>
      </c>
      <c r="C128" t="inlineStr">
        <is>
          <t>Europe without Switzerland</t>
        </is>
      </c>
      <c r="D128" t="inlineStr">
        <is>
          <t>kilogram</t>
        </is>
      </c>
      <c r="F128" t="inlineStr">
        <is>
          <t>technosphere</t>
        </is>
      </c>
      <c r="G128" t="inlineStr">
        <is>
          <t>tap water</t>
        </is>
      </c>
      <c r="H128" t="inlineStr">
        <is>
          <t>Used to dilute the ammonia.</t>
        </is>
      </c>
      <c r="I128" t="n">
        <v>638</v>
      </c>
      <c r="J128" s="11">
        <f>J122</f>
        <v>0.27127131856191244</v>
      </c>
      <c r="K128" t="n">
        <v>2</v>
      </c>
      <c r="L128" s="3">
        <f>LN(B128)</f>
        <v>-6.6577172353971728</v>
      </c>
      <c r="M128" t="n">
        <v>1</v>
      </c>
      <c r="N128" t="n">
        <v>1</v>
      </c>
      <c r="O128" t="n">
        <v>1</v>
      </c>
      <c r="P128" t="n">
        <v>1.02</v>
      </c>
      <c r="Q128" t="n">
        <v>1.2</v>
      </c>
      <c r="R128" t="n">
        <v>1</v>
      </c>
      <c r="S128" t="n">
        <v>1.05</v>
      </c>
      <c r="T128">
        <f>LN(SQRT(EXP(
SQRT(
+POWER(LN(M128),2)
+POWER(LN(N128),2)
+POWER(LN(O128),2)
+POWER(LN(P128),2)
+POWER(LN(Q128),2)
+POWER(LN(R128),2)
+POWER(LN(S128),2)
)
)))</f>
        <v>9.4886477223156879E-2</v>
      </c>
    </row>
    <row r="129">
      <c r="A129" t="inlineStr">
        <is>
          <t>market for calcium carbonate, precipitated</t>
        </is>
      </c>
      <c r="B129">
        <f>unallocated!B57/'allocated (energy)'!I129*'allocated (energy)'!J129</f>
        <v>0</v>
      </c>
      <c r="C129" t="inlineStr">
        <is>
          <t>RER</t>
        </is>
      </c>
      <c r="D129" t="inlineStr">
        <is>
          <t>kilogram</t>
        </is>
      </c>
      <c r="F129" t="inlineStr">
        <is>
          <t>technosphere</t>
        </is>
      </c>
      <c r="G129" t="inlineStr">
        <is>
          <t>calcium carbonate, precipitated</t>
        </is>
      </c>
      <c r="I129" t="n">
        <v>638</v>
      </c>
      <c r="J129" s="11">
        <f>J122</f>
        <v>0.27127131856191244</v>
      </c>
      <c r="K129" t="n">
        <v>0</v>
      </c>
      <c r="L129" s="3" t="n"/>
    </row>
    <row r="130">
      <c r="A130" t="inlineStr">
        <is>
          <t>market for iron(III) chloride, without water, in 40% solution state</t>
        </is>
      </c>
      <c r="B130">
        <f>unallocated!B58/'allocated (energy)'!I130*'allocated (energy)'!J130</f>
        <v>0</v>
      </c>
      <c r="C130" t="inlineStr">
        <is>
          <t>GLO</t>
        </is>
      </c>
      <c r="D130" t="inlineStr">
        <is>
          <t>kilogram</t>
        </is>
      </c>
      <c r="F130" t="inlineStr">
        <is>
          <t>technosphere</t>
        </is>
      </c>
      <c r="G130" t="inlineStr">
        <is>
          <t>iron(III) chloride, without water, in 40% solution state</t>
        </is>
      </c>
      <c r="I130" t="n">
        <v>638</v>
      </c>
      <c r="J130" s="11">
        <f>J122</f>
        <v>0.27127131856191244</v>
      </c>
      <c r="K130" t="n">
        <v>0</v>
      </c>
      <c r="L130" s="3" t="n"/>
    </row>
    <row r="131">
      <c r="A131" t="inlineStr">
        <is>
          <t>market for lime, hydrated, packed</t>
        </is>
      </c>
      <c r="B131">
        <f>unallocated!B59/'allocated (energy)'!I131*'allocated (energy)'!J131</f>
        <v>4.677091699343318E-3</v>
      </c>
      <c r="C131" t="inlineStr">
        <is>
          <t>RER</t>
        </is>
      </c>
      <c r="D131" t="inlineStr">
        <is>
          <t>kilogram</t>
        </is>
      </c>
      <c r="F131" t="inlineStr">
        <is>
          <t>technosphere</t>
        </is>
      </c>
      <c r="G131" t="inlineStr">
        <is>
          <t>lime, hydrated, packed</t>
        </is>
      </c>
      <c r="I131" t="n">
        <v>638</v>
      </c>
      <c r="J131" s="11">
        <f>J122</f>
        <v>0.27127131856191244</v>
      </c>
      <c r="K131" t="n">
        <v>2</v>
      </c>
      <c r="L131" s="3">
        <f>LN(B131)</f>
        <v>-5.36507879398558</v>
      </c>
      <c r="M131" t="n">
        <v>1</v>
      </c>
      <c r="N131" t="n">
        <v>1</v>
      </c>
      <c r="O131" t="n">
        <v>1</v>
      </c>
      <c r="P131" t="n">
        <v>1.02</v>
      </c>
      <c r="Q131" t="n">
        <v>1.2</v>
      </c>
      <c r="R131" t="n">
        <v>1</v>
      </c>
      <c r="S131" t="n">
        <v>1.05</v>
      </c>
      <c r="T131">
        <f>LN(SQRT(EXP(
SQRT(
+POWER(LN(M131),2)
+POWER(LN(N131),2)
+POWER(LN(O131),2)
+POWER(LN(P131),2)
+POWER(LN(Q131),2)
+POWER(LN(R131),2)
+POWER(LN(S131),2)
)
)))</f>
        <v>9.4886477223156879E-2</v>
      </c>
    </row>
    <row r="132">
      <c r="A132" t="inlineStr">
        <is>
          <t>market for sodium hydroxide, without water, in 50% solution state</t>
        </is>
      </c>
      <c r="B132">
        <f>unallocated!B60/'allocated (energy)'!I132*'allocated (energy)'!J132</f>
        <v>0</v>
      </c>
      <c r="C132" t="inlineStr">
        <is>
          <t>RER</t>
        </is>
      </c>
      <c r="D132" t="inlineStr">
        <is>
          <t>kilogram</t>
        </is>
      </c>
      <c r="F132" t="inlineStr">
        <is>
          <t>technosphere</t>
        </is>
      </c>
      <c r="G132" t="inlineStr">
        <is>
          <t>sodium hydroxide, without water, in 50% solution state</t>
        </is>
      </c>
      <c r="H132" t="inlineStr">
        <is>
          <t>50% liquid ammonia. In original publication, it is dilluated to 27% in water. We discount the original value by 50%.</t>
        </is>
      </c>
      <c r="I132" t="n">
        <v>638</v>
      </c>
      <c r="J132" s="11">
        <f>J122</f>
        <v>0.27127131856191244</v>
      </c>
      <c r="K132" t="n">
        <v>0</v>
      </c>
      <c r="L132" s="3" t="n"/>
    </row>
    <row r="133">
      <c r="A133" t="inlineStr">
        <is>
          <t>market for monoethanolamine</t>
        </is>
      </c>
      <c r="B133">
        <f>unallocated!B61/'allocated (energy)'!I133*'allocated (energy)'!J133</f>
        <v>0</v>
      </c>
      <c r="C133" t="inlineStr">
        <is>
          <t>GLO</t>
        </is>
      </c>
      <c r="D133" t="inlineStr">
        <is>
          <t>kilogram</t>
        </is>
      </c>
      <c r="F133" t="inlineStr">
        <is>
          <t>technosphere</t>
        </is>
      </c>
      <c r="G133" t="inlineStr">
        <is>
          <t>monoethanolamine</t>
        </is>
      </c>
      <c r="I133" t="n">
        <v>638</v>
      </c>
      <c r="J133" s="11">
        <f>J122</f>
        <v>0.27127131856191244</v>
      </c>
      <c r="K133" t="n">
        <v>0</v>
      </c>
      <c r="L133" s="3" t="n"/>
    </row>
    <row r="134">
      <c r="A134" t="inlineStr">
        <is>
          <t>municipal waste incineration facility construction</t>
        </is>
      </c>
      <c r="B134">
        <f>unallocated!B62/'allocated (energy)'!I134*'allocated (energy)'!J134</f>
        <v>1.0629753862143904E-10</v>
      </c>
      <c r="C134" t="inlineStr">
        <is>
          <t>CH</t>
        </is>
      </c>
      <c r="D134" t="inlineStr">
        <is>
          <t>unit</t>
        </is>
      </c>
      <c r="F134" t="inlineStr">
        <is>
          <t>technosphere</t>
        </is>
      </c>
      <c r="G134" t="inlineStr">
        <is>
          <t>municipal waste incineration facility</t>
        </is>
      </c>
      <c r="H134" t="inlineStr">
        <is>
          <t>Lifetime: 4'000'000 tons MSWI treated.</t>
        </is>
      </c>
      <c r="I134" t="n">
        <v>638</v>
      </c>
      <c r="J134" s="11">
        <f>J122</f>
        <v>0.27127131856191244</v>
      </c>
      <c r="K134" t="n">
        <v>2</v>
      </c>
      <c r="L134" s="3">
        <f>LN(B134)</f>
        <v>-22.964778985868115</v>
      </c>
      <c r="M134" t="n">
        <v>1</v>
      </c>
      <c r="N134" t="n">
        <v>1</v>
      </c>
      <c r="O134" t="n">
        <v>1</v>
      </c>
      <c r="P134" t="n">
        <v>1.02</v>
      </c>
      <c r="Q134" t="n">
        <v>1.2</v>
      </c>
      <c r="R134" t="n">
        <v>1</v>
      </c>
      <c r="S134" t="n">
        <v>3</v>
      </c>
      <c r="T134">
        <f>LN(SQRT(EXP(
SQRT(
+POWER(LN(M134),2)
+POWER(LN(N134),2)
+POWER(LN(O134),2)
+POWER(LN(P134),2)
+POWER(LN(Q134),2)
+POWER(LN(R134),2)
+POWER(LN(S134),2)
)
)))</f>
        <v>0.5569071410325479</v>
      </c>
    </row>
    <row r="135">
      <c r="A135" t="inlineStr">
        <is>
          <t>Water, cooling, unspecified natural origin</t>
        </is>
      </c>
      <c r="B135">
        <f>unallocated!B63/'allocated (energy)'!I135*'allocated (energy)'!J135</f>
        <v>6.3778523172863428E-5</v>
      </c>
      <c r="D135" t="inlineStr">
        <is>
          <t>cubic meter</t>
        </is>
      </c>
      <c r="E135" t="inlineStr">
        <is>
          <t>natural resource::in water</t>
        </is>
      </c>
      <c r="F135" t="inlineStr">
        <is>
          <t>biosphere</t>
        </is>
      </c>
      <c r="I135" t="n">
        <v>638</v>
      </c>
      <c r="J135" s="11">
        <f>J122</f>
        <v>0.27127131856191244</v>
      </c>
      <c r="K135" t="n">
        <v>2</v>
      </c>
      <c r="L135" s="3">
        <f>LN(B135)</f>
        <v>-9.6600940516698319</v>
      </c>
      <c r="M135" t="n">
        <v>1</v>
      </c>
      <c r="N135" t="n">
        <v>1</v>
      </c>
      <c r="O135" t="n">
        <v>1</v>
      </c>
      <c r="P135" t="n">
        <v>1.02</v>
      </c>
      <c r="Q135" t="n">
        <v>1.2</v>
      </c>
      <c r="R135" t="n">
        <v>1</v>
      </c>
      <c r="S135" t="n">
        <v>1.05</v>
      </c>
      <c r="T135">
        <f>LN(SQRT(EXP(
SQRT(
+POWER(LN(M135),2)
+POWER(LN(N135),2)
+POWER(LN(O135),2)
+POWER(LN(P135),2)
+POWER(LN(Q135),2)
+POWER(LN(R135),2)
+POWER(LN(S135),2)
)
)))</f>
        <v>9.4886477223156879E-2</v>
      </c>
    </row>
    <row r="136">
      <c r="A136" t="inlineStr">
        <is>
          <t>Sulfur dioxide</t>
        </is>
      </c>
      <c r="B136">
        <f>unallocated!B64/'allocated (energy)'!I136*'allocated (energy)'!J136</f>
        <v>4.8046487456890452E-5</v>
      </c>
      <c r="D136" t="inlineStr">
        <is>
          <t>kilogram</t>
        </is>
      </c>
      <c r="E136" t="inlineStr">
        <is>
          <t>air::urban air close to ground</t>
        </is>
      </c>
      <c r="F136" t="inlineStr">
        <is>
          <t>biosphere</t>
        </is>
      </c>
      <c r="I136" t="n">
        <v>638</v>
      </c>
      <c r="J136" s="11">
        <f>J122</f>
        <v>0.27127131856191244</v>
      </c>
      <c r="K136" t="n">
        <v>2</v>
      </c>
      <c r="L136" s="3">
        <f>LN(B136)</f>
        <v>-9.9433415270537466</v>
      </c>
      <c r="M136" t="n">
        <v>1</v>
      </c>
      <c r="N136" t="n">
        <v>1</v>
      </c>
      <c r="O136" t="n">
        <v>1</v>
      </c>
      <c r="P136" t="n">
        <v>1.02</v>
      </c>
      <c r="Q136" t="n">
        <v>1.2</v>
      </c>
      <c r="R136" t="n">
        <v>1</v>
      </c>
      <c r="S136" t="n">
        <v>1.05</v>
      </c>
      <c r="T136">
        <f>LN(SQRT(EXP(
SQRT(
+POWER(LN(M136),2)
+POWER(LN(N136),2)
+POWER(LN(O136),2)
+POWER(LN(P136),2)
+POWER(LN(Q136),2)
+POWER(LN(R136),2)
+POWER(LN(S136),2)
)
)))</f>
        <v>9.4886477223156879E-2</v>
      </c>
    </row>
    <row r="137">
      <c r="A137" t="inlineStr">
        <is>
          <t>Hydrochloric acid</t>
        </is>
      </c>
      <c r="B137">
        <f>unallocated!B65/'allocated (energy)'!I137*'allocated (energy)'!J137</f>
        <v>1.1905324325601174E-5</v>
      </c>
      <c r="D137" t="inlineStr">
        <is>
          <t>kilogram</t>
        </is>
      </c>
      <c r="E137" t="inlineStr">
        <is>
          <t>air</t>
        </is>
      </c>
      <c r="F137" t="inlineStr">
        <is>
          <t>biosphere</t>
        </is>
      </c>
      <c r="I137" t="n">
        <v>638</v>
      </c>
      <c r="J137" s="11">
        <f>J122</f>
        <v>0.27127131856191244</v>
      </c>
      <c r="K137" t="n">
        <v>2</v>
      </c>
      <c r="L137" s="3">
        <f>LN(B137)</f>
        <v>-11.338524835590883</v>
      </c>
      <c r="M137" t="n">
        <v>1</v>
      </c>
      <c r="N137" t="n">
        <v>1</v>
      </c>
      <c r="O137" t="n">
        <v>1</v>
      </c>
      <c r="P137" t="n">
        <v>1.02</v>
      </c>
      <c r="Q137" t="n">
        <v>1.2</v>
      </c>
      <c r="R137" t="n">
        <v>1</v>
      </c>
      <c r="S137" t="n">
        <v>1.5</v>
      </c>
      <c r="T137">
        <f>LN(SQRT(EXP(
SQRT(
+POWER(LN(M137),2)
+POWER(LN(N137),2)
+POWER(LN(O137),2)
+POWER(LN(P137),2)
+POWER(LN(Q137),2)
+POWER(LN(R137),2)
+POWER(LN(S137),2)
)
)))</f>
        <v>0.22250575723605889</v>
      </c>
    </row>
    <row r="138">
      <c r="A138" t="inlineStr">
        <is>
          <t>Nitrogen oxides</t>
        </is>
      </c>
      <c r="B138">
        <f>unallocated!B66/'allocated (energy)'!I138*'allocated (energy)'!J138</f>
        <v>2.8785373458685697E-4</v>
      </c>
      <c r="D138" t="inlineStr">
        <is>
          <t>kilogram</t>
        </is>
      </c>
      <c r="E138" t="inlineStr">
        <is>
          <t>air::urban air close to ground</t>
        </is>
      </c>
      <c r="F138" t="inlineStr">
        <is>
          <t>biosphere</t>
        </is>
      </c>
      <c r="I138" t="n">
        <v>638</v>
      </c>
      <c r="J138" s="11">
        <f>J122</f>
        <v>0.27127131856191244</v>
      </c>
      <c r="K138" t="n">
        <v>2</v>
      </c>
      <c r="L138" s="3">
        <f>LN(B138)</f>
        <v>-8.1530580728538133</v>
      </c>
      <c r="M138" t="n">
        <v>1</v>
      </c>
      <c r="N138" t="n">
        <v>1</v>
      </c>
      <c r="O138" t="n">
        <v>1</v>
      </c>
      <c r="P138" t="n">
        <v>1.02</v>
      </c>
      <c r="Q138" t="n">
        <v>1.2</v>
      </c>
      <c r="R138" t="n">
        <v>1</v>
      </c>
      <c r="S138" t="n">
        <v>1.5</v>
      </c>
      <c r="T138">
        <f>LN(SQRT(EXP(
SQRT(
+POWER(LN(M138),2)
+POWER(LN(N138),2)
+POWER(LN(O138),2)
+POWER(LN(P138),2)
+POWER(LN(Q138),2)
+POWER(LN(R138),2)
+POWER(LN(S138),2)
)
)))</f>
        <v>0.22250575723605889</v>
      </c>
    </row>
    <row r="139">
      <c r="A139" t="inlineStr">
        <is>
          <t>Ammonia</t>
        </is>
      </c>
      <c r="B139">
        <f>unallocated!B67/'allocated (energy)'!I139*'allocated (energy)'!J139</f>
        <v>1.913355695185903E-5</v>
      </c>
      <c r="D139" t="inlineStr">
        <is>
          <t>kilogram</t>
        </is>
      </c>
      <c r="E139" t="inlineStr">
        <is>
          <t>air::urban air close to ground</t>
        </is>
      </c>
      <c r="F139" t="inlineStr">
        <is>
          <t>biosphere</t>
        </is>
      </c>
      <c r="I139" t="n">
        <v>638</v>
      </c>
      <c r="J139" s="11">
        <f>J122</f>
        <v>0.27127131856191244</v>
      </c>
      <c r="K139" t="n">
        <v>2</v>
      </c>
      <c r="L139" s="3">
        <f>LN(B139)</f>
        <v>-10.864066855995768</v>
      </c>
      <c r="M139" t="n">
        <v>1</v>
      </c>
      <c r="N139" t="n">
        <v>1</v>
      </c>
      <c r="O139" t="n">
        <v>1</v>
      </c>
      <c r="P139" t="n">
        <v>1.02</v>
      </c>
      <c r="Q139" t="n">
        <v>1.2</v>
      </c>
      <c r="R139" t="n">
        <v>1</v>
      </c>
      <c r="S139" t="n">
        <v>1.5</v>
      </c>
      <c r="T139">
        <f>LN(SQRT(EXP(
SQRT(
+POWER(LN(M139),2)
+POWER(LN(N139),2)
+POWER(LN(O139),2)
+POWER(LN(P139),2)
+POWER(LN(Q139),2)
+POWER(LN(R139),2)
+POWER(LN(S139),2)
)
)))</f>
        <v>0.22250575723605889</v>
      </c>
    </row>
    <row r="140">
      <c r="A140" t="inlineStr">
        <is>
          <t>Particulate Matter, &lt; 2.5 um</t>
        </is>
      </c>
      <c r="B140">
        <f>unallocated!B68/'allocated (energy)'!I140*'allocated (energy)'!J140</f>
        <v>2.5511409269145373E-6</v>
      </c>
      <c r="D140" t="inlineStr">
        <is>
          <t>kilogram</t>
        </is>
      </c>
      <c r="E140" t="inlineStr">
        <is>
          <t>air::urban air close to ground</t>
        </is>
      </c>
      <c r="F140" t="inlineStr">
        <is>
          <t>biosphere</t>
        </is>
      </c>
      <c r="I140" t="n">
        <v>638</v>
      </c>
      <c r="J140" s="11">
        <f>J122</f>
        <v>0.27127131856191244</v>
      </c>
      <c r="K140" t="n">
        <v>2</v>
      </c>
      <c r="L140" s="3">
        <f>LN(B140)</f>
        <v>-12.878969876538033</v>
      </c>
      <c r="M140" t="n">
        <v>1</v>
      </c>
      <c r="N140" t="n">
        <v>1</v>
      </c>
      <c r="O140" t="n">
        <v>1</v>
      </c>
      <c r="P140" t="n">
        <v>1.02</v>
      </c>
      <c r="Q140" t="n">
        <v>1.2</v>
      </c>
      <c r="R140" t="n">
        <v>1</v>
      </c>
      <c r="S140" t="n">
        <v>3</v>
      </c>
      <c r="T140">
        <f>LN(SQRT(EXP(
SQRT(
+POWER(LN(M140),2)
+POWER(LN(N140),2)
+POWER(LN(O140),2)
+POWER(LN(P140),2)
+POWER(LN(Q140),2)
+POWER(LN(R140),2)
+POWER(LN(S140),2)
)
)))</f>
        <v>0.5569071410325479</v>
      </c>
    </row>
    <row r="141">
      <c r="A141" t="inlineStr">
        <is>
          <t>Mercury II</t>
        </is>
      </c>
      <c r="B141">
        <f>unallocated!B69/'allocated (energy)'!I141*'allocated (energy)'!J141</f>
        <v>9.7793735531723934E-9</v>
      </c>
      <c r="D141" t="inlineStr">
        <is>
          <t>kilogram</t>
        </is>
      </c>
      <c r="E141" t="inlineStr">
        <is>
          <t>air::urban air close to ground</t>
        </is>
      </c>
      <c r="F141" t="inlineStr">
        <is>
          <t>biosphere</t>
        </is>
      </c>
      <c r="I141" t="n">
        <v>638</v>
      </c>
      <c r="J141" s="11">
        <f>J122</f>
        <v>0.27127131856191244</v>
      </c>
      <c r="K141" t="n">
        <v>2</v>
      </c>
      <c r="L141" s="3">
        <f>LN(B141)</f>
        <v>-18.442990408819075</v>
      </c>
      <c r="M141" t="n">
        <v>1</v>
      </c>
      <c r="N141" t="n">
        <v>1</v>
      </c>
      <c r="O141" t="n">
        <v>1</v>
      </c>
      <c r="P141" t="n">
        <v>1.02</v>
      </c>
      <c r="Q141" t="n">
        <v>1.2</v>
      </c>
      <c r="R141" t="n">
        <v>1</v>
      </c>
      <c r="S141" t="n">
        <v>5</v>
      </c>
      <c r="T141">
        <f>LN(SQRT(EXP(
SQRT(
+POWER(LN(M141),2)
+POWER(LN(N141),2)
+POWER(LN(O141),2)
+POWER(LN(P141),2)
+POWER(LN(Q141),2)
+POWER(LN(R141),2)
+POWER(LN(S141),2)
)
)))</f>
        <v>0.80992649174166365</v>
      </c>
    </row>
    <row r="142">
      <c r="A142" t="inlineStr">
        <is>
          <t>Lead II</t>
        </is>
      </c>
      <c r="B142">
        <f>unallocated!B70/'allocated (energy)'!I142*'allocated (energy)'!J142</f>
        <v>2.3810648651202349E-8</v>
      </c>
      <c r="D142" t="inlineStr">
        <is>
          <t>kilogram</t>
        </is>
      </c>
      <c r="E142" t="inlineStr">
        <is>
          <t>air::urban air close to ground</t>
        </is>
      </c>
      <c r="F142" t="inlineStr">
        <is>
          <t>biosphere</t>
        </is>
      </c>
      <c r="I142" t="n">
        <v>638</v>
      </c>
      <c r="J142" s="11">
        <f>J122</f>
        <v>0.27127131856191244</v>
      </c>
      <c r="K142" t="n">
        <v>2</v>
      </c>
      <c r="L142" s="3">
        <f>LN(B142)</f>
        <v>-17.553132934013075</v>
      </c>
      <c r="M142" t="n">
        <v>1</v>
      </c>
      <c r="N142" t="n">
        <v>1</v>
      </c>
      <c r="O142" t="n">
        <v>1</v>
      </c>
      <c r="P142" t="n">
        <v>1.02</v>
      </c>
      <c r="Q142" t="n">
        <v>1.2</v>
      </c>
      <c r="R142" t="n">
        <v>1</v>
      </c>
      <c r="S142" t="n">
        <v>5</v>
      </c>
      <c r="T142">
        <f>LN(SQRT(EXP(
SQRT(
+POWER(LN(M142),2)
+POWER(LN(N142),2)
+POWER(LN(O142),2)
+POWER(LN(P142),2)
+POWER(LN(Q142),2)
+POWER(LN(R142),2)
+POWER(LN(S142),2)
)
)))</f>
        <v>0.80992649174166365</v>
      </c>
    </row>
    <row r="143">
      <c r="A143" t="inlineStr">
        <is>
          <t>Cadmium II</t>
        </is>
      </c>
      <c r="B143">
        <f>unallocated!B71/'allocated (energy)'!I143*'allocated (energy)'!J143</f>
        <v>1.1905324325601174E-8</v>
      </c>
      <c r="D143" t="inlineStr">
        <is>
          <t>kilogram</t>
        </is>
      </c>
      <c r="E143" t="inlineStr">
        <is>
          <t>air::urban air close to ground</t>
        </is>
      </c>
      <c r="F143" t="inlineStr">
        <is>
          <t>biosphere</t>
        </is>
      </c>
      <c r="I143" t="n">
        <v>638</v>
      </c>
      <c r="J143" s="11">
        <f>J122</f>
        <v>0.27127131856191244</v>
      </c>
      <c r="K143" t="n">
        <v>2</v>
      </c>
      <c r="L143" s="3">
        <f>LN(B143)</f>
        <v>-18.246280114573022</v>
      </c>
      <c r="M143" t="n">
        <v>1</v>
      </c>
      <c r="N143" t="n">
        <v>1</v>
      </c>
      <c r="O143" t="n">
        <v>1</v>
      </c>
      <c r="P143" t="n">
        <v>1.02</v>
      </c>
      <c r="Q143" t="n">
        <v>1.2</v>
      </c>
      <c r="R143" t="n">
        <v>1</v>
      </c>
      <c r="S143" t="n">
        <v>5</v>
      </c>
      <c r="T143">
        <f>LN(SQRT(EXP(
SQRT(
+POWER(LN(M143),2)
+POWER(LN(N143),2)
+POWER(LN(O143),2)
+POWER(LN(P143),2)
+POWER(LN(Q143),2)
+POWER(LN(R143),2)
+POWER(LN(S143),2)
)
)))</f>
        <v>0.80992649174166365</v>
      </c>
    </row>
    <row r="144">
      <c r="A144" t="inlineStr">
        <is>
          <t>Arsenic ion</t>
        </is>
      </c>
      <c r="B144">
        <f>unallocated!B72/'allocated (energy)'!I144*'allocated (energy)'!J144</f>
        <v>2.5511409269145371E-9</v>
      </c>
      <c r="D144" t="inlineStr">
        <is>
          <t>kilogram</t>
        </is>
      </c>
      <c r="E144" t="inlineStr">
        <is>
          <t>air::urban air close to ground</t>
        </is>
      </c>
      <c r="F144" t="inlineStr">
        <is>
          <t>biosphere</t>
        </is>
      </c>
      <c r="I144" t="n">
        <v>638</v>
      </c>
      <c r="J144" s="11">
        <f>J122</f>
        <v>0.27127131856191244</v>
      </c>
      <c r="K144" t="n">
        <v>2</v>
      </c>
      <c r="L144" s="3">
        <f>LN(B144)</f>
        <v>-19.78672515552017</v>
      </c>
      <c r="M144" t="n">
        <v>1</v>
      </c>
      <c r="N144" t="n">
        <v>1</v>
      </c>
      <c r="O144" t="n">
        <v>1</v>
      </c>
      <c r="P144" t="n">
        <v>1.02</v>
      </c>
      <c r="Q144" t="n">
        <v>1.2</v>
      </c>
      <c r="R144" t="n">
        <v>1</v>
      </c>
      <c r="S144" t="n">
        <v>5</v>
      </c>
      <c r="T144">
        <f>LN(SQRT(EXP(
SQRT(
+POWER(LN(M144),2)
+POWER(LN(N144),2)
+POWER(LN(O144),2)
+POWER(LN(P144),2)
+POWER(LN(Q144),2)
+POWER(LN(R144),2)
+POWER(LN(S144),2)
)
)))</f>
        <v>0.80992649174166365</v>
      </c>
    </row>
    <row r="145">
      <c r="A145" t="inlineStr">
        <is>
          <t>Dioxins, measured as 2,3,7,8-tetrachlorodibenzo-p-dioxin</t>
        </is>
      </c>
      <c r="B145">
        <f>unallocated!B73/'allocated (energy)'!I145*'allocated (energy)'!J145</f>
        <v>4.6770916993433179E-14</v>
      </c>
      <c r="D145" t="inlineStr">
        <is>
          <t>kilogram</t>
        </is>
      </c>
      <c r="E145" t="inlineStr">
        <is>
          <t>air::urban air close to ground</t>
        </is>
      </c>
      <c r="F145" t="inlineStr">
        <is>
          <t>biosphere</t>
        </is>
      </c>
      <c r="I145" t="n">
        <v>638</v>
      </c>
      <c r="J145" s="11">
        <f>J122</f>
        <v>0.27127131856191244</v>
      </c>
      <c r="K145" t="n">
        <v>2</v>
      </c>
      <c r="L145" s="3">
        <f>LN(B145)</f>
        <v>-30.693514816920082</v>
      </c>
      <c r="M145" t="n">
        <v>1</v>
      </c>
      <c r="N145" t="n">
        <v>1</v>
      </c>
      <c r="O145" t="n">
        <v>1</v>
      </c>
      <c r="P145" t="n">
        <v>1.02</v>
      </c>
      <c r="Q145" t="n">
        <v>1.2</v>
      </c>
      <c r="R145" t="n">
        <v>1</v>
      </c>
      <c r="S145" t="n">
        <v>5</v>
      </c>
      <c r="T145">
        <f>LN(SQRT(EXP(
SQRT(
+POWER(LN(M145),2)
+POWER(LN(N145),2)
+POWER(LN(O145),2)
+POWER(LN(P145),2)
+POWER(LN(Q145),2)
+POWER(LN(R145),2)
+POWER(LN(S145),2)
)
)))</f>
        <v>0.80992649174166365</v>
      </c>
    </row>
    <row r="146">
      <c r="A146" t="inlineStr">
        <is>
          <t>Carbon dioxide, fossil</t>
        </is>
      </c>
      <c r="B146">
        <f>unallocated!B74/'allocated (energy)'!I146*'allocated (energy)'!J146</f>
        <v>0.1590211177776728</v>
      </c>
      <c r="D146" t="inlineStr">
        <is>
          <t>kilogram</t>
        </is>
      </c>
      <c r="E146" t="inlineStr">
        <is>
          <t>air::urban air close to ground</t>
        </is>
      </c>
      <c r="F146" t="inlineStr">
        <is>
          <t>biosphere</t>
        </is>
      </c>
      <c r="I146" t="n">
        <v>638</v>
      </c>
      <c r="J146" s="11">
        <f>J122</f>
        <v>0.27127131856191244</v>
      </c>
      <c r="K146" t="n">
        <v>2</v>
      </c>
      <c r="L146" s="3">
        <f>LN(B146)</f>
        <v>-1.8387182693694191</v>
      </c>
      <c r="M146" t="n">
        <v>1</v>
      </c>
      <c r="N146" t="n">
        <v>1</v>
      </c>
      <c r="O146" t="n">
        <v>1</v>
      </c>
      <c r="P146" t="n">
        <v>1.02</v>
      </c>
      <c r="Q146" t="n">
        <v>1.2</v>
      </c>
      <c r="R146" t="n">
        <v>1</v>
      </c>
      <c r="S146" t="n">
        <v>1.05</v>
      </c>
      <c r="T146">
        <f>LN(SQRT(EXP(
SQRT(
+POWER(LN(M146),2)
+POWER(LN(N146),2)
+POWER(LN(O146),2)
+POWER(LN(P146),2)
+POWER(LN(Q146),2)
+POWER(LN(R146),2)
+POWER(LN(S146),2)
)
)))</f>
        <v>9.4886477223156879E-2</v>
      </c>
    </row>
    <row r="147">
      <c r="A147" t="inlineStr">
        <is>
          <t>Carbon dioxide, non-fossil</t>
        </is>
      </c>
      <c r="B147">
        <f>unallocated!B75/'allocated (energy)'!I147*'allocated (energy)'!J147</f>
        <v>0.25256295176453919</v>
      </c>
      <c r="D147" t="inlineStr">
        <is>
          <t>kilogram</t>
        </is>
      </c>
      <c r="E147" t="inlineStr">
        <is>
          <t>air::urban air close to ground</t>
        </is>
      </c>
      <c r="F147" t="inlineStr">
        <is>
          <t>biosphere</t>
        </is>
      </c>
      <c r="I147" t="n">
        <v>638</v>
      </c>
      <c r="J147" s="11">
        <f>J122</f>
        <v>0.27127131856191244</v>
      </c>
      <c r="K147" t="n">
        <v>2</v>
      </c>
      <c r="L147" s="3">
        <f>LN(B147)</f>
        <v>-1.3760947474213059</v>
      </c>
      <c r="M147" t="n">
        <v>1</v>
      </c>
      <c r="N147" t="n">
        <v>1</v>
      </c>
      <c r="O147" t="n">
        <v>1</v>
      </c>
      <c r="P147" t="n">
        <v>1.02</v>
      </c>
      <c r="Q147" t="n">
        <v>1.2</v>
      </c>
      <c r="R147" t="n">
        <v>1</v>
      </c>
      <c r="S147" t="n">
        <v>1.05</v>
      </c>
      <c r="T147">
        <f>LN(SQRT(EXP(
SQRT(
+POWER(LN(M147),2)
+POWER(LN(N147),2)
+POWER(LN(O147),2)
+POWER(LN(P147),2)
+POWER(LN(Q147),2)
+POWER(LN(R147),2)
+POWER(LN(S147),2)
)
)))</f>
        <v>9.4886477223156879E-2</v>
      </c>
    </row>
    <row r="148"/>
    <row r="149">
      <c r="A149" s="1" t="inlineStr">
        <is>
          <t>Activity</t>
        </is>
      </c>
      <c r="B149" s="1" t="inlineStr">
        <is>
          <t>municipal waste incineration, at incineration plant, with semi-dry air pollution control, without flue gas condensation, with electricity and heat recovery, energy allocation</t>
        </is>
      </c>
    </row>
    <row r="150">
      <c r="A150" t="inlineStr">
        <is>
          <t>location</t>
        </is>
      </c>
      <c r="B150" t="inlineStr">
        <is>
          <t>RER</t>
        </is>
      </c>
    </row>
    <row r="151">
      <c r="A151" t="inlineStr">
        <is>
          <t>production amount</t>
        </is>
      </c>
      <c r="B151" t="n">
        <v>1</v>
      </c>
    </row>
    <row r="152">
      <c r="A152" s="2" t="inlineStr">
        <is>
          <t>source</t>
        </is>
      </c>
      <c r="B152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53">
      <c r="A153" t="inlineStr">
        <is>
          <t>reference product</t>
        </is>
      </c>
      <c r="B153" t="inlineStr">
        <is>
          <t>heat, district or industrial, other than natural gas</t>
        </is>
      </c>
    </row>
    <row r="154">
      <c r="A154" t="inlineStr">
        <is>
          <t>type</t>
        </is>
      </c>
      <c r="B154" t="inlineStr">
        <is>
          <t>process</t>
        </is>
      </c>
    </row>
    <row r="155">
      <c r="A155" t="inlineStr">
        <is>
          <t>unit</t>
        </is>
      </c>
      <c r="B155" t="inlineStr">
        <is>
          <t>megajoule</t>
        </is>
      </c>
    </row>
    <row r="156">
      <c r="A156" t="inlineStr">
        <is>
          <t>comment</t>
        </is>
      </c>
      <c r="B156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638 kWh. Heat production per ton MSWI incinerated: 6'170 MJ.</t>
        </is>
      </c>
    </row>
    <row r="157">
      <c r="A157" s="1" t="inlineStr">
        <is>
          <t>Exchanges</t>
        </is>
      </c>
    </row>
    <row r="158">
      <c r="A158" s="7" t="inlineStr">
        <is>
          <t>name</t>
        </is>
      </c>
      <c r="B158" s="7" t="inlineStr">
        <is>
          <t>amount</t>
        </is>
      </c>
      <c r="C158" s="7" t="inlineStr">
        <is>
          <t>location</t>
        </is>
      </c>
      <c r="D158" s="7" t="inlineStr">
        <is>
          <t>unit</t>
        </is>
      </c>
      <c r="E158" s="7" t="inlineStr">
        <is>
          <t>categories</t>
        </is>
      </c>
      <c r="F158" s="7" t="inlineStr">
        <is>
          <t>type</t>
        </is>
      </c>
      <c r="G158" s="7" t="inlineStr">
        <is>
          <t>reference product</t>
        </is>
      </c>
      <c r="H158" s="7" t="inlineStr">
        <is>
          <t>comment</t>
        </is>
      </c>
      <c r="I158" s="7" t="inlineStr">
        <is>
          <t>normalization</t>
        </is>
      </c>
      <c r="J158" s="7" t="inlineStr">
        <is>
          <t>allocation</t>
        </is>
      </c>
      <c r="K158" s="7" t="inlineStr">
        <is>
          <t>uncertainty type</t>
        </is>
      </c>
      <c r="L158" s="7" t="inlineStr">
        <is>
          <t>loc</t>
        </is>
      </c>
      <c r="M158" s="1" t="inlineStr">
        <is>
          <t>u1</t>
        </is>
      </c>
      <c r="N158" s="1" t="inlineStr">
        <is>
          <t>u2</t>
        </is>
      </c>
      <c r="O158" s="1" t="inlineStr">
        <is>
          <t>u3</t>
        </is>
      </c>
      <c r="P158" s="1" t="inlineStr">
        <is>
          <t>u4</t>
        </is>
      </c>
      <c r="Q158" s="1" t="inlineStr">
        <is>
          <t>u5</t>
        </is>
      </c>
      <c r="R158" s="1" t="inlineStr">
        <is>
          <t>u6</t>
        </is>
      </c>
      <c r="S158" s="1" t="inlineStr">
        <is>
          <t>ub</t>
        </is>
      </c>
      <c r="T158" s="1" t="inlineStr">
        <is>
          <t>scale</t>
        </is>
      </c>
    </row>
    <row r="159">
      <c r="A159" t="inlineStr">
        <is>
          <t>municipal waste incineration, at incineration plant, with semi-dry air pollution control, without flue gas condensation, with electricity and heat recovery, energy allocation</t>
        </is>
      </c>
      <c r="B159" t="n">
        <v>0</v>
      </c>
      <c r="C159" t="inlineStr">
        <is>
          <t>RER</t>
        </is>
      </c>
      <c r="D159" t="inlineStr">
        <is>
          <t>kilogram</t>
        </is>
      </c>
      <c r="F159" t="inlineStr">
        <is>
          <t>technosphere</t>
        </is>
      </c>
      <c r="G159" t="inlineStr">
        <is>
          <t>municipal solid waste</t>
        </is>
      </c>
      <c r="H159" t="inlineStr"/>
      <c r="I159" t="n">
        <v>6170</v>
      </c>
      <c r="J159" s="14">
        <f>INDEX('allocation keys'!$F$4:$H$28,MATCH('allocated (energy)'!$B$149,'allocation keys'!$B$4:$B$28,0),MATCH('allocated (energy)'!$B$153,'allocation keys'!$F$3:$H$3,0))</f>
        <v>0.72872868143808767</v>
      </c>
      <c r="K159" t="n">
        <v>0</v>
      </c>
      <c r="M159" s="5" t="n"/>
      <c r="N159" s="5" t="n"/>
      <c r="O159" s="5" t="n"/>
      <c r="P159" s="5" t="n"/>
      <c r="Q159" s="5" t="n"/>
      <c r="R159" s="5" t="n"/>
    </row>
    <row r="160">
      <c r="A160" t="inlineStr">
        <is>
          <t>municipal waste incineration, at incineration plant, with semi-dry air pollution control, without flue gas condensation, with electricity and heat recovery, energy allocation</t>
        </is>
      </c>
      <c r="B160" s="6" t="n">
        <v>0</v>
      </c>
      <c r="C160" t="inlineStr">
        <is>
          <t>RER</t>
        </is>
      </c>
      <c r="D160" t="inlineStr">
        <is>
          <t>kilowatt hour</t>
        </is>
      </c>
      <c r="F160" t="inlineStr">
        <is>
          <t>technosphere</t>
        </is>
      </c>
      <c r="G160" t="inlineStr">
        <is>
          <t>electricity, medium voltage</t>
        </is>
      </c>
      <c r="H160" t="inlineStr"/>
      <c r="I160" t="n">
        <v>6170</v>
      </c>
      <c r="J160" s="11">
        <f>J159</f>
        <v>0.72872868143808767</v>
      </c>
      <c r="K160" t="n">
        <v>0</v>
      </c>
      <c r="L160" s="3" t="n"/>
    </row>
    <row r="161">
      <c r="A161" t="inlineStr">
        <is>
          <t>municipal waste incineration, at incineration plant, with semi-dry air pollution control, without flue gas condensation, with electricity and heat recovery, energy allocation</t>
        </is>
      </c>
      <c r="B161" t="n">
        <v>1</v>
      </c>
      <c r="C161" t="inlineStr">
        <is>
          <t>RER</t>
        </is>
      </c>
      <c r="D161" t="inlineStr">
        <is>
          <t>megajoule</t>
        </is>
      </c>
      <c r="F161" t="inlineStr">
        <is>
          <t>production</t>
        </is>
      </c>
      <c r="G161" t="inlineStr">
        <is>
          <t>heat, district or industrial, other than natural gas</t>
        </is>
      </c>
      <c r="H161" t="inlineStr"/>
      <c r="I161" t="n">
        <v>6170</v>
      </c>
      <c r="J161" s="11">
        <f>J159</f>
        <v>0.72872868143808767</v>
      </c>
      <c r="K161" t="n">
        <v>0</v>
      </c>
      <c r="L161" s="3" t="n"/>
    </row>
    <row r="162">
      <c r="A162" t="inlineStr">
        <is>
          <t>market for diesel, low-sulfur</t>
        </is>
      </c>
      <c r="B162">
        <f>unallocated!B53/'allocated (energy)'!I162*'allocated (energy)'!J162</f>
        <v>1.0039211980913688E-5</v>
      </c>
      <c r="C162" t="inlineStr">
        <is>
          <t>Europe without Switzerland</t>
        </is>
      </c>
      <c r="D162" t="inlineStr">
        <is>
          <t>kilogram</t>
        </is>
      </c>
      <c r="F162" t="inlineStr">
        <is>
          <t>technosphere</t>
        </is>
      </c>
      <c r="G162" t="inlineStr">
        <is>
          <t>diesel, low-sulfur</t>
        </is>
      </c>
      <c r="H162" t="inlineStr">
        <is>
          <t>Diesel density: 0.85 kg/l</t>
        </is>
      </c>
      <c r="I162" t="n">
        <v>6170</v>
      </c>
      <c r="J162" s="11">
        <f>J159</f>
        <v>0.72872868143808767</v>
      </c>
      <c r="K162" t="n">
        <v>2</v>
      </c>
      <c r="L162" s="3">
        <f>LN(B162)</f>
        <v>-11.509011934737837</v>
      </c>
      <c r="M162" t="n">
        <v>1</v>
      </c>
      <c r="N162" t="n">
        <v>1</v>
      </c>
      <c r="O162" t="n">
        <v>1</v>
      </c>
      <c r="P162" t="n">
        <v>1.02</v>
      </c>
      <c r="Q162" t="n">
        <v>1.2</v>
      </c>
      <c r="R162" t="n">
        <v>1</v>
      </c>
      <c r="S162" t="n">
        <v>1.05</v>
      </c>
      <c r="T162">
        <f>LN(SQRT(EXP(
SQRT(
+POWER(LN(M162),2)
+POWER(LN(N162),2)
+POWER(LN(O162),2)
+POWER(LN(P162),2)
+POWER(LN(Q162),2)
+POWER(LN(R162),2)
+POWER(LN(S162),2)
)
)))</f>
        <v>9.4886477223156879E-2</v>
      </c>
    </row>
    <row r="163">
      <c r="A163" t="inlineStr">
        <is>
          <t>market for activated carbon, granular</t>
        </is>
      </c>
      <c r="B163">
        <f>unallocated!B54/'allocated (energy)'!I163*'allocated (energy)'!J163</f>
        <v>4.724335049841736E-5</v>
      </c>
      <c r="C163" t="inlineStr">
        <is>
          <t>GLO</t>
        </is>
      </c>
      <c r="D163" t="inlineStr">
        <is>
          <t>kilogram</t>
        </is>
      </c>
      <c r="F163" t="inlineStr">
        <is>
          <t>technosphere</t>
        </is>
      </c>
      <c r="G163" t="inlineStr">
        <is>
          <t>activated carbon, granular</t>
        </is>
      </c>
      <c r="I163" t="n">
        <v>6170</v>
      </c>
      <c r="J163" s="11">
        <f>J159</f>
        <v>0.72872868143808767</v>
      </c>
      <c r="K163" t="n">
        <v>2</v>
      </c>
      <c r="L163" s="3">
        <f>LN(B163)</f>
        <v>-9.9601986441201706</v>
      </c>
      <c r="M163" t="n">
        <v>1</v>
      </c>
      <c r="N163" t="n">
        <v>1</v>
      </c>
      <c r="O163" t="n">
        <v>1</v>
      </c>
      <c r="P163" t="n">
        <v>1.02</v>
      </c>
      <c r="Q163" t="n">
        <v>1.2</v>
      </c>
      <c r="R163" t="n">
        <v>1</v>
      </c>
      <c r="S163" t="n">
        <v>1.05</v>
      </c>
      <c r="T163">
        <f>LN(SQRT(EXP(
SQRT(
+POWER(LN(M163),2)
+POWER(LN(N163),2)
+POWER(LN(O163),2)
+POWER(LN(P163),2)
+POWER(LN(Q163),2)
+POWER(LN(R163),2)
+POWER(LN(S163),2)
)
)))</f>
        <v>9.4886477223156879E-2</v>
      </c>
    </row>
    <row r="164">
      <c r="A164" t="inlineStr">
        <is>
          <t>market for ammonia, anhydrous, liquid</t>
        </is>
      </c>
      <c r="B164">
        <f>unallocated!B55/'allocated (energy)'!I164*'allocated (energy)'!J164</f>
        <v>1.1574620872112251E-4</v>
      </c>
      <c r="C164" t="inlineStr">
        <is>
          <t>RER</t>
        </is>
      </c>
      <c r="D164" t="inlineStr">
        <is>
          <t>kilogram</t>
        </is>
      </c>
      <c r="F164" t="inlineStr">
        <is>
          <t>technosphere</t>
        </is>
      </c>
      <c r="G164" t="inlineStr">
        <is>
          <t>ammonia, anhydrous, liquid</t>
        </is>
      </c>
      <c r="H164" t="inlineStr">
        <is>
          <t>100% liquid ammonia. In original publication, it is dilluated to 23.5% in water. We discount the original value by 75%.</t>
        </is>
      </c>
      <c r="I164" t="n">
        <v>6170</v>
      </c>
      <c r="J164" s="11">
        <f>J159</f>
        <v>0.72872868143808767</v>
      </c>
      <c r="K164" t="n">
        <v>2</v>
      </c>
      <c r="L164" s="3">
        <f>LN(B164)</f>
        <v>-9.0641106195635341</v>
      </c>
      <c r="M164" t="n">
        <v>1</v>
      </c>
      <c r="N164" t="n">
        <v>1</v>
      </c>
      <c r="O164" t="n">
        <v>1</v>
      </c>
      <c r="P164" t="n">
        <v>1.02</v>
      </c>
      <c r="Q164" t="n">
        <v>1.2</v>
      </c>
      <c r="R164" t="n">
        <v>1</v>
      </c>
      <c r="S164" t="n">
        <v>1.05</v>
      </c>
      <c r="T164">
        <f>LN(SQRT(EXP(
SQRT(
+POWER(LN(M164),2)
+POWER(LN(N164),2)
+POWER(LN(O164),2)
+POWER(LN(P164),2)
+POWER(LN(Q164),2)
+POWER(LN(R164),2)
+POWER(LN(S164),2)
)
)))</f>
        <v>9.4886477223156879E-2</v>
      </c>
    </row>
    <row r="165">
      <c r="A165" t="inlineStr">
        <is>
          <t>market for tap water</t>
        </is>
      </c>
      <c r="B165">
        <f>unallocated!B56/'allocated (energy)'!I165*'allocated (energy)'!J165</f>
        <v>3.5668729626305099E-4</v>
      </c>
      <c r="C165" t="inlineStr">
        <is>
          <t>Europe without Switzerland</t>
        </is>
      </c>
      <c r="D165" t="inlineStr">
        <is>
          <t>kilogram</t>
        </is>
      </c>
      <c r="F165" t="inlineStr">
        <is>
          <t>technosphere</t>
        </is>
      </c>
      <c r="G165" t="inlineStr">
        <is>
          <t>tap water</t>
        </is>
      </c>
      <c r="H165" t="inlineStr">
        <is>
          <t>Used to dilute the ammonia.</t>
        </is>
      </c>
      <c r="I165" t="n">
        <v>6170</v>
      </c>
      <c r="J165" s="11">
        <f>J159</f>
        <v>0.72872868143808767</v>
      </c>
      <c r="K165" t="n">
        <v>2</v>
      </c>
      <c r="L165" s="3">
        <f>LN(B165)</f>
        <v>-7.9386510808592368</v>
      </c>
      <c r="M165" t="n">
        <v>1</v>
      </c>
      <c r="N165" t="n">
        <v>1</v>
      </c>
      <c r="O165" t="n">
        <v>1</v>
      </c>
      <c r="P165" t="n">
        <v>1.02</v>
      </c>
      <c r="Q165" t="n">
        <v>1.2</v>
      </c>
      <c r="R165" t="n">
        <v>1</v>
      </c>
      <c r="S165" t="n">
        <v>1.05</v>
      </c>
      <c r="T165">
        <f>LN(SQRT(EXP(
SQRT(
+POWER(LN(M165),2)
+POWER(LN(N165),2)
+POWER(LN(O165),2)
+POWER(LN(P165),2)
+POWER(LN(Q165),2)
+POWER(LN(R165),2)
+POWER(LN(S165),2)
)
)))</f>
        <v>9.4886477223156879E-2</v>
      </c>
    </row>
    <row r="166">
      <c r="A166" t="inlineStr">
        <is>
          <t>market for calcium carbonate, precipitated</t>
        </is>
      </c>
      <c r="B166">
        <f>unallocated!B57/'allocated (energy)'!I166*'allocated (energy)'!J166</f>
        <v>0</v>
      </c>
      <c r="C166" t="inlineStr">
        <is>
          <t>RER</t>
        </is>
      </c>
      <c r="D166" t="inlineStr">
        <is>
          <t>kilogram</t>
        </is>
      </c>
      <c r="F166" t="inlineStr">
        <is>
          <t>technosphere</t>
        </is>
      </c>
      <c r="G166" t="inlineStr">
        <is>
          <t>calcium carbonate, precipitated</t>
        </is>
      </c>
      <c r="I166" t="n">
        <v>6170</v>
      </c>
      <c r="J166" s="11">
        <f>J159</f>
        <v>0.72872868143808767</v>
      </c>
      <c r="K166" t="n">
        <v>0</v>
      </c>
      <c r="L166" s="3" t="n"/>
    </row>
    <row r="167">
      <c r="A167" t="inlineStr">
        <is>
          <t>market for iron(III) chloride, without water, in 40% solution state</t>
        </is>
      </c>
      <c r="B167">
        <f>unallocated!B58/'allocated (energy)'!I167*'allocated (energy)'!J167</f>
        <v>0</v>
      </c>
      <c r="C167" t="inlineStr">
        <is>
          <t>GLO</t>
        </is>
      </c>
      <c r="D167" t="inlineStr">
        <is>
          <t>kilogram</t>
        </is>
      </c>
      <c r="F167" t="inlineStr">
        <is>
          <t>technosphere</t>
        </is>
      </c>
      <c r="G167" t="inlineStr">
        <is>
          <t>iron(III) chloride, without water, in 40% solution state</t>
        </is>
      </c>
      <c r="I167" t="n">
        <v>6170</v>
      </c>
      <c r="J167" s="11">
        <f>J159</f>
        <v>0.72872868143808767</v>
      </c>
      <c r="K167" t="n">
        <v>0</v>
      </c>
      <c r="L167" s="3" t="n"/>
    </row>
    <row r="168">
      <c r="A168" t="inlineStr">
        <is>
          <t>market for lime, hydrated, packed</t>
        </is>
      </c>
      <c r="B168">
        <f>unallocated!B59/'allocated (energy)'!I168*'allocated (energy)'!J168</f>
        <v>1.2991921387064771E-3</v>
      </c>
      <c r="C168" t="inlineStr">
        <is>
          <t>RER</t>
        </is>
      </c>
      <c r="D168" t="inlineStr">
        <is>
          <t>kilogram</t>
        </is>
      </c>
      <c r="F168" t="inlineStr">
        <is>
          <t>technosphere</t>
        </is>
      </c>
      <c r="G168" t="inlineStr">
        <is>
          <t>lime, hydrated, packed</t>
        </is>
      </c>
      <c r="I168" t="n">
        <v>6170</v>
      </c>
      <c r="J168" s="11">
        <f>J159</f>
        <v>0.72872868143808767</v>
      </c>
      <c r="K168" t="n">
        <v>2</v>
      </c>
      <c r="L168" s="3">
        <f>LN(B168)</f>
        <v>-6.6460126394476449</v>
      </c>
      <c r="M168" t="n">
        <v>1</v>
      </c>
      <c r="N168" t="n">
        <v>1</v>
      </c>
      <c r="O168" t="n">
        <v>1</v>
      </c>
      <c r="P168" t="n">
        <v>1.02</v>
      </c>
      <c r="Q168" t="n">
        <v>1.2</v>
      </c>
      <c r="R168" t="n">
        <v>1</v>
      </c>
      <c r="S168" t="n">
        <v>1.05</v>
      </c>
      <c r="T168">
        <f>LN(SQRT(EXP(
SQRT(
+POWER(LN(M168),2)
+POWER(LN(N168),2)
+POWER(LN(O168),2)
+POWER(LN(P168),2)
+POWER(LN(Q168),2)
+POWER(LN(R168),2)
+POWER(LN(S168),2)
)
)))</f>
        <v>9.4886477223156879E-2</v>
      </c>
    </row>
    <row r="169">
      <c r="A169" t="inlineStr">
        <is>
          <t>market for sodium hydroxide, without water, in 50% solution state</t>
        </is>
      </c>
      <c r="B169">
        <f>unallocated!B60/'allocated (energy)'!I169*'allocated (energy)'!J169</f>
        <v>0</v>
      </c>
      <c r="C169" t="inlineStr">
        <is>
          <t>RER</t>
        </is>
      </c>
      <c r="D169" t="inlineStr">
        <is>
          <t>kilogram</t>
        </is>
      </c>
      <c r="F169" t="inlineStr">
        <is>
          <t>technosphere</t>
        </is>
      </c>
      <c r="G169" t="inlineStr">
        <is>
          <t>sodium hydroxide, without water, in 50% solution state</t>
        </is>
      </c>
      <c r="H169" t="inlineStr">
        <is>
          <t>50% liquid ammonia. In original publication, it is dilluated to 27% in water. We discount the original value by 50%.</t>
        </is>
      </c>
      <c r="I169" t="n">
        <v>6170</v>
      </c>
      <c r="J169" s="11">
        <f>J159</f>
        <v>0.72872868143808767</v>
      </c>
      <c r="K169" t="n">
        <v>0</v>
      </c>
      <c r="L169" s="3" t="n"/>
    </row>
    <row r="170">
      <c r="A170" t="inlineStr">
        <is>
          <t>market for monoethanolamine</t>
        </is>
      </c>
      <c r="B170">
        <f>unallocated!B61/'allocated (energy)'!I170*'allocated (energy)'!J170</f>
        <v>0</v>
      </c>
      <c r="C170" t="inlineStr">
        <is>
          <t>GLO</t>
        </is>
      </c>
      <c r="D170" t="inlineStr">
        <is>
          <t>kilogram</t>
        </is>
      </c>
      <c r="F170" t="inlineStr">
        <is>
          <t>technosphere</t>
        </is>
      </c>
      <c r="G170" t="inlineStr">
        <is>
          <t>monoethanolamine</t>
        </is>
      </c>
      <c r="I170" t="n">
        <v>6170</v>
      </c>
      <c r="J170" s="11">
        <f>J159</f>
        <v>0.72872868143808767</v>
      </c>
      <c r="K170" t="n">
        <v>0</v>
      </c>
      <c r="L170" s="3" t="n"/>
    </row>
    <row r="171">
      <c r="A171" t="inlineStr">
        <is>
          <t>municipal waste incineration facility construction</t>
        </is>
      </c>
      <c r="B171">
        <f>unallocated!B62/'allocated (energy)'!I171*'allocated (energy)'!J171</f>
        <v>2.9527094061510847E-11</v>
      </c>
      <c r="C171" t="inlineStr">
        <is>
          <t>CH</t>
        </is>
      </c>
      <c r="D171" t="inlineStr">
        <is>
          <t>unit</t>
        </is>
      </c>
      <c r="F171" t="inlineStr">
        <is>
          <t>technosphere</t>
        </is>
      </c>
      <c r="G171" t="inlineStr">
        <is>
          <t>municipal waste incineration facility</t>
        </is>
      </c>
      <c r="H171" t="inlineStr">
        <is>
          <t>Lifetime: 4'000'000 tons MSWI treated.</t>
        </is>
      </c>
      <c r="I171" t="n">
        <v>6170</v>
      </c>
      <c r="J171" s="11">
        <f>J159</f>
        <v>0.72872868143808767</v>
      </c>
      <c r="K171" t="n">
        <v>2</v>
      </c>
      <c r="L171" s="3">
        <f>LN(B171)</f>
        <v>-24.245712831330181</v>
      </c>
      <c r="M171" t="n">
        <v>1</v>
      </c>
      <c r="N171" t="n">
        <v>1</v>
      </c>
      <c r="O171" t="n">
        <v>1</v>
      </c>
      <c r="P171" t="n">
        <v>1.02</v>
      </c>
      <c r="Q171" t="n">
        <v>1.2</v>
      </c>
      <c r="R171" t="n">
        <v>1</v>
      </c>
      <c r="S171" t="n">
        <v>3</v>
      </c>
      <c r="T171">
        <f>LN(SQRT(EXP(
SQRT(
+POWER(LN(M171),2)
+POWER(LN(N171),2)
+POWER(LN(O171),2)
+POWER(LN(P171),2)
+POWER(LN(Q171),2)
+POWER(LN(R171),2)
+POWER(LN(S171),2)
)
)))</f>
        <v>0.5569071410325479</v>
      </c>
    </row>
    <row r="172">
      <c r="A172" t="inlineStr">
        <is>
          <t>Water, cooling, unspecified natural origin</t>
        </is>
      </c>
      <c r="B172">
        <f>unallocated!B63/'allocated (energy)'!I172*'allocated (energy)'!J172</f>
        <v>1.7716256436906507E-5</v>
      </c>
      <c r="D172" t="inlineStr">
        <is>
          <t>cubic meter</t>
        </is>
      </c>
      <c r="E172" t="inlineStr">
        <is>
          <t>natural resource::in water</t>
        </is>
      </c>
      <c r="F172" t="inlineStr">
        <is>
          <t>biosphere</t>
        </is>
      </c>
      <c r="I172" t="n">
        <v>6170</v>
      </c>
      <c r="J172" s="11">
        <f>J159</f>
        <v>0.72872868143808767</v>
      </c>
      <c r="K172" t="n">
        <v>2</v>
      </c>
      <c r="L172" s="3">
        <f>LN(B172)</f>
        <v>-10.941027897131896</v>
      </c>
      <c r="M172" t="n">
        <v>1</v>
      </c>
      <c r="N172" t="n">
        <v>1</v>
      </c>
      <c r="O172" t="n">
        <v>1</v>
      </c>
      <c r="P172" t="n">
        <v>1.02</v>
      </c>
      <c r="Q172" t="n">
        <v>1.2</v>
      </c>
      <c r="R172" t="n">
        <v>1</v>
      </c>
      <c r="S172" t="n">
        <v>1.05</v>
      </c>
      <c r="T172">
        <f>LN(SQRT(EXP(
SQRT(
+POWER(LN(M172),2)
+POWER(LN(N172),2)
+POWER(LN(O172),2)
+POWER(LN(P172),2)
+POWER(LN(Q172),2)
+POWER(LN(R172),2)
+POWER(LN(S172),2)
)
)))</f>
        <v>9.4886477223156879E-2</v>
      </c>
    </row>
    <row r="173">
      <c r="A173" t="inlineStr">
        <is>
          <t>Sulfur dioxide</t>
        </is>
      </c>
      <c r="B173">
        <f>unallocated!B64/'allocated (energy)'!I173*'allocated (energy)'!J173</f>
        <v>1.3346246515802902E-5</v>
      </c>
      <c r="D173" t="inlineStr">
        <is>
          <t>kilogram</t>
        </is>
      </c>
      <c r="E173" t="inlineStr">
        <is>
          <t>air::urban air close to ground</t>
        </is>
      </c>
      <c r="F173" t="inlineStr">
        <is>
          <t>biosphere</t>
        </is>
      </c>
      <c r="I173" t="n">
        <v>6170</v>
      </c>
      <c r="J173" s="11">
        <f>J159</f>
        <v>0.72872868143808767</v>
      </c>
      <c r="K173" t="n">
        <v>2</v>
      </c>
      <c r="L173" s="3">
        <f>LN(B173)</f>
        <v>-11.224275372515812</v>
      </c>
      <c r="M173" t="n">
        <v>1</v>
      </c>
      <c r="N173" t="n">
        <v>1</v>
      </c>
      <c r="O173" t="n">
        <v>1</v>
      </c>
      <c r="P173" t="n">
        <v>1.02</v>
      </c>
      <c r="Q173" t="n">
        <v>1.2</v>
      </c>
      <c r="R173" t="n">
        <v>1</v>
      </c>
      <c r="S173" t="n">
        <v>1.05</v>
      </c>
      <c r="T173">
        <f>LN(SQRT(EXP(
SQRT(
+POWER(LN(M173),2)
+POWER(LN(N173),2)
+POWER(LN(O173),2)
+POWER(LN(P173),2)
+POWER(LN(Q173),2)
+POWER(LN(R173),2)
+POWER(LN(S173),2)
)
)))</f>
        <v>9.4886477223156879E-2</v>
      </c>
    </row>
    <row r="174">
      <c r="A174" t="inlineStr">
        <is>
          <t>Hydrochloric acid</t>
        </is>
      </c>
      <c r="B174">
        <f>unallocated!B65/'allocated (energy)'!I174*'allocated (energy)'!J174</f>
        <v>3.3070345348892147E-6</v>
      </c>
      <c r="D174" t="inlineStr">
        <is>
          <t>kilogram</t>
        </is>
      </c>
      <c r="E174" t="inlineStr">
        <is>
          <t>air</t>
        </is>
      </c>
      <c r="F174" t="inlineStr">
        <is>
          <t>biosphere</t>
        </is>
      </c>
      <c r="I174" t="n">
        <v>6170</v>
      </c>
      <c r="J174" s="11">
        <f>J159</f>
        <v>0.72872868143808767</v>
      </c>
      <c r="K174" t="n">
        <v>2</v>
      </c>
      <c r="L174" s="3">
        <f>LN(B174)</f>
        <v>-12.619458681052949</v>
      </c>
      <c r="M174" t="n">
        <v>1</v>
      </c>
      <c r="N174" t="n">
        <v>1</v>
      </c>
      <c r="O174" t="n">
        <v>1</v>
      </c>
      <c r="P174" t="n">
        <v>1.02</v>
      </c>
      <c r="Q174" t="n">
        <v>1.2</v>
      </c>
      <c r="R174" t="n">
        <v>1</v>
      </c>
      <c r="S174" t="n">
        <v>1.5</v>
      </c>
      <c r="T174">
        <f>LN(SQRT(EXP(
SQRT(
+POWER(LN(M174),2)
+POWER(LN(N174),2)
+POWER(LN(O174),2)
+POWER(LN(P174),2)
+POWER(LN(Q174),2)
+POWER(LN(R174),2)
+POWER(LN(S174),2)
)
)))</f>
        <v>0.22250575723605889</v>
      </c>
    </row>
    <row r="175">
      <c r="A175" t="inlineStr">
        <is>
          <t>Nitrogen oxides</t>
        </is>
      </c>
      <c r="B175">
        <f>unallocated!B66/'allocated (energy)'!I175*'allocated (energy)'!J175</f>
        <v>7.9959370718571385E-5</v>
      </c>
      <c r="D175" t="inlineStr">
        <is>
          <t>kilogram</t>
        </is>
      </c>
      <c r="E175" t="inlineStr">
        <is>
          <t>air::urban air close to ground</t>
        </is>
      </c>
      <c r="F175" t="inlineStr">
        <is>
          <t>biosphere</t>
        </is>
      </c>
      <c r="I175" t="n">
        <v>6170</v>
      </c>
      <c r="J175" s="11">
        <f>J159</f>
        <v>0.72872868143808767</v>
      </c>
      <c r="K175" t="n">
        <v>2</v>
      </c>
      <c r="L175" s="3">
        <f>LN(B175)</f>
        <v>-9.4339919183158774</v>
      </c>
      <c r="M175" t="n">
        <v>1</v>
      </c>
      <c r="N175" t="n">
        <v>1</v>
      </c>
      <c r="O175" t="n">
        <v>1</v>
      </c>
      <c r="P175" t="n">
        <v>1.02</v>
      </c>
      <c r="Q175" t="n">
        <v>1.2</v>
      </c>
      <c r="R175" t="n">
        <v>1</v>
      </c>
      <c r="S175" t="n">
        <v>1.5</v>
      </c>
      <c r="T175">
        <f>LN(SQRT(EXP(
SQRT(
+POWER(LN(M175),2)
+POWER(LN(N175),2)
+POWER(LN(O175),2)
+POWER(LN(P175),2)
+POWER(LN(Q175),2)
+POWER(LN(R175),2)
+POWER(LN(S175),2)
)
)))</f>
        <v>0.22250575723605889</v>
      </c>
    </row>
    <row r="176">
      <c r="A176" t="inlineStr">
        <is>
          <t>Ammonia</t>
        </is>
      </c>
      <c r="B176">
        <f>unallocated!B67/'allocated (energy)'!I176*'allocated (energy)'!J176</f>
        <v>5.3148769310719521E-6</v>
      </c>
      <c r="D176" t="inlineStr">
        <is>
          <t>kilogram</t>
        </is>
      </c>
      <c r="E176" t="inlineStr">
        <is>
          <t>air::urban air close to ground</t>
        </is>
      </c>
      <c r="F176" t="inlineStr">
        <is>
          <t>biosphere</t>
        </is>
      </c>
      <c r="I176" t="n">
        <v>6170</v>
      </c>
      <c r="J176" s="11">
        <f>J159</f>
        <v>0.72872868143808767</v>
      </c>
      <c r="K176" t="n">
        <v>2</v>
      </c>
      <c r="L176" s="3">
        <f>LN(B176)</f>
        <v>-12.145000701457832</v>
      </c>
      <c r="M176" t="n">
        <v>1</v>
      </c>
      <c r="N176" t="n">
        <v>1</v>
      </c>
      <c r="O176" t="n">
        <v>1</v>
      </c>
      <c r="P176" t="n">
        <v>1.02</v>
      </c>
      <c r="Q176" t="n">
        <v>1.2</v>
      </c>
      <c r="R176" t="n">
        <v>1</v>
      </c>
      <c r="S176" t="n">
        <v>1.5</v>
      </c>
      <c r="T176">
        <f>LN(SQRT(EXP(
SQRT(
+POWER(LN(M176),2)
+POWER(LN(N176),2)
+POWER(LN(O176),2)
+POWER(LN(P176),2)
+POWER(LN(Q176),2)
+POWER(LN(R176),2)
+POWER(LN(S176),2)
)
)))</f>
        <v>0.22250575723605889</v>
      </c>
    </row>
    <row r="177">
      <c r="A177" t="inlineStr">
        <is>
          <t>Particulate Matter, &lt; 2.5 um</t>
        </is>
      </c>
      <c r="B177">
        <f>unallocated!B68/'allocated (energy)'!I177*'allocated (energy)'!J177</f>
        <v>7.0865025747626022E-7</v>
      </c>
      <c r="D177" t="inlineStr">
        <is>
          <t>kilogram</t>
        </is>
      </c>
      <c r="E177" t="inlineStr">
        <is>
          <t>air::urban air close to ground</t>
        </is>
      </c>
      <c r="F177" t="inlineStr">
        <is>
          <t>biosphere</t>
        </is>
      </c>
      <c r="I177" t="n">
        <v>6170</v>
      </c>
      <c r="J177" s="11">
        <f>J159</f>
        <v>0.72872868143808767</v>
      </c>
      <c r="K177" t="n">
        <v>2</v>
      </c>
      <c r="L177" s="3">
        <f>LN(B177)</f>
        <v>-14.159903722000097</v>
      </c>
      <c r="M177" t="n">
        <v>1</v>
      </c>
      <c r="N177" t="n">
        <v>1</v>
      </c>
      <c r="O177" t="n">
        <v>1</v>
      </c>
      <c r="P177" t="n">
        <v>1.02</v>
      </c>
      <c r="Q177" t="n">
        <v>1.2</v>
      </c>
      <c r="R177" t="n">
        <v>1</v>
      </c>
      <c r="S177" t="n">
        <v>3</v>
      </c>
      <c r="T177">
        <f>LN(SQRT(EXP(
SQRT(
+POWER(LN(M177),2)
+POWER(LN(N177),2)
+POWER(LN(O177),2)
+POWER(LN(P177),2)
+POWER(LN(Q177),2)
+POWER(LN(R177),2)
+POWER(LN(S177),2)
)
)))</f>
        <v>0.5569071410325479</v>
      </c>
    </row>
    <row r="178">
      <c r="A178" t="inlineStr">
        <is>
          <t>Mercury II</t>
        </is>
      </c>
      <c r="B178">
        <f>unallocated!B69/'allocated (energy)'!I178*'allocated (energy)'!J178</f>
        <v>2.7164926536589979E-9</v>
      </c>
      <c r="D178" t="inlineStr">
        <is>
          <t>kilogram</t>
        </is>
      </c>
      <c r="E178" t="inlineStr">
        <is>
          <t>air::urban air close to ground</t>
        </is>
      </c>
      <c r="F178" t="inlineStr">
        <is>
          <t>biosphere</t>
        </is>
      </c>
      <c r="I178" t="n">
        <v>6170</v>
      </c>
      <c r="J178" s="11">
        <f>J159</f>
        <v>0.72872868143808767</v>
      </c>
      <c r="K178" t="n">
        <v>2</v>
      </c>
      <c r="L178" s="3">
        <f>LN(B178)</f>
        <v>-19.72392425428114</v>
      </c>
      <c r="M178" t="n">
        <v>1</v>
      </c>
      <c r="N178" t="n">
        <v>1</v>
      </c>
      <c r="O178" t="n">
        <v>1</v>
      </c>
      <c r="P178" t="n">
        <v>1.02</v>
      </c>
      <c r="Q178" t="n">
        <v>1.2</v>
      </c>
      <c r="R178" t="n">
        <v>1</v>
      </c>
      <c r="S178" t="n">
        <v>5</v>
      </c>
      <c r="T178">
        <f>LN(SQRT(EXP(
SQRT(
+POWER(LN(M178),2)
+POWER(LN(N178),2)
+POWER(LN(O178),2)
+POWER(LN(P178),2)
+POWER(LN(Q178),2)
+POWER(LN(R178),2)
+POWER(LN(S178),2)
)
)))</f>
        <v>0.80992649174166365</v>
      </c>
    </row>
    <row r="179">
      <c r="A179" t="inlineStr">
        <is>
          <t>Lead II</t>
        </is>
      </c>
      <c r="B179">
        <f>unallocated!B70/'allocated (energy)'!I179*'allocated (energy)'!J179</f>
        <v>6.6140690697784296E-9</v>
      </c>
      <c r="D179" t="inlineStr">
        <is>
          <t>kilogram</t>
        </is>
      </c>
      <c r="E179" t="inlineStr">
        <is>
          <t>air::urban air close to ground</t>
        </is>
      </c>
      <c r="F179" t="inlineStr">
        <is>
          <t>biosphere</t>
        </is>
      </c>
      <c r="I179" t="n">
        <v>6170</v>
      </c>
      <c r="J179" s="11">
        <f>J159</f>
        <v>0.72872868143808767</v>
      </c>
      <c r="K179" t="n">
        <v>2</v>
      </c>
      <c r="L179" s="3">
        <f>LN(B179)</f>
        <v>-18.83406677947514</v>
      </c>
      <c r="M179" t="n">
        <v>1</v>
      </c>
      <c r="N179" t="n">
        <v>1</v>
      </c>
      <c r="O179" t="n">
        <v>1</v>
      </c>
      <c r="P179" t="n">
        <v>1.02</v>
      </c>
      <c r="Q179" t="n">
        <v>1.2</v>
      </c>
      <c r="R179" t="n">
        <v>1</v>
      </c>
      <c r="S179" t="n">
        <v>5</v>
      </c>
      <c r="T179">
        <f>LN(SQRT(EXP(
SQRT(
+POWER(LN(M179),2)
+POWER(LN(N179),2)
+POWER(LN(O179),2)
+POWER(LN(P179),2)
+POWER(LN(Q179),2)
+POWER(LN(R179),2)
+POWER(LN(S179),2)
)
)))</f>
        <v>0.80992649174166365</v>
      </c>
    </row>
    <row r="180">
      <c r="A180" t="inlineStr">
        <is>
          <t>Cadmium II</t>
        </is>
      </c>
      <c r="B180">
        <f>unallocated!B71/'allocated (energy)'!I180*'allocated (energy)'!J180</f>
        <v>3.3070345348892148E-9</v>
      </c>
      <c r="D180" t="inlineStr">
        <is>
          <t>kilogram</t>
        </is>
      </c>
      <c r="E180" t="inlineStr">
        <is>
          <t>air::urban air close to ground</t>
        </is>
      </c>
      <c r="F180" t="inlineStr">
        <is>
          <t>biosphere</t>
        </is>
      </c>
      <c r="I180" t="n">
        <v>6170</v>
      </c>
      <c r="J180" s="11">
        <f>J159</f>
        <v>0.72872868143808767</v>
      </c>
      <c r="K180" t="n">
        <v>2</v>
      </c>
      <c r="L180" s="3">
        <f>LN(B180)</f>
        <v>-19.527213960035084</v>
      </c>
      <c r="M180" t="n">
        <v>1</v>
      </c>
      <c r="N180" t="n">
        <v>1</v>
      </c>
      <c r="O180" t="n">
        <v>1</v>
      </c>
      <c r="P180" t="n">
        <v>1.02</v>
      </c>
      <c r="Q180" t="n">
        <v>1.2</v>
      </c>
      <c r="R180" t="n">
        <v>1</v>
      </c>
      <c r="S180" t="n">
        <v>5</v>
      </c>
      <c r="T180">
        <f>LN(SQRT(EXP(
SQRT(
+POWER(LN(M180),2)
+POWER(LN(N180),2)
+POWER(LN(O180),2)
+POWER(LN(P180),2)
+POWER(LN(Q180),2)
+POWER(LN(R180),2)
+POWER(LN(S180),2)
)
)))</f>
        <v>0.80992649174166365</v>
      </c>
    </row>
    <row r="181">
      <c r="A181" t="inlineStr">
        <is>
          <t>Arsenic ion</t>
        </is>
      </c>
      <c r="B181">
        <f>unallocated!B72/'allocated (energy)'!I181*'allocated (energy)'!J181</f>
        <v>7.0865025747626032E-10</v>
      </c>
      <c r="D181" t="inlineStr">
        <is>
          <t>kilogram</t>
        </is>
      </c>
      <c r="E181" t="inlineStr">
        <is>
          <t>air::urban air close to ground</t>
        </is>
      </c>
      <c r="F181" t="inlineStr">
        <is>
          <t>biosphere</t>
        </is>
      </c>
      <c r="I181" t="n">
        <v>6170</v>
      </c>
      <c r="J181" s="11">
        <f>J159</f>
        <v>0.72872868143808767</v>
      </c>
      <c r="K181" t="n">
        <v>2</v>
      </c>
      <c r="L181" s="3">
        <f>LN(B181)</f>
        <v>-21.067659000982236</v>
      </c>
      <c r="M181" t="n">
        <v>1</v>
      </c>
      <c r="N181" t="n">
        <v>1</v>
      </c>
      <c r="O181" t="n">
        <v>1</v>
      </c>
      <c r="P181" t="n">
        <v>1.02</v>
      </c>
      <c r="Q181" t="n">
        <v>1.2</v>
      </c>
      <c r="R181" t="n">
        <v>1</v>
      </c>
      <c r="S181" t="n">
        <v>5</v>
      </c>
      <c r="T181">
        <f>LN(SQRT(EXP(
SQRT(
+POWER(LN(M181),2)
+POWER(LN(N181),2)
+POWER(LN(O181),2)
+POWER(LN(P181),2)
+POWER(LN(Q181),2)
+POWER(LN(R181),2)
+POWER(LN(S181),2)
)
)))</f>
        <v>0.80992649174166365</v>
      </c>
    </row>
    <row r="182">
      <c r="A182" t="inlineStr">
        <is>
          <t>Dioxins, measured as 2,3,7,8-tetrachlorodibenzo-p-dioxin</t>
        </is>
      </c>
      <c r="B182">
        <f>unallocated!B73/'allocated (energy)'!I182*'allocated (energy)'!J182</f>
        <v>1.2991921387064773E-14</v>
      </c>
      <c r="D182" t="inlineStr">
        <is>
          <t>kilogram</t>
        </is>
      </c>
      <c r="E182" t="inlineStr">
        <is>
          <t>air::urban air close to ground</t>
        </is>
      </c>
      <c r="F182" t="inlineStr">
        <is>
          <t>biosphere</t>
        </is>
      </c>
      <c r="I182" t="n">
        <v>6170</v>
      </c>
      <c r="J182" s="11">
        <f>J159</f>
        <v>0.72872868143808767</v>
      </c>
      <c r="K182" t="n">
        <v>2</v>
      </c>
      <c r="L182" s="3">
        <f>LN(B182)</f>
        <v>-31.974448662382148</v>
      </c>
      <c r="M182" t="n">
        <v>1</v>
      </c>
      <c r="N182" t="n">
        <v>1</v>
      </c>
      <c r="O182" t="n">
        <v>1</v>
      </c>
      <c r="P182" t="n">
        <v>1.02</v>
      </c>
      <c r="Q182" t="n">
        <v>1.2</v>
      </c>
      <c r="R182" t="n">
        <v>1</v>
      </c>
      <c r="S182" t="n">
        <v>5</v>
      </c>
      <c r="T182">
        <f>LN(SQRT(EXP(
SQRT(
+POWER(LN(M182),2)
+POWER(LN(N182),2)
+POWER(LN(O182),2)
+POWER(LN(P182),2)
+POWER(LN(Q182),2)
+POWER(LN(R182),2)
+POWER(LN(S182),2)
)
)))</f>
        <v>0.80992649174166365</v>
      </c>
    </row>
    <row r="183">
      <c r="A183" t="inlineStr">
        <is>
          <t>Carbon dioxide, fossil</t>
        </is>
      </c>
      <c r="B183">
        <f>unallocated!B74/'allocated (energy)'!I183*'allocated (energy)'!J183</f>
        <v>4.4172532716020223E-2</v>
      </c>
      <c r="D183" t="inlineStr">
        <is>
          <t>kilogram</t>
        </is>
      </c>
      <c r="E183" t="inlineStr">
        <is>
          <t>air::urban air close to ground</t>
        </is>
      </c>
      <c r="F183" t="inlineStr">
        <is>
          <t>biosphere</t>
        </is>
      </c>
      <c r="I183" t="n">
        <v>6170</v>
      </c>
      <c r="J183" s="11">
        <f>J159</f>
        <v>0.72872868143808767</v>
      </c>
      <c r="K183" t="n">
        <v>2</v>
      </c>
      <c r="L183" s="3">
        <f>LN(B183)</f>
        <v>-3.1196521148314833</v>
      </c>
      <c r="M183" t="n">
        <v>1</v>
      </c>
      <c r="N183" t="n">
        <v>1</v>
      </c>
      <c r="O183" t="n">
        <v>1</v>
      </c>
      <c r="P183" t="n">
        <v>1.02</v>
      </c>
      <c r="Q183" t="n">
        <v>1.2</v>
      </c>
      <c r="R183" t="n">
        <v>1</v>
      </c>
      <c r="S183" t="n">
        <v>1.05</v>
      </c>
      <c r="T183">
        <f>LN(SQRT(EXP(
SQRT(
+POWER(LN(M183),2)
+POWER(LN(N183),2)
+POWER(LN(O183),2)
+POWER(LN(P183),2)
+POWER(LN(Q183),2)
+POWER(LN(R183),2)
+POWER(LN(S183),2)
)
)))</f>
        <v>9.4886477223156879E-2</v>
      </c>
    </row>
    <row r="184">
      <c r="A184" t="inlineStr">
        <is>
          <t>Carbon dioxide, non-fossil</t>
        </is>
      </c>
      <c r="B184">
        <f>unallocated!B75/'allocated (energy)'!I184*'allocated (energy)'!J184</f>
        <v>7.0156375490149775E-2</v>
      </c>
      <c r="D184" t="inlineStr">
        <is>
          <t>kilogram</t>
        </is>
      </c>
      <c r="E184" t="inlineStr">
        <is>
          <t>air::urban air close to ground</t>
        </is>
      </c>
      <c r="F184" t="inlineStr">
        <is>
          <t>biosphere</t>
        </is>
      </c>
      <c r="I184" t="n">
        <v>6170</v>
      </c>
      <c r="J184" s="11">
        <f>J159</f>
        <v>0.72872868143808767</v>
      </c>
      <c r="K184" t="n">
        <v>2</v>
      </c>
      <c r="L184" s="3">
        <f>LN(B184)</f>
        <v>-2.6570285928833703</v>
      </c>
      <c r="M184" t="n">
        <v>1</v>
      </c>
      <c r="N184" t="n">
        <v>1</v>
      </c>
      <c r="O184" t="n">
        <v>1</v>
      </c>
      <c r="P184" t="n">
        <v>1.02</v>
      </c>
      <c r="Q184" t="n">
        <v>1.2</v>
      </c>
      <c r="R184" t="n">
        <v>1</v>
      </c>
      <c r="S184" t="n">
        <v>1.05</v>
      </c>
      <c r="T184">
        <f>LN(SQRT(EXP(
SQRT(
+POWER(LN(M184),2)
+POWER(LN(N184),2)
+POWER(LN(O184),2)
+POWER(LN(P184),2)
+POWER(LN(Q184),2)
+POWER(LN(R184),2)
+POWER(LN(S184),2)
)
)))</f>
        <v>9.4886477223156879E-2</v>
      </c>
    </row>
    <row r="185"/>
    <row r="186">
      <c r="A186" s="1" t="inlineStr">
        <is>
          <t>Activity</t>
        </is>
      </c>
      <c r="B186" s="1" t="inlineStr">
        <is>
          <t>municipal waste incineration, at incineration plant, with semi-dry air pollution control, with flue gas condensation, with electricity and heat recovery, energy allocation</t>
        </is>
      </c>
    </row>
    <row r="187">
      <c r="A187" t="inlineStr">
        <is>
          <t>location</t>
        </is>
      </c>
      <c r="B187" t="inlineStr">
        <is>
          <t>RER</t>
        </is>
      </c>
    </row>
    <row r="188">
      <c r="A188" t="inlineStr">
        <is>
          <t>production amount</t>
        </is>
      </c>
      <c r="B188" t="n">
        <v>1</v>
      </c>
    </row>
    <row r="189">
      <c r="A189" s="2" t="inlineStr">
        <is>
          <t>source</t>
        </is>
      </c>
      <c r="B189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90">
      <c r="A190" t="inlineStr">
        <is>
          <t>reference product</t>
        </is>
      </c>
      <c r="B190" t="inlineStr">
        <is>
          <t>municipal solid waste</t>
        </is>
      </c>
    </row>
    <row r="191">
      <c r="A191" t="inlineStr">
        <is>
          <t>type</t>
        </is>
      </c>
      <c r="B191" t="inlineStr">
        <is>
          <t>process</t>
        </is>
      </c>
    </row>
    <row r="192">
      <c r="A192" t="inlineStr">
        <is>
          <t>unit</t>
        </is>
      </c>
      <c r="B192" t="inlineStr">
        <is>
          <t>kilogram</t>
        </is>
      </c>
    </row>
    <row r="193">
      <c r="A193" t="inlineStr">
        <is>
          <t>comment</t>
        </is>
      </c>
      <c r="B193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623 kWh. Heat production per ton MSWI incinerated: 7'860 MJ.</t>
        </is>
      </c>
    </row>
    <row r="194">
      <c r="A194" s="1" t="inlineStr">
        <is>
          <t>Exchanges</t>
        </is>
      </c>
    </row>
    <row r="195">
      <c r="A195" s="7" t="inlineStr">
        <is>
          <t>name</t>
        </is>
      </c>
      <c r="B195" s="7" t="inlineStr">
        <is>
          <t>amount</t>
        </is>
      </c>
      <c r="C195" s="7" t="inlineStr">
        <is>
          <t>location</t>
        </is>
      </c>
      <c r="D195" s="7" t="inlineStr">
        <is>
          <t>unit</t>
        </is>
      </c>
      <c r="E195" s="7" t="inlineStr">
        <is>
          <t>categories</t>
        </is>
      </c>
      <c r="F195" s="7" t="inlineStr">
        <is>
          <t>type</t>
        </is>
      </c>
      <c r="G195" s="7" t="inlineStr">
        <is>
          <t>reference product</t>
        </is>
      </c>
      <c r="H195" s="7" t="inlineStr">
        <is>
          <t>comment</t>
        </is>
      </c>
      <c r="I195" s="7" t="inlineStr">
        <is>
          <t>normalization</t>
        </is>
      </c>
      <c r="J195" s="7" t="inlineStr">
        <is>
          <t>allocation</t>
        </is>
      </c>
      <c r="K195" s="7" t="inlineStr">
        <is>
          <t>uncertainty type</t>
        </is>
      </c>
      <c r="L195" s="7" t="inlineStr">
        <is>
          <t>loc</t>
        </is>
      </c>
      <c r="M195" s="1" t="inlineStr">
        <is>
          <t>u1</t>
        </is>
      </c>
      <c r="N195" s="1" t="inlineStr">
        <is>
          <t>u2</t>
        </is>
      </c>
      <c r="O195" s="1" t="inlineStr">
        <is>
          <t>u3</t>
        </is>
      </c>
      <c r="P195" s="1" t="inlineStr">
        <is>
          <t>u4</t>
        </is>
      </c>
      <c r="Q195" s="1" t="inlineStr">
        <is>
          <t>u5</t>
        </is>
      </c>
      <c r="R195" s="1" t="inlineStr">
        <is>
          <t>u6</t>
        </is>
      </c>
      <c r="S195" s="1" t="inlineStr">
        <is>
          <t>ub</t>
        </is>
      </c>
      <c r="T195" s="1" t="inlineStr">
        <is>
          <t>scale</t>
        </is>
      </c>
      <c r="U195" s="1" t="inlineStr">
        <is>
          <t>negative</t>
        </is>
      </c>
    </row>
    <row r="196">
      <c r="A196" t="inlineStr">
        <is>
          <t>municipal waste incineration, at incineration plant, with semi-dry air pollution control, with flue gas condensation, with electricity and heat recovery, energy allocation</t>
        </is>
      </c>
      <c r="B196" t="n">
        <v>1</v>
      </c>
      <c r="C196" t="inlineStr">
        <is>
          <t>RER</t>
        </is>
      </c>
      <c r="D196" t="inlineStr">
        <is>
          <t>kilogram</t>
        </is>
      </c>
      <c r="F196" t="inlineStr">
        <is>
          <t>production</t>
        </is>
      </c>
      <c r="G196" t="inlineStr">
        <is>
          <t>municipal solid waste</t>
        </is>
      </c>
      <c r="H196" t="inlineStr"/>
      <c r="I196" t="n">
        <v>1000</v>
      </c>
      <c r="J196" s="14">
        <f>INDEX('allocation keys'!$F$4:$H$28,MATCH('allocated (energy)'!$B$186,'allocation keys'!$B$4:$B$28,0),MATCH('allocated (energy)'!$B$190,'allocation keys'!$F$3:$H$3,0))</f>
        <v>0</v>
      </c>
      <c r="K196" t="n">
        <v>0</v>
      </c>
      <c r="M196" s="5" t="n"/>
      <c r="N196" s="5" t="n"/>
      <c r="O196" s="5" t="n"/>
      <c r="P196" s="5" t="n"/>
      <c r="Q196" s="5" t="n"/>
      <c r="R196" s="5" t="n"/>
    </row>
    <row r="197">
      <c r="A197" t="inlineStr">
        <is>
          <t>municipal waste incineration, at incineration plant, with semi-dry air pollution control, with flue gas condensation, with electricity and heat recovery, energy allocation</t>
        </is>
      </c>
      <c r="B197" s="6" t="n">
        <v>0</v>
      </c>
      <c r="C197" t="inlineStr">
        <is>
          <t>RER</t>
        </is>
      </c>
      <c r="D197" t="inlineStr">
        <is>
          <t>kilowatt hour</t>
        </is>
      </c>
      <c r="F197" t="inlineStr">
        <is>
          <t>technosphere</t>
        </is>
      </c>
      <c r="G197" t="inlineStr">
        <is>
          <t>electricity, medium voltage</t>
        </is>
      </c>
      <c r="H197" t="inlineStr"/>
      <c r="I197" t="n">
        <v>1000</v>
      </c>
      <c r="J197" s="11">
        <f>J196</f>
        <v>0</v>
      </c>
      <c r="K197" t="n">
        <v>0</v>
      </c>
      <c r="L197" s="3" t="n"/>
    </row>
    <row r="198">
      <c r="A198" t="inlineStr">
        <is>
          <t>municipal waste incineration, at incineration plant, with semi-dry air pollution control, with flue gas condensation, with electricity and heat recovery, energy allocation</t>
        </is>
      </c>
      <c r="B198" t="n">
        <v>0</v>
      </c>
      <c r="C198" t="inlineStr">
        <is>
          <t>RER</t>
        </is>
      </c>
      <c r="D198" t="inlineStr">
        <is>
          <t>megajoule</t>
        </is>
      </c>
      <c r="F198" t="inlineStr">
        <is>
          <t>technosphere</t>
        </is>
      </c>
      <c r="G198" t="inlineStr">
        <is>
          <t>heat, district or industrial, other than natural gas</t>
        </is>
      </c>
      <c r="H198" t="inlineStr"/>
      <c r="I198" t="n">
        <v>1000</v>
      </c>
      <c r="J198" s="11">
        <f>J196</f>
        <v>0</v>
      </c>
      <c r="K198" t="n">
        <v>0</v>
      </c>
      <c r="L198" s="3" t="n"/>
    </row>
    <row r="199">
      <c r="A199" t="inlineStr">
        <is>
          <t>market for diesel, low-sulfur</t>
        </is>
      </c>
      <c r="B199">
        <f>unallocated!B90/I199*J199</f>
        <v>0</v>
      </c>
      <c r="C199" t="inlineStr">
        <is>
          <t>Europe without Switzerland</t>
        </is>
      </c>
      <c r="D199" t="inlineStr">
        <is>
          <t>kilogram</t>
        </is>
      </c>
      <c r="F199" t="inlineStr">
        <is>
          <t>technosphere</t>
        </is>
      </c>
      <c r="G199" t="inlineStr">
        <is>
          <t>diesel, low-sulfur</t>
        </is>
      </c>
      <c r="H199" t="inlineStr">
        <is>
          <t>Diesel density: 0.85 kg/l</t>
        </is>
      </c>
      <c r="I199" t="n">
        <v>1000</v>
      </c>
      <c r="J199" s="11">
        <f>J196</f>
        <v>0</v>
      </c>
      <c r="K199" t="n">
        <v>0</v>
      </c>
      <c r="L199" s="3" t="n"/>
    </row>
    <row r="200">
      <c r="A200" t="inlineStr">
        <is>
          <t>market for activated carbon, granular</t>
        </is>
      </c>
      <c r="B200">
        <f>unallocated!B91/I200*J200</f>
        <v>0</v>
      </c>
      <c r="C200" t="inlineStr">
        <is>
          <t>GLO</t>
        </is>
      </c>
      <c r="D200" t="inlineStr">
        <is>
          <t>kilogram</t>
        </is>
      </c>
      <c r="F200" t="inlineStr">
        <is>
          <t>technosphere</t>
        </is>
      </c>
      <c r="G200" t="inlineStr">
        <is>
          <t>activated carbon, granular</t>
        </is>
      </c>
      <c r="I200" t="n">
        <v>1000</v>
      </c>
      <c r="J200" s="11">
        <f>J196</f>
        <v>0</v>
      </c>
      <c r="K200" t="n">
        <v>0</v>
      </c>
      <c r="L200" s="3" t="n"/>
    </row>
    <row r="201">
      <c r="A201" t="inlineStr">
        <is>
          <t>market for ammonia, anhydrous, liquid</t>
        </is>
      </c>
      <c r="B201">
        <f>unallocated!B92/I201*J201</f>
        <v>0</v>
      </c>
      <c r="C201" t="inlineStr">
        <is>
          <t>RER</t>
        </is>
      </c>
      <c r="D201" t="inlineStr">
        <is>
          <t>kilogram</t>
        </is>
      </c>
      <c r="F201" t="inlineStr">
        <is>
          <t>technosphere</t>
        </is>
      </c>
      <c r="G201" t="inlineStr">
        <is>
          <t>ammonia, anhydrous, liquid</t>
        </is>
      </c>
      <c r="H201" t="inlineStr">
        <is>
          <t>100% liquid ammonia. In original publication, it is dilluated to 23.5% in water. We discount the original value by 75%.</t>
        </is>
      </c>
      <c r="I201" t="n">
        <v>1000</v>
      </c>
      <c r="J201" s="11">
        <f>J196</f>
        <v>0</v>
      </c>
      <c r="K201" t="n">
        <v>0</v>
      </c>
      <c r="L201" s="3" t="n"/>
    </row>
    <row r="202">
      <c r="A202" t="inlineStr">
        <is>
          <t>market for tap water</t>
        </is>
      </c>
      <c r="B202">
        <f>unallocated!B93/I202*J202</f>
        <v>0</v>
      </c>
      <c r="C202" t="inlineStr">
        <is>
          <t>Europe without Switzerland</t>
        </is>
      </c>
      <c r="D202" t="inlineStr">
        <is>
          <t>kilogram</t>
        </is>
      </c>
      <c r="F202" t="inlineStr">
        <is>
          <t>technosphere</t>
        </is>
      </c>
      <c r="G202" t="inlineStr">
        <is>
          <t>tap water</t>
        </is>
      </c>
      <c r="H202" t="inlineStr">
        <is>
          <t>Used to dilute the ammonia.</t>
        </is>
      </c>
      <c r="I202" t="n">
        <v>1000</v>
      </c>
      <c r="J202" s="11">
        <f>J196</f>
        <v>0</v>
      </c>
      <c r="K202" t="n">
        <v>0</v>
      </c>
      <c r="L202" s="3" t="n"/>
    </row>
    <row r="203">
      <c r="A203" t="inlineStr">
        <is>
          <t>market for calcium carbonate, precipitated</t>
        </is>
      </c>
      <c r="B203">
        <f>unallocated!B94/I203*J203</f>
        <v>0</v>
      </c>
      <c r="C203" t="inlineStr">
        <is>
          <t>RER</t>
        </is>
      </c>
      <c r="D203" t="inlineStr">
        <is>
          <t>kilogram</t>
        </is>
      </c>
      <c r="F203" t="inlineStr">
        <is>
          <t>technosphere</t>
        </is>
      </c>
      <c r="G203" t="inlineStr">
        <is>
          <t>calcium carbonate, precipitated</t>
        </is>
      </c>
      <c r="I203" t="n">
        <v>1000</v>
      </c>
      <c r="J203" s="11">
        <f>J196</f>
        <v>0</v>
      </c>
      <c r="K203" t="n">
        <v>0</v>
      </c>
      <c r="L203" s="3" t="n"/>
    </row>
    <row r="204">
      <c r="A204" t="inlineStr">
        <is>
          <t>market for iron(III) chloride, without water, in 40% solution state</t>
        </is>
      </c>
      <c r="B204">
        <f>unallocated!B95/I204*J204</f>
        <v>0</v>
      </c>
      <c r="C204" t="inlineStr">
        <is>
          <t>GLO</t>
        </is>
      </c>
      <c r="D204" t="inlineStr">
        <is>
          <t>kilogram</t>
        </is>
      </c>
      <c r="F204" t="inlineStr">
        <is>
          <t>technosphere</t>
        </is>
      </c>
      <c r="G204" t="inlineStr">
        <is>
          <t>iron(III) chloride, without water, in 40% solution state</t>
        </is>
      </c>
      <c r="I204" t="n">
        <v>1000</v>
      </c>
      <c r="J204" s="11">
        <f>J196</f>
        <v>0</v>
      </c>
      <c r="K204" t="n">
        <v>0</v>
      </c>
      <c r="L204" s="3" t="n"/>
    </row>
    <row r="205">
      <c r="A205" t="inlineStr">
        <is>
          <t>market for lime, hydrated, packed</t>
        </is>
      </c>
      <c r="B205">
        <f>unallocated!B96/I205*J205</f>
        <v>0</v>
      </c>
      <c r="C205" t="inlineStr">
        <is>
          <t>RER</t>
        </is>
      </c>
      <c r="D205" t="inlineStr">
        <is>
          <t>kilogram</t>
        </is>
      </c>
      <c r="F205" t="inlineStr">
        <is>
          <t>technosphere</t>
        </is>
      </c>
      <c r="G205" t="inlineStr">
        <is>
          <t>lime, hydrated, packed</t>
        </is>
      </c>
      <c r="I205" t="n">
        <v>1000</v>
      </c>
      <c r="J205" s="11">
        <f>J196</f>
        <v>0</v>
      </c>
      <c r="K205" t="n">
        <v>0</v>
      </c>
      <c r="L205" s="3" t="n"/>
    </row>
    <row r="206">
      <c r="A206" t="inlineStr">
        <is>
          <t>market for sodium hydroxide, without water, in 50% solution state</t>
        </is>
      </c>
      <c r="B206">
        <f>unallocated!B97/I206*J206</f>
        <v>0</v>
      </c>
      <c r="C206" t="inlineStr">
        <is>
          <t>RER</t>
        </is>
      </c>
      <c r="D206" t="inlineStr">
        <is>
          <t>kilogram</t>
        </is>
      </c>
      <c r="F206" t="inlineStr">
        <is>
          <t>technosphere</t>
        </is>
      </c>
      <c r="G206" t="inlineStr">
        <is>
          <t>sodium hydroxide, without water, in 50% solution state</t>
        </is>
      </c>
      <c r="H206" t="inlineStr">
        <is>
          <t>50% liquid ammonia. In original publication, it is dilluated to 27% in water. We discount the original value by 50%.</t>
        </is>
      </c>
      <c r="I206" t="n">
        <v>1000</v>
      </c>
      <c r="J206" s="11">
        <f>J196</f>
        <v>0</v>
      </c>
      <c r="K206" t="n">
        <v>0</v>
      </c>
      <c r="L206" s="3" t="n"/>
    </row>
    <row r="207">
      <c r="A207" t="inlineStr">
        <is>
          <t>market for monoethanolamine</t>
        </is>
      </c>
      <c r="B207">
        <f>unallocated!B98/I207*J207</f>
        <v>0</v>
      </c>
      <c r="C207" t="inlineStr">
        <is>
          <t>GLO</t>
        </is>
      </c>
      <c r="D207" t="inlineStr">
        <is>
          <t>kilogram</t>
        </is>
      </c>
      <c r="F207" t="inlineStr">
        <is>
          <t>technosphere</t>
        </is>
      </c>
      <c r="G207" t="inlineStr">
        <is>
          <t>monoethanolamine</t>
        </is>
      </c>
      <c r="I207" t="n">
        <v>1000</v>
      </c>
      <c r="J207" s="11">
        <f>J196</f>
        <v>0</v>
      </c>
      <c r="K207" t="n">
        <v>0</v>
      </c>
      <c r="L207" s="3" t="n"/>
    </row>
    <row r="208">
      <c r="A208" t="inlineStr">
        <is>
          <t>municipal waste incineration facility construction</t>
        </is>
      </c>
      <c r="B208">
        <f>unallocated!B99/I208*J208</f>
        <v>0</v>
      </c>
      <c r="C208" t="inlineStr">
        <is>
          <t>CH</t>
        </is>
      </c>
      <c r="D208" t="inlineStr">
        <is>
          <t>unit</t>
        </is>
      </c>
      <c r="F208" t="inlineStr">
        <is>
          <t>technosphere</t>
        </is>
      </c>
      <c r="G208" t="inlineStr">
        <is>
          <t>municipal waste incineration facility</t>
        </is>
      </c>
      <c r="H208" t="inlineStr">
        <is>
          <t>Lifetime: 4'000'000 tons MSWI treated.</t>
        </is>
      </c>
      <c r="I208" t="n">
        <v>1000</v>
      </c>
      <c r="J208" s="11">
        <f>J196</f>
        <v>0</v>
      </c>
      <c r="K208" t="n">
        <v>0</v>
      </c>
      <c r="L208" s="3" t="n"/>
    </row>
    <row r="209">
      <c r="A209" t="inlineStr">
        <is>
          <t>Water, cooling, unspecified natural origin</t>
        </is>
      </c>
      <c r="B209">
        <f>unallocated!B100/I209*J209</f>
        <v>0</v>
      </c>
      <c r="D209" t="inlineStr">
        <is>
          <t>cubic meter</t>
        </is>
      </c>
      <c r="E209" t="inlineStr">
        <is>
          <t>natural resource::in water</t>
        </is>
      </c>
      <c r="F209" t="inlineStr">
        <is>
          <t>biosphere</t>
        </is>
      </c>
      <c r="I209" t="n">
        <v>1000</v>
      </c>
      <c r="J209" s="11">
        <f>J196</f>
        <v>0</v>
      </c>
      <c r="K209" t="n">
        <v>0</v>
      </c>
      <c r="L209" s="3" t="n"/>
    </row>
    <row r="210">
      <c r="A210" t="inlineStr">
        <is>
          <t>Sulfur dioxide</t>
        </is>
      </c>
      <c r="B210">
        <f>unallocated!B101/I210*J210</f>
        <v>0</v>
      </c>
      <c r="D210" t="inlineStr">
        <is>
          <t>kilogram</t>
        </is>
      </c>
      <c r="E210" t="inlineStr">
        <is>
          <t>air::urban air close to ground</t>
        </is>
      </c>
      <c r="F210" t="inlineStr">
        <is>
          <t>biosphere</t>
        </is>
      </c>
      <c r="I210" t="n">
        <v>1000</v>
      </c>
      <c r="J210" s="11">
        <f>J196</f>
        <v>0</v>
      </c>
      <c r="K210" t="n">
        <v>0</v>
      </c>
      <c r="L210" s="3" t="n"/>
    </row>
    <row r="211">
      <c r="A211" t="inlineStr">
        <is>
          <t>Hydrochloric acid</t>
        </is>
      </c>
      <c r="B211">
        <f>unallocated!B102/I211*J211</f>
        <v>0</v>
      </c>
      <c r="D211" t="inlineStr">
        <is>
          <t>kilogram</t>
        </is>
      </c>
      <c r="E211" t="inlineStr">
        <is>
          <t>air</t>
        </is>
      </c>
      <c r="F211" t="inlineStr">
        <is>
          <t>biosphere</t>
        </is>
      </c>
      <c r="I211" t="n">
        <v>1000</v>
      </c>
      <c r="J211" s="11">
        <f>J196</f>
        <v>0</v>
      </c>
      <c r="K211" t="n">
        <v>0</v>
      </c>
      <c r="L211" s="3" t="n"/>
    </row>
    <row r="212">
      <c r="A212" t="inlineStr">
        <is>
          <t>Nitrogen oxides</t>
        </is>
      </c>
      <c r="B212">
        <f>unallocated!B103/I212*J212</f>
        <v>0</v>
      </c>
      <c r="D212" t="inlineStr">
        <is>
          <t>kilogram</t>
        </is>
      </c>
      <c r="E212" t="inlineStr">
        <is>
          <t>air::urban air close to ground</t>
        </is>
      </c>
      <c r="F212" t="inlineStr">
        <is>
          <t>biosphere</t>
        </is>
      </c>
      <c r="I212" t="n">
        <v>1000</v>
      </c>
      <c r="J212" s="11">
        <f>J196</f>
        <v>0</v>
      </c>
      <c r="K212" t="n">
        <v>0</v>
      </c>
      <c r="L212" s="3" t="n"/>
    </row>
    <row r="213">
      <c r="A213" t="inlineStr">
        <is>
          <t>Ammonia</t>
        </is>
      </c>
      <c r="B213">
        <f>unallocated!B104/I213*J213</f>
        <v>0</v>
      </c>
      <c r="D213" t="inlineStr">
        <is>
          <t>kilogram</t>
        </is>
      </c>
      <c r="E213" t="inlineStr">
        <is>
          <t>air::urban air close to ground</t>
        </is>
      </c>
      <c r="F213" t="inlineStr">
        <is>
          <t>biosphere</t>
        </is>
      </c>
      <c r="I213" t="n">
        <v>1000</v>
      </c>
      <c r="J213" s="11">
        <f>J196</f>
        <v>0</v>
      </c>
      <c r="K213" t="n">
        <v>0</v>
      </c>
      <c r="L213" s="3" t="n"/>
    </row>
    <row r="214">
      <c r="A214" t="inlineStr">
        <is>
          <t>Particulate Matter, &lt; 2.5 um</t>
        </is>
      </c>
      <c r="B214">
        <f>unallocated!B105/I214*J214</f>
        <v>0</v>
      </c>
      <c r="D214" t="inlineStr">
        <is>
          <t>kilogram</t>
        </is>
      </c>
      <c r="E214" t="inlineStr">
        <is>
          <t>air::urban air close to ground</t>
        </is>
      </c>
      <c r="F214" t="inlineStr">
        <is>
          <t>biosphere</t>
        </is>
      </c>
      <c r="I214" t="n">
        <v>1000</v>
      </c>
      <c r="J214" s="11">
        <f>J196</f>
        <v>0</v>
      </c>
      <c r="K214" t="n">
        <v>0</v>
      </c>
      <c r="L214" s="3" t="n"/>
    </row>
    <row r="215">
      <c r="A215" t="inlineStr">
        <is>
          <t>Mercury II</t>
        </is>
      </c>
      <c r="B215">
        <f>unallocated!B106/I215*J215</f>
        <v>0</v>
      </c>
      <c r="D215" t="inlineStr">
        <is>
          <t>kilogram</t>
        </is>
      </c>
      <c r="E215" t="inlineStr">
        <is>
          <t>air::urban air close to ground</t>
        </is>
      </c>
      <c r="F215" t="inlineStr">
        <is>
          <t>biosphere</t>
        </is>
      </c>
      <c r="I215" t="n">
        <v>1000</v>
      </c>
      <c r="J215" s="11">
        <f>J196</f>
        <v>0</v>
      </c>
      <c r="K215" t="n">
        <v>0</v>
      </c>
      <c r="L215" s="3" t="n"/>
    </row>
    <row r="216">
      <c r="A216" t="inlineStr">
        <is>
          <t>Lead II</t>
        </is>
      </c>
      <c r="B216">
        <f>unallocated!B107/I216*J216</f>
        <v>0</v>
      </c>
      <c r="D216" t="inlineStr">
        <is>
          <t>kilogram</t>
        </is>
      </c>
      <c r="E216" t="inlineStr">
        <is>
          <t>air::urban air close to ground</t>
        </is>
      </c>
      <c r="F216" t="inlineStr">
        <is>
          <t>biosphere</t>
        </is>
      </c>
      <c r="I216" t="n">
        <v>1000</v>
      </c>
      <c r="J216" s="11">
        <f>J196</f>
        <v>0</v>
      </c>
      <c r="K216" t="n">
        <v>0</v>
      </c>
      <c r="L216" s="3" t="n"/>
    </row>
    <row r="217">
      <c r="A217" t="inlineStr">
        <is>
          <t>Cadmium II</t>
        </is>
      </c>
      <c r="B217">
        <f>unallocated!B108/I217*J217</f>
        <v>0</v>
      </c>
      <c r="D217" t="inlineStr">
        <is>
          <t>kilogram</t>
        </is>
      </c>
      <c r="E217" t="inlineStr">
        <is>
          <t>air::urban air close to ground</t>
        </is>
      </c>
      <c r="F217" t="inlineStr">
        <is>
          <t>biosphere</t>
        </is>
      </c>
      <c r="I217" t="n">
        <v>1000</v>
      </c>
      <c r="J217" s="11">
        <f>J196</f>
        <v>0</v>
      </c>
      <c r="K217" t="n">
        <v>0</v>
      </c>
      <c r="L217" s="3" t="n"/>
    </row>
    <row r="218">
      <c r="A218" t="inlineStr">
        <is>
          <t>Arsenic ion</t>
        </is>
      </c>
      <c r="B218">
        <f>unallocated!B109/I218*J218</f>
        <v>0</v>
      </c>
      <c r="D218" t="inlineStr">
        <is>
          <t>kilogram</t>
        </is>
      </c>
      <c r="E218" t="inlineStr">
        <is>
          <t>air::urban air close to ground</t>
        </is>
      </c>
      <c r="F218" t="inlineStr">
        <is>
          <t>biosphere</t>
        </is>
      </c>
      <c r="I218" t="n">
        <v>1000</v>
      </c>
      <c r="J218" s="11">
        <f>J196</f>
        <v>0</v>
      </c>
      <c r="K218" t="n">
        <v>0</v>
      </c>
      <c r="L218" s="3" t="n"/>
    </row>
    <row r="219">
      <c r="A219" t="inlineStr">
        <is>
          <t>Dioxins, measured as 2,3,7,8-tetrachlorodibenzo-p-dioxin</t>
        </is>
      </c>
      <c r="B219">
        <f>unallocated!B110/I219*J219</f>
        <v>0</v>
      </c>
      <c r="D219" t="inlineStr">
        <is>
          <t>kilogram</t>
        </is>
      </c>
      <c r="E219" t="inlineStr">
        <is>
          <t>air::urban air close to ground</t>
        </is>
      </c>
      <c r="F219" t="inlineStr">
        <is>
          <t>biosphere</t>
        </is>
      </c>
      <c r="I219" t="n">
        <v>1000</v>
      </c>
      <c r="J219" s="11">
        <f>J196</f>
        <v>0</v>
      </c>
      <c r="K219" t="n">
        <v>0</v>
      </c>
      <c r="L219" s="3" t="n"/>
    </row>
    <row r="220">
      <c r="A220" t="inlineStr">
        <is>
          <t>Carbon dioxide, fossil</t>
        </is>
      </c>
      <c r="B220">
        <f>unallocated!B111/I220*J220</f>
        <v>0</v>
      </c>
      <c r="D220" t="inlineStr">
        <is>
          <t>kilogram</t>
        </is>
      </c>
      <c r="E220" t="inlineStr">
        <is>
          <t>air::urban air close to ground</t>
        </is>
      </c>
      <c r="F220" t="inlineStr">
        <is>
          <t>biosphere</t>
        </is>
      </c>
      <c r="I220" t="n">
        <v>1000</v>
      </c>
      <c r="J220" s="11">
        <f>J196</f>
        <v>0</v>
      </c>
      <c r="K220" t="n">
        <v>0</v>
      </c>
      <c r="L220" s="3" t="n"/>
    </row>
    <row r="221">
      <c r="A221" t="inlineStr">
        <is>
          <t>Carbon dioxide, non-fossil</t>
        </is>
      </c>
      <c r="B221">
        <f>unallocated!B112/I221*J221</f>
        <v>0</v>
      </c>
      <c r="D221" t="inlineStr">
        <is>
          <t>kilogram</t>
        </is>
      </c>
      <c r="E221" t="inlineStr">
        <is>
          <t>air::urban air close to ground</t>
        </is>
      </c>
      <c r="F221" t="inlineStr">
        <is>
          <t>biosphere</t>
        </is>
      </c>
      <c r="I221" t="n">
        <v>1000</v>
      </c>
      <c r="J221" s="11">
        <f>J196</f>
        <v>0</v>
      </c>
      <c r="K221" t="n">
        <v>0</v>
      </c>
      <c r="L221" s="3" t="n"/>
    </row>
    <row r="222"/>
    <row r="223">
      <c r="A223" s="1" t="inlineStr">
        <is>
          <t>Activity</t>
        </is>
      </c>
      <c r="B223" s="1" t="inlineStr">
        <is>
          <t>municipal waste incineration, at incineration plant, with semi-dry air pollution control, with flue gas condensation, with electricity and heat recovery, energy allocation</t>
        </is>
      </c>
    </row>
    <row r="224">
      <c r="A224" t="inlineStr">
        <is>
          <t>location</t>
        </is>
      </c>
      <c r="B224" t="inlineStr">
        <is>
          <t>RER</t>
        </is>
      </c>
    </row>
    <row r="225">
      <c r="A225" t="inlineStr">
        <is>
          <t>production amount</t>
        </is>
      </c>
      <c r="B225" t="n">
        <v>1</v>
      </c>
    </row>
    <row r="226">
      <c r="A226" s="2" t="inlineStr">
        <is>
          <t>source</t>
        </is>
      </c>
      <c r="B226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227">
      <c r="A227" t="inlineStr">
        <is>
          <t>reference product</t>
        </is>
      </c>
      <c r="B227" t="inlineStr">
        <is>
          <t>electricity, medium voltage</t>
        </is>
      </c>
    </row>
    <row r="228">
      <c r="A228" t="inlineStr">
        <is>
          <t>type</t>
        </is>
      </c>
      <c r="B228" t="inlineStr">
        <is>
          <t>process</t>
        </is>
      </c>
    </row>
    <row r="229">
      <c r="A229" t="inlineStr">
        <is>
          <t>unit</t>
        </is>
      </c>
      <c r="B229" t="inlineStr">
        <is>
          <t>kilowatt hour</t>
        </is>
      </c>
    </row>
    <row r="230">
      <c r="A230" t="inlineStr">
        <is>
          <t>comment</t>
        </is>
      </c>
      <c r="B230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623 kWh. Heat production per ton MSWI incinerated: 7'860 MJ.</t>
        </is>
      </c>
    </row>
    <row r="231">
      <c r="A231" s="1" t="inlineStr">
        <is>
          <t>Exchanges</t>
        </is>
      </c>
    </row>
    <row r="232">
      <c r="A232" s="7" t="inlineStr">
        <is>
          <t>name</t>
        </is>
      </c>
      <c r="B232" s="7" t="inlineStr">
        <is>
          <t>amount</t>
        </is>
      </c>
      <c r="C232" s="7" t="inlineStr">
        <is>
          <t>location</t>
        </is>
      </c>
      <c r="D232" s="7" t="inlineStr">
        <is>
          <t>unit</t>
        </is>
      </c>
      <c r="E232" s="7" t="inlineStr">
        <is>
          <t>categories</t>
        </is>
      </c>
      <c r="F232" s="7" t="inlineStr">
        <is>
          <t>type</t>
        </is>
      </c>
      <c r="G232" s="7" t="inlineStr">
        <is>
          <t>reference product</t>
        </is>
      </c>
      <c r="H232" s="7" t="inlineStr">
        <is>
          <t>comment</t>
        </is>
      </c>
      <c r="I232" s="7" t="inlineStr">
        <is>
          <t>normalization</t>
        </is>
      </c>
      <c r="J232" s="7" t="inlineStr">
        <is>
          <t>allocation</t>
        </is>
      </c>
      <c r="K232" s="7" t="inlineStr">
        <is>
          <t>uncertainty type</t>
        </is>
      </c>
      <c r="L232" s="7" t="inlineStr">
        <is>
          <t>loc</t>
        </is>
      </c>
      <c r="M232" s="1" t="inlineStr">
        <is>
          <t>u1</t>
        </is>
      </c>
      <c r="N232" s="1" t="inlineStr">
        <is>
          <t>u2</t>
        </is>
      </c>
      <c r="O232" s="1" t="inlineStr">
        <is>
          <t>u3</t>
        </is>
      </c>
      <c r="P232" s="1" t="inlineStr">
        <is>
          <t>u4</t>
        </is>
      </c>
      <c r="Q232" s="1" t="inlineStr">
        <is>
          <t>u5</t>
        </is>
      </c>
      <c r="R232" s="1" t="inlineStr">
        <is>
          <t>u6</t>
        </is>
      </c>
      <c r="S232" s="1" t="inlineStr">
        <is>
          <t>ub</t>
        </is>
      </c>
      <c r="T232" s="1" t="inlineStr">
        <is>
          <t>scale</t>
        </is>
      </c>
      <c r="U232" s="1" t="inlineStr">
        <is>
          <t>negative</t>
        </is>
      </c>
    </row>
    <row r="233">
      <c r="A233" t="inlineStr">
        <is>
          <t>municipal waste incineration, at incineration plant, with semi-dry air pollution control, with flue gas condensation, with electricity and heat recovery, energy allocation</t>
        </is>
      </c>
      <c r="B233" t="n">
        <v>0</v>
      </c>
      <c r="C233" t="inlineStr">
        <is>
          <t>RER</t>
        </is>
      </c>
      <c r="D233" t="inlineStr">
        <is>
          <t>kilogram</t>
        </is>
      </c>
      <c r="F233" t="inlineStr">
        <is>
          <t>technosphere</t>
        </is>
      </c>
      <c r="G233" t="inlineStr">
        <is>
          <t>municipal solid waste</t>
        </is>
      </c>
      <c r="H233" t="inlineStr"/>
      <c r="I233" t="n">
        <v>623</v>
      </c>
      <c r="J233" s="14">
        <f>INDEX('allocation keys'!$F$4:$H$28,MATCH('allocated (energy)'!$B$223,'allocation keys'!$B$4:$B$28,0),MATCH('allocated (energy)'!$B$227,'allocation keys'!$F$3:$H$3,0))</f>
        <v>0.22199786197885737</v>
      </c>
      <c r="K233" t="n">
        <v>0</v>
      </c>
      <c r="M233" s="5" t="n"/>
      <c r="N233" s="5" t="n"/>
      <c r="O233" s="5" t="n"/>
      <c r="P233" s="5" t="n"/>
      <c r="Q233" s="5" t="n"/>
      <c r="R233" s="5" t="n"/>
    </row>
    <row r="234">
      <c r="A234" t="inlineStr">
        <is>
          <t>municipal waste incineration, at incineration plant, with semi-dry air pollution control, with flue gas condensation, with electricity and heat recovery, energy allocation</t>
        </is>
      </c>
      <c r="B234" s="6" t="n">
        <v>1</v>
      </c>
      <c r="C234" t="inlineStr">
        <is>
          <t>RER</t>
        </is>
      </c>
      <c r="D234" t="inlineStr">
        <is>
          <t>kilowatt hour</t>
        </is>
      </c>
      <c r="F234" t="inlineStr">
        <is>
          <t>production</t>
        </is>
      </c>
      <c r="G234" t="inlineStr">
        <is>
          <t>electricity, medium voltage</t>
        </is>
      </c>
      <c r="H234" t="inlineStr"/>
      <c r="I234" t="n">
        <v>623</v>
      </c>
      <c r="J234" s="11">
        <f>J233</f>
        <v>0.22199786197885737</v>
      </c>
      <c r="K234" t="n">
        <v>0</v>
      </c>
      <c r="L234" s="3" t="n"/>
    </row>
    <row r="235">
      <c r="A235" t="inlineStr">
        <is>
          <t>municipal waste incineration, at incineration plant, with semi-dry air pollution control, with flue gas condensation, with electricity and heat recovery, energy allocation</t>
        </is>
      </c>
      <c r="B235" t="n">
        <v>0</v>
      </c>
      <c r="C235" t="inlineStr">
        <is>
          <t>RER</t>
        </is>
      </c>
      <c r="D235" t="inlineStr">
        <is>
          <t>megajoule</t>
        </is>
      </c>
      <c r="F235" t="inlineStr">
        <is>
          <t>technosphere</t>
        </is>
      </c>
      <c r="G235" t="inlineStr">
        <is>
          <t>heat, district or industrial, other than natural gas</t>
        </is>
      </c>
      <c r="H235" t="inlineStr"/>
      <c r="I235" t="n">
        <v>623</v>
      </c>
      <c r="J235" s="11">
        <f>J233</f>
        <v>0.22199786197885737</v>
      </c>
      <c r="K235" t="n">
        <v>0</v>
      </c>
      <c r="L235" s="3" t="n"/>
    </row>
    <row r="236">
      <c r="A236" t="inlineStr">
        <is>
          <t>market for diesel, low-sulfur</t>
        </is>
      </c>
      <c r="B236">
        <f>unallocated!B90/I236*J236</f>
        <v>3.0288632854258234E-5</v>
      </c>
      <c r="C236" t="inlineStr">
        <is>
          <t>Europe without Switzerland</t>
        </is>
      </c>
      <c r="D236" t="inlineStr">
        <is>
          <t>kilogram</t>
        </is>
      </c>
      <c r="F236" t="inlineStr">
        <is>
          <t>technosphere</t>
        </is>
      </c>
      <c r="G236" t="inlineStr">
        <is>
          <t>diesel, low-sulfur</t>
        </is>
      </c>
      <c r="H236" t="inlineStr">
        <is>
          <t>Diesel density: 0.85 kg/l</t>
        </is>
      </c>
      <c r="I236" t="n">
        <v>623</v>
      </c>
      <c r="J236" s="11">
        <f>J233</f>
        <v>0.22199786197885737</v>
      </c>
      <c r="K236" t="n">
        <v>2</v>
      </c>
      <c r="L236" s="3">
        <f>LN(B236)</f>
        <v>-10.404738069161375</v>
      </c>
      <c r="M236" t="n">
        <v>1</v>
      </c>
      <c r="N236" t="n">
        <v>1</v>
      </c>
      <c r="O236" t="n">
        <v>1</v>
      </c>
      <c r="P236" t="n">
        <v>1.02</v>
      </c>
      <c r="Q236" t="n">
        <v>1.2</v>
      </c>
      <c r="R236" t="n">
        <v>1</v>
      </c>
      <c r="S236" t="n">
        <v>1.05</v>
      </c>
      <c r="T236">
        <f>LN(SQRT(EXP(
SQRT(
+POWER(LN(M236),2)
+POWER(LN(N236),2)
+POWER(LN(O236),2)
+POWER(LN(P236),2)
+POWER(LN(Q236),2)
+POWER(LN(R236),2)
+POWER(LN(S236),2)
)
)))</f>
        <v>9.4886477223156879E-2</v>
      </c>
    </row>
    <row r="237">
      <c r="A237" t="inlineStr">
        <is>
          <t>market for activated carbon, granular</t>
        </is>
      </c>
      <c r="B237">
        <f>unallocated!B91/I237*J237</f>
        <v>1.4253474284356814E-4</v>
      </c>
      <c r="C237" t="inlineStr">
        <is>
          <t>GLO</t>
        </is>
      </c>
      <c r="D237" t="inlineStr">
        <is>
          <t>kilogram</t>
        </is>
      </c>
      <c r="F237" t="inlineStr">
        <is>
          <t>technosphere</t>
        </is>
      </c>
      <c r="G237" t="inlineStr">
        <is>
          <t>activated carbon, granular</t>
        </is>
      </c>
      <c r="I237" t="n">
        <v>623</v>
      </c>
      <c r="J237" s="11">
        <f>J233</f>
        <v>0.22199786197885737</v>
      </c>
      <c r="K237" t="n">
        <v>2</v>
      </c>
      <c r="L237" s="3">
        <f>LN(B237)</f>
        <v>-8.8559247785437094</v>
      </c>
      <c r="M237" t="n">
        <v>1</v>
      </c>
      <c r="N237" t="n">
        <v>1</v>
      </c>
      <c r="O237" t="n">
        <v>1</v>
      </c>
      <c r="P237" t="n">
        <v>1.02</v>
      </c>
      <c r="Q237" t="n">
        <v>1.2</v>
      </c>
      <c r="R237" t="n">
        <v>1</v>
      </c>
      <c r="S237" t="n">
        <v>1.05</v>
      </c>
      <c r="T237">
        <f>LN(SQRT(EXP(
SQRT(
+POWER(LN(M237),2)
+POWER(LN(N237),2)
+POWER(LN(O237),2)
+POWER(LN(P237),2)
+POWER(LN(Q237),2)
+POWER(LN(R237),2)
+POWER(LN(S237),2)
)
)))</f>
        <v>9.4886477223156879E-2</v>
      </c>
    </row>
    <row r="238">
      <c r="A238" t="inlineStr">
        <is>
          <t>market for ammonia, anhydrous, liquid</t>
        </is>
      </c>
      <c r="B238">
        <f>unallocated!B92/I238*J238</f>
        <v>3.4921011996674192E-4</v>
      </c>
      <c r="C238" t="inlineStr">
        <is>
          <t>RER</t>
        </is>
      </c>
      <c r="D238" t="inlineStr">
        <is>
          <t>kilogram</t>
        </is>
      </c>
      <c r="F238" t="inlineStr">
        <is>
          <t>technosphere</t>
        </is>
      </c>
      <c r="G238" t="inlineStr">
        <is>
          <t>ammonia, anhydrous, liquid</t>
        </is>
      </c>
      <c r="H238" t="inlineStr">
        <is>
          <t>100% liquid ammonia. In original publication, it is dilluated to 23.5% in water. We discount the original value by 75%.</t>
        </is>
      </c>
      <c r="I238" t="n">
        <v>623</v>
      </c>
      <c r="J238" s="11">
        <f>J233</f>
        <v>0.22199786197885737</v>
      </c>
      <c r="K238" t="n">
        <v>2</v>
      </c>
      <c r="L238" s="3">
        <f>LN(B238)</f>
        <v>-7.9598367539870738</v>
      </c>
      <c r="M238" t="n">
        <v>1</v>
      </c>
      <c r="N238" t="n">
        <v>1</v>
      </c>
      <c r="O238" t="n">
        <v>1</v>
      </c>
      <c r="P238" t="n">
        <v>1.02</v>
      </c>
      <c r="Q238" t="n">
        <v>1.2</v>
      </c>
      <c r="R238" t="n">
        <v>1</v>
      </c>
      <c r="S238" t="n">
        <v>1.05</v>
      </c>
      <c r="T238">
        <f>LN(SQRT(EXP(
SQRT(
+POWER(LN(M238),2)
+POWER(LN(N238),2)
+POWER(LN(O238),2)
+POWER(LN(P238),2)
+POWER(LN(Q238),2)
+POWER(LN(R238),2)
+POWER(LN(S238),2)
)
)))</f>
        <v>9.4886477223156879E-2</v>
      </c>
    </row>
    <row r="239">
      <c r="A239" t="inlineStr">
        <is>
          <t>market for tap water</t>
        </is>
      </c>
      <c r="B239">
        <f>unallocated!B93/I239*J239</f>
        <v>1.0761373084689394E-3</v>
      </c>
      <c r="C239" t="inlineStr">
        <is>
          <t>Europe without Switzerland</t>
        </is>
      </c>
      <c r="D239" t="inlineStr">
        <is>
          <t>kilogram</t>
        </is>
      </c>
      <c r="F239" t="inlineStr">
        <is>
          <t>technosphere</t>
        </is>
      </c>
      <c r="G239" t="inlineStr">
        <is>
          <t>tap water</t>
        </is>
      </c>
      <c r="H239" t="inlineStr">
        <is>
          <t>Used to dilute the ammonia.</t>
        </is>
      </c>
      <c r="I239" t="n">
        <v>623</v>
      </c>
      <c r="J239" s="11">
        <f>J233</f>
        <v>0.22199786197885737</v>
      </c>
      <c r="K239" t="n">
        <v>2</v>
      </c>
      <c r="L239" s="3">
        <f>LN(B239)</f>
        <v>-6.8343772152827755</v>
      </c>
      <c r="M239" t="n">
        <v>1</v>
      </c>
      <c r="N239" t="n">
        <v>1</v>
      </c>
      <c r="O239" t="n">
        <v>1</v>
      </c>
      <c r="P239" t="n">
        <v>1.02</v>
      </c>
      <c r="Q239" t="n">
        <v>1.2</v>
      </c>
      <c r="R239" t="n">
        <v>1</v>
      </c>
      <c r="S239" t="n">
        <v>1.05</v>
      </c>
      <c r="T239">
        <f>LN(SQRT(EXP(
SQRT(
+POWER(LN(M239),2)
+POWER(LN(N239),2)
+POWER(LN(O239),2)
+POWER(LN(P239),2)
+POWER(LN(Q239),2)
+POWER(LN(R239),2)
+POWER(LN(S239),2)
)
)))</f>
        <v>9.4886477223156879E-2</v>
      </c>
    </row>
    <row r="240">
      <c r="A240" t="inlineStr">
        <is>
          <t>market for calcium carbonate, precipitated</t>
        </is>
      </c>
      <c r="B240">
        <f>unallocated!B94/I240*J240</f>
        <v>0</v>
      </c>
      <c r="C240" t="inlineStr">
        <is>
          <t>RER</t>
        </is>
      </c>
      <c r="D240" t="inlineStr">
        <is>
          <t>kilogram</t>
        </is>
      </c>
      <c r="F240" t="inlineStr">
        <is>
          <t>technosphere</t>
        </is>
      </c>
      <c r="G240" t="inlineStr">
        <is>
          <t>calcium carbonate, precipitated</t>
        </is>
      </c>
      <c r="I240" t="n">
        <v>623</v>
      </c>
      <c r="J240" s="11">
        <f>J233</f>
        <v>0.22199786197885737</v>
      </c>
      <c r="K240" t="n">
        <v>0</v>
      </c>
      <c r="L240" s="3" t="n"/>
    </row>
    <row r="241">
      <c r="A241" t="inlineStr">
        <is>
          <t>market for iron(III) chloride, without water, in 40% solution state</t>
        </is>
      </c>
      <c r="B241">
        <f>unallocated!B95/I241*J241</f>
        <v>0</v>
      </c>
      <c r="C241" t="inlineStr">
        <is>
          <t>GLO</t>
        </is>
      </c>
      <c r="D241" t="inlineStr">
        <is>
          <t>kilogram</t>
        </is>
      </c>
      <c r="F241" t="inlineStr">
        <is>
          <t>technosphere</t>
        </is>
      </c>
      <c r="G241" t="inlineStr">
        <is>
          <t>iron(III) chloride, without water, in 40% solution state</t>
        </is>
      </c>
      <c r="I241" t="n">
        <v>623</v>
      </c>
      <c r="J241" s="11">
        <f>J233</f>
        <v>0.22199786197885737</v>
      </c>
      <c r="K241" t="n">
        <v>0</v>
      </c>
      <c r="L241" s="3" t="n"/>
    </row>
    <row r="242">
      <c r="A242" t="inlineStr">
        <is>
          <t>market for lime, hydrated, packed</t>
        </is>
      </c>
      <c r="B242">
        <f>unallocated!B96/I242*J242</f>
        <v>3.5633685710892032E-3</v>
      </c>
      <c r="C242" t="inlineStr">
        <is>
          <t>RER</t>
        </is>
      </c>
      <c r="D242" t="inlineStr">
        <is>
          <t>kilogram</t>
        </is>
      </c>
      <c r="F242" t="inlineStr">
        <is>
          <t>technosphere</t>
        </is>
      </c>
      <c r="G242" t="inlineStr">
        <is>
          <t>lime, hydrated, packed</t>
        </is>
      </c>
      <c r="I242" t="n">
        <v>623</v>
      </c>
      <c r="J242" s="11">
        <f>J233</f>
        <v>0.22199786197885737</v>
      </c>
      <c r="K242" t="n">
        <v>2</v>
      </c>
      <c r="L242" s="3">
        <f>LN(B242)</f>
        <v>-5.6370489536755084</v>
      </c>
      <c r="M242" t="n">
        <v>1</v>
      </c>
      <c r="N242" t="n">
        <v>1</v>
      </c>
      <c r="O242" t="n">
        <v>1</v>
      </c>
      <c r="P242" t="n">
        <v>1.02</v>
      </c>
      <c r="Q242" t="n">
        <v>1.2</v>
      </c>
      <c r="R242" t="n">
        <v>1</v>
      </c>
      <c r="S242" t="n">
        <v>1.05</v>
      </c>
      <c r="T242">
        <f>LN(SQRT(EXP(
SQRT(
+POWER(LN(M242),2)
+POWER(LN(N242),2)
+POWER(LN(O242),2)
+POWER(LN(P242),2)
+POWER(LN(Q242),2)
+POWER(LN(R242),2)
+POWER(LN(S242),2)
)
)))</f>
        <v>9.4886477223156879E-2</v>
      </c>
    </row>
    <row r="243">
      <c r="A243" t="inlineStr">
        <is>
          <t>market for sodium hydroxide, without water, in 50% solution state</t>
        </is>
      </c>
      <c r="B243">
        <f>unallocated!B97/I243*J243</f>
        <v>8.9084214277230091E-5</v>
      </c>
      <c r="C243" t="inlineStr">
        <is>
          <t>RER</t>
        </is>
      </c>
      <c r="D243" t="inlineStr">
        <is>
          <t>kilogram</t>
        </is>
      </c>
      <c r="F243" t="inlineStr">
        <is>
          <t>technosphere</t>
        </is>
      </c>
      <c r="G243" t="inlineStr">
        <is>
          <t>sodium hydroxide, without water, in 50% solution state</t>
        </is>
      </c>
      <c r="H243" t="inlineStr">
        <is>
          <t>50% liquid ammonia. In original publication, it is dilluated to 27% in water. We discount the original value by 50%.</t>
        </is>
      </c>
      <c r="I243" t="n">
        <v>623</v>
      </c>
      <c r="J243" s="11">
        <f>J233</f>
        <v>0.22199786197885737</v>
      </c>
      <c r="K243" t="n">
        <v>0</v>
      </c>
      <c r="L243" s="3" t="n"/>
    </row>
    <row r="244">
      <c r="A244" t="inlineStr">
        <is>
          <t>market for monoethanolamine</t>
        </is>
      </c>
      <c r="B244">
        <f>unallocated!B98/I244*J244</f>
        <v>0</v>
      </c>
      <c r="C244" t="inlineStr">
        <is>
          <t>GLO</t>
        </is>
      </c>
      <c r="D244" t="inlineStr">
        <is>
          <t>kilogram</t>
        </is>
      </c>
      <c r="F244" t="inlineStr">
        <is>
          <t>technosphere</t>
        </is>
      </c>
      <c r="G244" t="inlineStr">
        <is>
          <t>monoethanolamine</t>
        </is>
      </c>
      <c r="I244" t="n">
        <v>623</v>
      </c>
      <c r="J244" s="11">
        <f>J233</f>
        <v>0.22199786197885737</v>
      </c>
      <c r="K244" t="n">
        <v>0</v>
      </c>
      <c r="L244" s="3" t="n"/>
    </row>
    <row r="245">
      <c r="A245" t="inlineStr">
        <is>
          <t>municipal waste incineration facility construction</t>
        </is>
      </c>
      <c r="B245">
        <f>unallocated!B99/I245*J245</f>
        <v>8.908421427723008E-11</v>
      </c>
      <c r="C245" t="inlineStr">
        <is>
          <t>CH</t>
        </is>
      </c>
      <c r="D245" t="inlineStr">
        <is>
          <t>unit</t>
        </is>
      </c>
      <c r="F245" t="inlineStr">
        <is>
          <t>technosphere</t>
        </is>
      </c>
      <c r="G245" t="inlineStr">
        <is>
          <t>municipal waste incineration facility</t>
        </is>
      </c>
      <c r="H245" t="inlineStr">
        <is>
          <t>Lifetime: 4'000'000 tons MSWI treated.</t>
        </is>
      </c>
      <c r="I245" t="n">
        <v>623</v>
      </c>
      <c r="J245" s="11">
        <f>J233</f>
        <v>0.22199786197885737</v>
      </c>
      <c r="K245" t="n">
        <v>2</v>
      </c>
      <c r="L245" s="3">
        <f>LN(B245)</f>
        <v>-23.141438965753718</v>
      </c>
      <c r="M245" t="n">
        <v>1</v>
      </c>
      <c r="N245" t="n">
        <v>1</v>
      </c>
      <c r="O245" t="n">
        <v>1</v>
      </c>
      <c r="P245" t="n">
        <v>1.02</v>
      </c>
      <c r="Q245" t="n">
        <v>1.2</v>
      </c>
      <c r="R245" t="n">
        <v>1</v>
      </c>
      <c r="S245" t="n">
        <v>3</v>
      </c>
      <c r="T245">
        <f>LN(SQRT(EXP(
SQRT(
+POWER(LN(M245),2)
+POWER(LN(N245),2)
+POWER(LN(O245),2)
+POWER(LN(P245),2)
+POWER(LN(Q245),2)
+POWER(LN(R245),2)
+POWER(LN(S245),2)
)
)))</f>
        <v>0.5569071410325479</v>
      </c>
    </row>
    <row r="246">
      <c r="A246" t="inlineStr">
        <is>
          <t>Water, cooling, unspecified natural origin</t>
        </is>
      </c>
      <c r="B246">
        <f>unallocated!B100/I246*J246</f>
        <v>0</v>
      </c>
      <c r="D246" t="inlineStr">
        <is>
          <t>cubic meter</t>
        </is>
      </c>
      <c r="E246" t="inlineStr">
        <is>
          <t>natural resource::in water</t>
        </is>
      </c>
      <c r="F246" t="inlineStr">
        <is>
          <t>biosphere</t>
        </is>
      </c>
      <c r="I246" t="n">
        <v>623</v>
      </c>
      <c r="J246" s="11">
        <f>J233</f>
        <v>0.22199786197885737</v>
      </c>
      <c r="K246" t="n">
        <v>0</v>
      </c>
      <c r="L246" s="3" t="n"/>
    </row>
    <row r="247">
      <c r="A247" t="inlineStr">
        <is>
          <t>Sulfur dioxide</t>
        </is>
      </c>
      <c r="B247">
        <f>unallocated!B101/I247*J247</f>
        <v>2.1380211426535223E-6</v>
      </c>
      <c r="D247" t="inlineStr">
        <is>
          <t>kilogram</t>
        </is>
      </c>
      <c r="E247" t="inlineStr">
        <is>
          <t>air::urban air close to ground</t>
        </is>
      </c>
      <c r="F247" t="inlineStr">
        <is>
          <t>biosphere</t>
        </is>
      </c>
      <c r="I247" t="n">
        <v>623</v>
      </c>
      <c r="J247" s="11">
        <f>J233</f>
        <v>0.22199786197885737</v>
      </c>
      <c r="K247" t="n">
        <v>2</v>
      </c>
      <c r="L247" s="3">
        <f>LN(B247)</f>
        <v>-13.055629856423636</v>
      </c>
      <c r="M247" t="n">
        <v>1</v>
      </c>
      <c r="N247" t="n">
        <v>1</v>
      </c>
      <c r="O247" t="n">
        <v>1</v>
      </c>
      <c r="P247" t="n">
        <v>1.02</v>
      </c>
      <c r="Q247" t="n">
        <v>1.2</v>
      </c>
      <c r="R247" t="n">
        <v>1</v>
      </c>
      <c r="S247" t="n">
        <v>1.05</v>
      </c>
      <c r="T247">
        <f>LN(SQRT(EXP(
SQRT(
+POWER(LN(M247),2)
+POWER(LN(N247),2)
+POWER(LN(O247),2)
+POWER(LN(P247),2)
+POWER(LN(Q247),2)
+POWER(LN(R247),2)
+POWER(LN(S247),2)
)
)))</f>
        <v>9.4886477223156879E-2</v>
      </c>
    </row>
    <row r="248">
      <c r="A248" t="inlineStr">
        <is>
          <t>Hydrochloric acid</t>
        </is>
      </c>
      <c r="B248">
        <f>unallocated!B102/I248*J248</f>
        <v>1.0690105713267611E-6</v>
      </c>
      <c r="D248" t="inlineStr">
        <is>
          <t>kilogram</t>
        </is>
      </c>
      <c r="E248" t="inlineStr">
        <is>
          <t>air</t>
        </is>
      </c>
      <c r="F248" t="inlineStr">
        <is>
          <t>biosphere</t>
        </is>
      </c>
      <c r="I248" t="n">
        <v>623</v>
      </c>
      <c r="J248" s="11">
        <f>J233</f>
        <v>0.22199786197885737</v>
      </c>
      <c r="K248" t="n">
        <v>2</v>
      </c>
      <c r="L248" s="3">
        <f>LN(B248)</f>
        <v>-13.748777036983581</v>
      </c>
      <c r="M248" t="n">
        <v>1</v>
      </c>
      <c r="N248" t="n">
        <v>1</v>
      </c>
      <c r="O248" t="n">
        <v>1</v>
      </c>
      <c r="P248" t="n">
        <v>1.02</v>
      </c>
      <c r="Q248" t="n">
        <v>1.2</v>
      </c>
      <c r="R248" t="n">
        <v>1</v>
      </c>
      <c r="S248" t="n">
        <v>1.5</v>
      </c>
      <c r="T248">
        <f>LN(SQRT(EXP(
SQRT(
+POWER(LN(M248),2)
+POWER(LN(N248),2)
+POWER(LN(O248),2)
+POWER(LN(P248),2)
+POWER(LN(Q248),2)
+POWER(LN(R248),2)
+POWER(LN(S248),2)
)
)))</f>
        <v>0.22250575723605889</v>
      </c>
    </row>
    <row r="249">
      <c r="A249" t="inlineStr">
        <is>
          <t>Nitrogen oxides</t>
        </is>
      </c>
      <c r="B249">
        <f>unallocated!B103/I249*J249</f>
        <v>2.412400522627391E-4</v>
      </c>
      <c r="D249" t="inlineStr">
        <is>
          <t>kilogram</t>
        </is>
      </c>
      <c r="E249" t="inlineStr">
        <is>
          <t>air::urban air close to ground</t>
        </is>
      </c>
      <c r="F249" t="inlineStr">
        <is>
          <t>biosphere</t>
        </is>
      </c>
      <c r="I249" t="n">
        <v>623</v>
      </c>
      <c r="J249" s="11">
        <f>J233</f>
        <v>0.22199786197885737</v>
      </c>
      <c r="K249" t="n">
        <v>2</v>
      </c>
      <c r="L249" s="3">
        <f>LN(B249)</f>
        <v>-8.3297180527394161</v>
      </c>
      <c r="M249" t="n">
        <v>1</v>
      </c>
      <c r="N249" t="n">
        <v>1</v>
      </c>
      <c r="O249" t="n">
        <v>1</v>
      </c>
      <c r="P249" t="n">
        <v>1.02</v>
      </c>
      <c r="Q249" t="n">
        <v>1.2</v>
      </c>
      <c r="R249" t="n">
        <v>1</v>
      </c>
      <c r="S249" t="n">
        <v>1.5</v>
      </c>
      <c r="T249">
        <f>LN(SQRT(EXP(
SQRT(
+POWER(LN(M249),2)
+POWER(LN(N249),2)
+POWER(LN(O249),2)
+POWER(LN(P249),2)
+POWER(LN(Q249),2)
+POWER(LN(R249),2)
+POWER(LN(S249),2)
)
)))</f>
        <v>0.22250575723605889</v>
      </c>
    </row>
    <row r="250">
      <c r="A250" t="inlineStr">
        <is>
          <t>Ammonia</t>
        </is>
      </c>
      <c r="B250">
        <f>unallocated!B104/I250*J250</f>
        <v>3.5633685710892034E-7</v>
      </c>
      <c r="D250" t="inlineStr">
        <is>
          <t>kilogram</t>
        </is>
      </c>
      <c r="E250" t="inlineStr">
        <is>
          <t>air::urban air close to ground</t>
        </is>
      </c>
      <c r="F250" t="inlineStr">
        <is>
          <t>biosphere</t>
        </is>
      </c>
      <c r="I250" t="n">
        <v>623</v>
      </c>
      <c r="J250" s="11">
        <f>J233</f>
        <v>0.22199786197885737</v>
      </c>
      <c r="K250" t="n">
        <v>2</v>
      </c>
      <c r="L250" s="3">
        <f>LN(B250)</f>
        <v>-14.847389325651692</v>
      </c>
      <c r="M250" t="n">
        <v>1</v>
      </c>
      <c r="N250" t="n">
        <v>1</v>
      </c>
      <c r="O250" t="n">
        <v>1</v>
      </c>
      <c r="P250" t="n">
        <v>1.02</v>
      </c>
      <c r="Q250" t="n">
        <v>1.2</v>
      </c>
      <c r="R250" t="n">
        <v>1</v>
      </c>
      <c r="S250" t="n">
        <v>1.5</v>
      </c>
      <c r="T250">
        <f>LN(SQRT(EXP(
SQRT(
+POWER(LN(M250),2)
+POWER(LN(N250),2)
+POWER(LN(O250),2)
+POWER(LN(P250),2)
+POWER(LN(Q250),2)
+POWER(LN(R250),2)
+POWER(LN(S250),2)
)
)))</f>
        <v>0.22250575723605889</v>
      </c>
    </row>
    <row r="251">
      <c r="A251" t="inlineStr">
        <is>
          <t>Particulate Matter, &lt; 2.5 um</t>
        </is>
      </c>
      <c r="B251">
        <f>unallocated!B105/I251*J251</f>
        <v>2.1380211426535223E-6</v>
      </c>
      <c r="D251" t="inlineStr">
        <is>
          <t>kilogram</t>
        </is>
      </c>
      <c r="E251" t="inlineStr">
        <is>
          <t>air::urban air close to ground</t>
        </is>
      </c>
      <c r="F251" t="inlineStr">
        <is>
          <t>biosphere</t>
        </is>
      </c>
      <c r="I251" t="n">
        <v>623</v>
      </c>
      <c r="J251" s="11">
        <f>J233</f>
        <v>0.22199786197885737</v>
      </c>
      <c r="K251" t="n">
        <v>2</v>
      </c>
      <c r="L251" s="3">
        <f>LN(B251)</f>
        <v>-13.055629856423636</v>
      </c>
      <c r="M251" t="n">
        <v>1</v>
      </c>
      <c r="N251" t="n">
        <v>1</v>
      </c>
      <c r="O251" t="n">
        <v>1</v>
      </c>
      <c r="P251" t="n">
        <v>1.02</v>
      </c>
      <c r="Q251" t="n">
        <v>1.2</v>
      </c>
      <c r="R251" t="n">
        <v>1</v>
      </c>
      <c r="S251" t="n">
        <v>3</v>
      </c>
      <c r="T251">
        <f>LN(SQRT(EXP(
SQRT(
+POWER(LN(M251),2)
+POWER(LN(N251),2)
+POWER(LN(O251),2)
+POWER(LN(P251),2)
+POWER(LN(Q251),2)
+POWER(LN(R251),2)
+POWER(LN(S251),2)
)
)))</f>
        <v>0.5569071410325479</v>
      </c>
    </row>
    <row r="252">
      <c r="A252" t="inlineStr">
        <is>
          <t>Mercury II</t>
        </is>
      </c>
      <c r="B252">
        <f>unallocated!B106/I252*J252</f>
        <v>2.1380211426535219E-9</v>
      </c>
      <c r="D252" t="inlineStr">
        <is>
          <t>kilogram</t>
        </is>
      </c>
      <c r="E252" t="inlineStr">
        <is>
          <t>air::urban air close to ground</t>
        </is>
      </c>
      <c r="F252" t="inlineStr">
        <is>
          <t>biosphere</t>
        </is>
      </c>
      <c r="I252" t="n">
        <v>623</v>
      </c>
      <c r="J252" s="11">
        <f>J233</f>
        <v>0.22199786197885737</v>
      </c>
      <c r="K252" t="n">
        <v>2</v>
      </c>
      <c r="L252" s="3">
        <f>LN(B252)</f>
        <v>-19.963385135405773</v>
      </c>
      <c r="M252" t="n">
        <v>1</v>
      </c>
      <c r="N252" t="n">
        <v>1</v>
      </c>
      <c r="O252" t="n">
        <v>1</v>
      </c>
      <c r="P252" t="n">
        <v>1.02</v>
      </c>
      <c r="Q252" t="n">
        <v>1.2</v>
      </c>
      <c r="R252" t="n">
        <v>1</v>
      </c>
      <c r="S252" t="n">
        <v>5</v>
      </c>
      <c r="T252">
        <f>LN(SQRT(EXP(
SQRT(
+POWER(LN(M252),2)
+POWER(LN(N252),2)
+POWER(LN(O252),2)
+POWER(LN(P252),2)
+POWER(LN(Q252),2)
+POWER(LN(R252),2)
+POWER(LN(S252),2)
)
)))</f>
        <v>0.80992649174166365</v>
      </c>
    </row>
    <row r="253">
      <c r="A253" t="inlineStr">
        <is>
          <t>Lead II</t>
        </is>
      </c>
      <c r="B253">
        <f>unallocated!B107/I253*J253</f>
        <v>2.1380211426535219E-9</v>
      </c>
      <c r="D253" t="inlineStr">
        <is>
          <t>kilogram</t>
        </is>
      </c>
      <c r="E253" t="inlineStr">
        <is>
          <t>air::urban air close to ground</t>
        </is>
      </c>
      <c r="F253" t="inlineStr">
        <is>
          <t>biosphere</t>
        </is>
      </c>
      <c r="I253" t="n">
        <v>623</v>
      </c>
      <c r="J253" s="11">
        <f>J233</f>
        <v>0.22199786197885737</v>
      </c>
      <c r="K253" t="n">
        <v>2</v>
      </c>
      <c r="L253" s="3">
        <f>LN(B253)</f>
        <v>-19.963385135405773</v>
      </c>
      <c r="M253" t="n">
        <v>1</v>
      </c>
      <c r="N253" t="n">
        <v>1</v>
      </c>
      <c r="O253" t="n">
        <v>1</v>
      </c>
      <c r="P253" t="n">
        <v>1.02</v>
      </c>
      <c r="Q253" t="n">
        <v>1.2</v>
      </c>
      <c r="R253" t="n">
        <v>1</v>
      </c>
      <c r="S253" t="n">
        <v>5</v>
      </c>
      <c r="T253">
        <f>LN(SQRT(EXP(
SQRT(
+POWER(LN(M253),2)
+POWER(LN(N253),2)
+POWER(LN(O253),2)
+POWER(LN(P253),2)
+POWER(LN(Q253),2)
+POWER(LN(R253),2)
+POWER(LN(S253),2)
)
)))</f>
        <v>0.80992649174166365</v>
      </c>
    </row>
    <row r="254">
      <c r="A254" t="inlineStr">
        <is>
          <t>Cadmium II</t>
        </is>
      </c>
      <c r="B254">
        <f>unallocated!B108/I254*J254</f>
        <v>1.069010571326761E-9</v>
      </c>
      <c r="D254" t="inlineStr">
        <is>
          <t>kilogram</t>
        </is>
      </c>
      <c r="E254" t="inlineStr">
        <is>
          <t>air::urban air close to ground</t>
        </is>
      </c>
      <c r="F254" t="inlineStr">
        <is>
          <t>biosphere</t>
        </is>
      </c>
      <c r="I254" t="n">
        <v>623</v>
      </c>
      <c r="J254" s="11">
        <f>J233</f>
        <v>0.22199786197885737</v>
      </c>
      <c r="K254" t="n">
        <v>2</v>
      </c>
      <c r="L254" s="3">
        <f>LN(B254)</f>
        <v>-20.65653231596572</v>
      </c>
      <c r="M254" t="n">
        <v>1</v>
      </c>
      <c r="N254" t="n">
        <v>1</v>
      </c>
      <c r="O254" t="n">
        <v>1</v>
      </c>
      <c r="P254" t="n">
        <v>1.02</v>
      </c>
      <c r="Q254" t="n">
        <v>1.2</v>
      </c>
      <c r="R254" t="n">
        <v>1</v>
      </c>
      <c r="S254" t="n">
        <v>5</v>
      </c>
      <c r="T254">
        <f>LN(SQRT(EXP(
SQRT(
+POWER(LN(M254),2)
+POWER(LN(N254),2)
+POWER(LN(O254),2)
+POWER(LN(P254),2)
+POWER(LN(Q254),2)
+POWER(LN(R254),2)
+POWER(LN(S254),2)
)
)))</f>
        <v>0.80992649174166365</v>
      </c>
    </row>
    <row r="255">
      <c r="A255" t="inlineStr">
        <is>
          <t>Arsenic ion</t>
        </is>
      </c>
      <c r="B255">
        <f>unallocated!B109/I255*J255</f>
        <v>1.069010571326761E-9</v>
      </c>
      <c r="D255" t="inlineStr">
        <is>
          <t>kilogram</t>
        </is>
      </c>
      <c r="E255" t="inlineStr">
        <is>
          <t>air::urban air close to ground</t>
        </is>
      </c>
      <c r="F255" t="inlineStr">
        <is>
          <t>biosphere</t>
        </is>
      </c>
      <c r="I255" t="n">
        <v>623</v>
      </c>
      <c r="J255" s="11">
        <f>J233</f>
        <v>0.22199786197885737</v>
      </c>
      <c r="K255" t="n">
        <v>2</v>
      </c>
      <c r="L255" s="3">
        <f>LN(B255)</f>
        <v>-20.65653231596572</v>
      </c>
      <c r="M255" t="n">
        <v>1</v>
      </c>
      <c r="N255" t="n">
        <v>1</v>
      </c>
      <c r="O255" t="n">
        <v>1</v>
      </c>
      <c r="P255" t="n">
        <v>1.02</v>
      </c>
      <c r="Q255" t="n">
        <v>1.2</v>
      </c>
      <c r="R255" t="n">
        <v>1</v>
      </c>
      <c r="S255" t="n">
        <v>5</v>
      </c>
      <c r="T255">
        <f>LN(SQRT(EXP(
SQRT(
+POWER(LN(M255),2)
+POWER(LN(N255),2)
+POWER(LN(O255),2)
+POWER(LN(P255),2)
+POWER(LN(Q255),2)
+POWER(LN(R255),2)
+POWER(LN(S255),2)
)
)))</f>
        <v>0.80992649174166365</v>
      </c>
    </row>
    <row r="256">
      <c r="A256" t="inlineStr">
        <is>
          <t>Dioxins, measured as 2,3,7,8-tetrachlorodibenzo-p-dioxin</t>
        </is>
      </c>
      <c r="B256">
        <f>unallocated!B110/I256*J256</f>
        <v>3.919705428198124E-14</v>
      </c>
      <c r="D256" t="inlineStr">
        <is>
          <t>kilogram</t>
        </is>
      </c>
      <c r="E256" t="inlineStr">
        <is>
          <t>air::urban air close to ground</t>
        </is>
      </c>
      <c r="F256" t="inlineStr">
        <is>
          <t>biosphere</t>
        </is>
      </c>
      <c r="I256" t="n">
        <v>623</v>
      </c>
      <c r="J256" s="11">
        <f>J233</f>
        <v>0.22199786197885737</v>
      </c>
      <c r="K256" t="n">
        <v>2</v>
      </c>
      <c r="L256" s="3">
        <f>LN(B256)</f>
        <v>-30.870174796805685</v>
      </c>
      <c r="M256" t="n">
        <v>1</v>
      </c>
      <c r="N256" t="n">
        <v>1</v>
      </c>
      <c r="O256" t="n">
        <v>1</v>
      </c>
      <c r="P256" t="n">
        <v>1.02</v>
      </c>
      <c r="Q256" t="n">
        <v>1.2</v>
      </c>
      <c r="R256" t="n">
        <v>1</v>
      </c>
      <c r="S256" t="n">
        <v>5</v>
      </c>
      <c r="T256">
        <f>LN(SQRT(EXP(
SQRT(
+POWER(LN(M256),2)
+POWER(LN(N256),2)
+POWER(LN(O256),2)
+POWER(LN(P256),2)
+POWER(LN(Q256),2)
+POWER(LN(R256),2)
+POWER(LN(S256),2)
)
)))</f>
        <v>0.80992649174166365</v>
      </c>
    </row>
    <row r="257">
      <c r="A257" t="inlineStr">
        <is>
          <t>Carbon dioxide, fossil</t>
        </is>
      </c>
      <c r="B257">
        <f>unallocated!B111/I257*J257</f>
        <v>0.1332699845587362</v>
      </c>
      <c r="D257" t="inlineStr">
        <is>
          <t>kilogram</t>
        </is>
      </c>
      <c r="E257" t="inlineStr">
        <is>
          <t>air::urban air close to ground</t>
        </is>
      </c>
      <c r="F257" t="inlineStr">
        <is>
          <t>biosphere</t>
        </is>
      </c>
      <c r="I257" t="n">
        <v>623</v>
      </c>
      <c r="J257" s="11">
        <f>J233</f>
        <v>0.22199786197885737</v>
      </c>
      <c r="K257" t="n">
        <v>2</v>
      </c>
      <c r="L257" s="3">
        <f>LN(B257)</f>
        <v>-2.0153782492550221</v>
      </c>
      <c r="M257" t="n">
        <v>1</v>
      </c>
      <c r="N257" t="n">
        <v>1</v>
      </c>
      <c r="O257" t="n">
        <v>1</v>
      </c>
      <c r="P257" t="n">
        <v>1.02</v>
      </c>
      <c r="Q257" t="n">
        <v>1.2</v>
      </c>
      <c r="R257" t="n">
        <v>1</v>
      </c>
      <c r="S257" t="n">
        <v>1.05</v>
      </c>
      <c r="T257">
        <f>LN(SQRT(EXP(
SQRT(
+POWER(LN(M257),2)
+POWER(LN(N257),2)
+POWER(LN(O257),2)
+POWER(LN(P257),2)
+POWER(LN(Q257),2)
+POWER(LN(R257),2)
+POWER(LN(S257),2)
)
)))</f>
        <v>9.4886477223156879E-2</v>
      </c>
    </row>
    <row r="258">
      <c r="A258" t="inlineStr">
        <is>
          <t>Carbon dioxide, non-fossil</t>
        </is>
      </c>
      <c r="B258">
        <f>unallocated!B112/I258*J258</f>
        <v>0.21166409312269868</v>
      </c>
      <c r="D258" t="inlineStr">
        <is>
          <t>kilogram</t>
        </is>
      </c>
      <c r="E258" t="inlineStr">
        <is>
          <t>air::urban air close to ground</t>
        </is>
      </c>
      <c r="F258" t="inlineStr">
        <is>
          <t>biosphere</t>
        </is>
      </c>
      <c r="I258" t="n">
        <v>623</v>
      </c>
      <c r="J258" s="11">
        <f>J233</f>
        <v>0.22199786197885737</v>
      </c>
      <c r="K258" t="n">
        <v>2</v>
      </c>
      <c r="L258" s="3">
        <f>LN(B258)</f>
        <v>-1.5527547273069093</v>
      </c>
      <c r="M258" t="n">
        <v>1</v>
      </c>
      <c r="N258" t="n">
        <v>1</v>
      </c>
      <c r="O258" t="n">
        <v>1</v>
      </c>
      <c r="P258" t="n">
        <v>1.02</v>
      </c>
      <c r="Q258" t="n">
        <v>1.2</v>
      </c>
      <c r="R258" t="n">
        <v>1</v>
      </c>
      <c r="S258" t="n">
        <v>1.05</v>
      </c>
      <c r="T258">
        <f>LN(SQRT(EXP(
SQRT(
+POWER(LN(M258),2)
+POWER(LN(N258),2)
+POWER(LN(O258),2)
+POWER(LN(P258),2)
+POWER(LN(Q258),2)
+POWER(LN(R258),2)
+POWER(LN(S258),2)
)
)))</f>
        <v>9.4886477223156879E-2</v>
      </c>
    </row>
    <row r="259"/>
    <row r="260">
      <c r="A260" s="1" t="inlineStr">
        <is>
          <t>Activity</t>
        </is>
      </c>
      <c r="B260" s="1" t="inlineStr">
        <is>
          <t>municipal waste incineration, at incineration plant, with semi-dry air pollution control, with flue gas condensation, with electricity and heat recovery, energy allocation</t>
        </is>
      </c>
    </row>
    <row r="261">
      <c r="A261" t="inlineStr">
        <is>
          <t>location</t>
        </is>
      </c>
      <c r="B261" t="inlineStr">
        <is>
          <t>RER</t>
        </is>
      </c>
    </row>
    <row r="262">
      <c r="A262" t="inlineStr">
        <is>
          <t>production amount</t>
        </is>
      </c>
      <c r="B262" t="n">
        <v>1</v>
      </c>
    </row>
    <row r="263">
      <c r="A263" s="2" t="inlineStr">
        <is>
          <t>source</t>
        </is>
      </c>
      <c r="B263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264">
      <c r="A264" t="inlineStr">
        <is>
          <t>reference product</t>
        </is>
      </c>
      <c r="B264" t="inlineStr">
        <is>
          <t>heat, district or industrial, other than natural gas</t>
        </is>
      </c>
    </row>
    <row r="265">
      <c r="A265" t="inlineStr">
        <is>
          <t>type</t>
        </is>
      </c>
      <c r="B265" t="inlineStr">
        <is>
          <t>process</t>
        </is>
      </c>
    </row>
    <row r="266">
      <c r="A266" t="inlineStr">
        <is>
          <t>unit</t>
        </is>
      </c>
      <c r="B266" t="inlineStr">
        <is>
          <t>megajoule</t>
        </is>
      </c>
    </row>
    <row r="267">
      <c r="A267" t="inlineStr">
        <is>
          <t>comment</t>
        </is>
      </c>
      <c r="B267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623 kWh. Heat production per ton MSWI incinerated: 7'860 MJ.</t>
        </is>
      </c>
    </row>
    <row r="268">
      <c r="A268" s="1" t="inlineStr">
        <is>
          <t>Exchanges</t>
        </is>
      </c>
    </row>
    <row r="269">
      <c r="A269" s="7" t="inlineStr">
        <is>
          <t>name</t>
        </is>
      </c>
      <c r="B269" s="7" t="inlineStr">
        <is>
          <t>amount</t>
        </is>
      </c>
      <c r="C269" s="7" t="inlineStr">
        <is>
          <t>location</t>
        </is>
      </c>
      <c r="D269" s="7" t="inlineStr">
        <is>
          <t>unit</t>
        </is>
      </c>
      <c r="E269" s="7" t="inlineStr">
        <is>
          <t>categories</t>
        </is>
      </c>
      <c r="F269" s="7" t="inlineStr">
        <is>
          <t>type</t>
        </is>
      </c>
      <c r="G269" s="7" t="inlineStr">
        <is>
          <t>reference product</t>
        </is>
      </c>
      <c r="H269" s="7" t="inlineStr">
        <is>
          <t>comment</t>
        </is>
      </c>
      <c r="I269" s="7" t="inlineStr">
        <is>
          <t>normalization</t>
        </is>
      </c>
      <c r="J269" s="7" t="inlineStr">
        <is>
          <t>allocation</t>
        </is>
      </c>
      <c r="K269" s="7" t="inlineStr">
        <is>
          <t>uncertainty type</t>
        </is>
      </c>
      <c r="L269" s="7" t="inlineStr">
        <is>
          <t>loc</t>
        </is>
      </c>
      <c r="M269" s="1" t="inlineStr">
        <is>
          <t>u1</t>
        </is>
      </c>
      <c r="N269" s="1" t="inlineStr">
        <is>
          <t>u2</t>
        </is>
      </c>
      <c r="O269" s="1" t="inlineStr">
        <is>
          <t>u3</t>
        </is>
      </c>
      <c r="P269" s="1" t="inlineStr">
        <is>
          <t>u4</t>
        </is>
      </c>
      <c r="Q269" s="1" t="inlineStr">
        <is>
          <t>u5</t>
        </is>
      </c>
      <c r="R269" s="1" t="inlineStr">
        <is>
          <t>u6</t>
        </is>
      </c>
      <c r="S269" s="1" t="inlineStr">
        <is>
          <t>ub</t>
        </is>
      </c>
      <c r="T269" s="1" t="inlineStr">
        <is>
          <t>scale</t>
        </is>
      </c>
      <c r="U269" s="1" t="inlineStr">
        <is>
          <t>negative</t>
        </is>
      </c>
    </row>
    <row r="270">
      <c r="A270" t="inlineStr">
        <is>
          <t>municipal waste incineration, at incineration plant, with semi-dry air pollution control, with flue gas condensation, with electricity and heat recovery, energy allocation</t>
        </is>
      </c>
      <c r="B270" t="n">
        <v>0</v>
      </c>
      <c r="C270" t="inlineStr">
        <is>
          <t>RER</t>
        </is>
      </c>
      <c r="D270" t="inlineStr">
        <is>
          <t>kilogram</t>
        </is>
      </c>
      <c r="F270" t="inlineStr">
        <is>
          <t>technosphere</t>
        </is>
      </c>
      <c r="G270" t="inlineStr">
        <is>
          <t>municipal solid waste</t>
        </is>
      </c>
      <c r="H270" t="inlineStr"/>
      <c r="I270" t="n">
        <v>7860</v>
      </c>
      <c r="J270" s="14">
        <f>INDEX('allocation keys'!$F$4:$H$28,MATCH('allocated (energy)'!$B$260,'allocation keys'!$B$4:$B$28,0),MATCH('allocated (energy)'!$B$264,'allocation keys'!$F$3:$H$3,0))</f>
        <v>0.77800213802114271</v>
      </c>
      <c r="K270" t="n">
        <v>0</v>
      </c>
      <c r="M270" s="5" t="n"/>
      <c r="N270" s="5" t="n"/>
      <c r="O270" s="5" t="n"/>
      <c r="P270" s="5" t="n"/>
      <c r="Q270" s="5" t="n"/>
      <c r="R270" s="5" t="n"/>
    </row>
    <row r="271">
      <c r="A271" t="inlineStr">
        <is>
          <t>municipal waste incineration, at incineration plant, with semi-dry air pollution control, with flue gas condensation, with electricity and heat recovery, energy allocation</t>
        </is>
      </c>
      <c r="B271" s="6" t="n">
        <v>0</v>
      </c>
      <c r="C271" t="inlineStr">
        <is>
          <t>RER</t>
        </is>
      </c>
      <c r="D271" t="inlineStr">
        <is>
          <t>kilowatt hour</t>
        </is>
      </c>
      <c r="F271" t="inlineStr">
        <is>
          <t>technosphere</t>
        </is>
      </c>
      <c r="G271" t="inlineStr">
        <is>
          <t>electricity, medium voltage</t>
        </is>
      </c>
      <c r="H271" t="inlineStr"/>
      <c r="I271" t="n">
        <v>7860</v>
      </c>
      <c r="J271" s="11">
        <f>J270</f>
        <v>0.77800213802114271</v>
      </c>
      <c r="K271" t="n">
        <v>0</v>
      </c>
      <c r="L271" s="3" t="n"/>
    </row>
    <row r="272">
      <c r="A272" t="inlineStr">
        <is>
          <t>municipal waste incineration, at incineration plant, with semi-dry air pollution control, with flue gas condensation, with electricity and heat recovery, energy allocation</t>
        </is>
      </c>
      <c r="B272" t="n">
        <v>1</v>
      </c>
      <c r="C272" t="inlineStr">
        <is>
          <t>RER</t>
        </is>
      </c>
      <c r="D272" t="inlineStr">
        <is>
          <t>megajoule</t>
        </is>
      </c>
      <c r="F272" t="inlineStr">
        <is>
          <t>production</t>
        </is>
      </c>
      <c r="G272" t="inlineStr">
        <is>
          <t>heat, district or industrial, other than natural gas</t>
        </is>
      </c>
      <c r="H272" t="inlineStr"/>
      <c r="I272" t="n">
        <v>7860</v>
      </c>
      <c r="J272" s="11">
        <f>J270</f>
        <v>0.77800213802114271</v>
      </c>
      <c r="K272" t="n">
        <v>0</v>
      </c>
      <c r="L272" s="3" t="n"/>
    </row>
    <row r="273">
      <c r="A273" t="inlineStr">
        <is>
          <t>market for diesel, low-sulfur</t>
        </is>
      </c>
      <c r="B273">
        <f>unallocated!B90/I273*J273</f>
        <v>8.4135091261828417E-6</v>
      </c>
      <c r="C273" t="inlineStr">
        <is>
          <t>Europe without Switzerland</t>
        </is>
      </c>
      <c r="D273" t="inlineStr">
        <is>
          <t>kilogram</t>
        </is>
      </c>
      <c r="F273" t="inlineStr">
        <is>
          <t>technosphere</t>
        </is>
      </c>
      <c r="G273" t="inlineStr">
        <is>
          <t>diesel, low-sulfur</t>
        </is>
      </c>
      <c r="H273" t="inlineStr">
        <is>
          <t>Diesel density: 0.85 kg/l</t>
        </is>
      </c>
      <c r="I273" t="n">
        <v>7860</v>
      </c>
      <c r="J273" s="11">
        <f>J270</f>
        <v>0.77800213802114271</v>
      </c>
      <c r="K273" t="n">
        <v>2</v>
      </c>
      <c r="L273" s="3">
        <f>LN(B273)</f>
        <v>-11.685671914623439</v>
      </c>
      <c r="M273" t="n">
        <v>1</v>
      </c>
      <c r="N273" t="n">
        <v>1</v>
      </c>
      <c r="O273" t="n">
        <v>1</v>
      </c>
      <c r="P273" t="n">
        <v>1.02</v>
      </c>
      <c r="Q273" t="n">
        <v>1.2</v>
      </c>
      <c r="R273" t="n">
        <v>1</v>
      </c>
      <c r="S273" t="n">
        <v>1.05</v>
      </c>
      <c r="T273">
        <f>LN(SQRT(EXP(
SQRT(
+POWER(LN(M273),2)
+POWER(LN(N273),2)
+POWER(LN(O273),2)
+POWER(LN(P273),2)
+POWER(LN(Q273),2)
+POWER(LN(R273),2)
+POWER(LN(S273),2)
)
)))</f>
        <v>9.4886477223156879E-2</v>
      </c>
    </row>
    <row r="274">
      <c r="A274" t="inlineStr">
        <is>
          <t>market for activated carbon, granular</t>
        </is>
      </c>
      <c r="B274">
        <f>unallocated!B91/I274*J274</f>
        <v>3.9592984123213371E-5</v>
      </c>
      <c r="C274" t="inlineStr">
        <is>
          <t>GLO</t>
        </is>
      </c>
      <c r="D274" t="inlineStr">
        <is>
          <t>kilogram</t>
        </is>
      </c>
      <c r="F274" t="inlineStr">
        <is>
          <t>technosphere</t>
        </is>
      </c>
      <c r="G274" t="inlineStr">
        <is>
          <t>activated carbon, granular</t>
        </is>
      </c>
      <c r="I274" t="n">
        <v>7860</v>
      </c>
      <c r="J274" s="11">
        <f>J270</f>
        <v>0.77800213802114271</v>
      </c>
      <c r="K274" t="n">
        <v>2</v>
      </c>
      <c r="L274" s="3">
        <f>LN(B274)</f>
        <v>-10.136858624005773</v>
      </c>
      <c r="M274" t="n">
        <v>1</v>
      </c>
      <c r="N274" t="n">
        <v>1</v>
      </c>
      <c r="O274" t="n">
        <v>1</v>
      </c>
      <c r="P274" t="n">
        <v>1.02</v>
      </c>
      <c r="Q274" t="n">
        <v>1.2</v>
      </c>
      <c r="R274" t="n">
        <v>1</v>
      </c>
      <c r="S274" t="n">
        <v>1.05</v>
      </c>
      <c r="T274">
        <f>LN(SQRT(EXP(
SQRT(
+POWER(LN(M274),2)
+POWER(LN(N274),2)
+POWER(LN(O274),2)
+POWER(LN(P274),2)
+POWER(LN(Q274),2)
+POWER(LN(R274),2)
+POWER(LN(S274),2)
)
)))</f>
        <v>9.4886477223156879E-2</v>
      </c>
    </row>
    <row r="275">
      <c r="A275" t="inlineStr">
        <is>
          <t>market for ammonia, anhydrous, liquid</t>
        </is>
      </c>
      <c r="B275">
        <f>unallocated!B92/I275*J275</f>
        <v>9.700281110187275E-5</v>
      </c>
      <c r="C275" t="inlineStr">
        <is>
          <t>RER</t>
        </is>
      </c>
      <c r="D275" t="inlineStr">
        <is>
          <t>kilogram</t>
        </is>
      </c>
      <c r="F275" t="inlineStr">
        <is>
          <t>technosphere</t>
        </is>
      </c>
      <c r="G275" t="inlineStr">
        <is>
          <t>ammonia, anhydrous, liquid</t>
        </is>
      </c>
      <c r="H275" t="inlineStr">
        <is>
          <t>100% liquid ammonia. In original publication, it is dilluated to 23.5% in water. We discount the original value by 75%.</t>
        </is>
      </c>
      <c r="I275" t="n">
        <v>7860</v>
      </c>
      <c r="J275" s="11">
        <f>J270</f>
        <v>0.77800213802114271</v>
      </c>
      <c r="K275" t="n">
        <v>2</v>
      </c>
      <c r="L275" s="3">
        <f>LN(B275)</f>
        <v>-9.2407705994491387</v>
      </c>
      <c r="M275" t="n">
        <v>1</v>
      </c>
      <c r="N275" t="n">
        <v>1</v>
      </c>
      <c r="O275" t="n">
        <v>1</v>
      </c>
      <c r="P275" t="n">
        <v>1.02</v>
      </c>
      <c r="Q275" t="n">
        <v>1.2</v>
      </c>
      <c r="R275" t="n">
        <v>1</v>
      </c>
      <c r="S275" t="n">
        <v>1.05</v>
      </c>
      <c r="T275">
        <f>LN(SQRT(EXP(
SQRT(
+POWER(LN(M275),2)
+POWER(LN(N275),2)
+POWER(LN(O275),2)
+POWER(LN(P275),2)
+POWER(LN(Q275),2)
+POWER(LN(R275),2)
+POWER(LN(S275),2)
)
)))</f>
        <v>9.4886477223156879E-2</v>
      </c>
    </row>
    <row r="276">
      <c r="A276" t="inlineStr">
        <is>
          <t>market for tap water</t>
        </is>
      </c>
      <c r="B276">
        <f>unallocated!B93/I276*J276</f>
        <v>2.9892703013026096E-4</v>
      </c>
      <c r="C276" t="inlineStr">
        <is>
          <t>Europe without Switzerland</t>
        </is>
      </c>
      <c r="D276" t="inlineStr">
        <is>
          <t>kilogram</t>
        </is>
      </c>
      <c r="F276" t="inlineStr">
        <is>
          <t>technosphere</t>
        </is>
      </c>
      <c r="G276" t="inlineStr">
        <is>
          <t>tap water</t>
        </is>
      </c>
      <c r="H276" t="inlineStr">
        <is>
          <t>Used to dilute the ammonia.</t>
        </is>
      </c>
      <c r="I276" t="n">
        <v>7860</v>
      </c>
      <c r="J276" s="11">
        <f>J270</f>
        <v>0.77800213802114271</v>
      </c>
      <c r="K276" t="n">
        <v>2</v>
      </c>
      <c r="L276" s="3">
        <f>LN(B276)</f>
        <v>-8.1153110607448404</v>
      </c>
      <c r="M276" t="n">
        <v>1</v>
      </c>
      <c r="N276" t="n">
        <v>1</v>
      </c>
      <c r="O276" t="n">
        <v>1</v>
      </c>
      <c r="P276" t="n">
        <v>1.02</v>
      </c>
      <c r="Q276" t="n">
        <v>1.2</v>
      </c>
      <c r="R276" t="n">
        <v>1</v>
      </c>
      <c r="S276" t="n">
        <v>1.05</v>
      </c>
      <c r="T276">
        <f>LN(SQRT(EXP(
SQRT(
+POWER(LN(M276),2)
+POWER(LN(N276),2)
+POWER(LN(O276),2)
+POWER(LN(P276),2)
+POWER(LN(Q276),2)
+POWER(LN(R276),2)
+POWER(LN(S276),2)
)
)))</f>
        <v>9.4886477223156879E-2</v>
      </c>
    </row>
    <row r="277">
      <c r="A277" t="inlineStr">
        <is>
          <t>market for calcium carbonate, precipitated</t>
        </is>
      </c>
      <c r="B277">
        <f>unallocated!B94/I277*J277</f>
        <v>0</v>
      </c>
      <c r="C277" t="inlineStr">
        <is>
          <t>RER</t>
        </is>
      </c>
      <c r="D277" t="inlineStr">
        <is>
          <t>kilogram</t>
        </is>
      </c>
      <c r="F277" t="inlineStr">
        <is>
          <t>technosphere</t>
        </is>
      </c>
      <c r="G277" t="inlineStr">
        <is>
          <t>calcium carbonate, precipitated</t>
        </is>
      </c>
      <c r="I277" t="n">
        <v>7860</v>
      </c>
      <c r="J277" s="11">
        <f>J270</f>
        <v>0.77800213802114271</v>
      </c>
      <c r="K277" t="n">
        <v>0</v>
      </c>
      <c r="L277" s="3" t="n"/>
    </row>
    <row r="278">
      <c r="A278" t="inlineStr">
        <is>
          <t>market for iron(III) chloride, without water, in 40% solution state</t>
        </is>
      </c>
      <c r="B278">
        <f>unallocated!B95/I278*J278</f>
        <v>0</v>
      </c>
      <c r="C278" t="inlineStr">
        <is>
          <t>GLO</t>
        </is>
      </c>
      <c r="D278" t="inlineStr">
        <is>
          <t>kilogram</t>
        </is>
      </c>
      <c r="F278" t="inlineStr">
        <is>
          <t>technosphere</t>
        </is>
      </c>
      <c r="G278" t="inlineStr">
        <is>
          <t>iron(III) chloride, without water, in 40% solution state</t>
        </is>
      </c>
      <c r="I278" t="n">
        <v>7860</v>
      </c>
      <c r="J278" s="11">
        <f>J270</f>
        <v>0.77800213802114271</v>
      </c>
      <c r="K278" t="n">
        <v>0</v>
      </c>
      <c r="L278" s="3" t="n"/>
    </row>
    <row r="279">
      <c r="A279" t="inlineStr">
        <is>
          <t>market for lime, hydrated, packed</t>
        </is>
      </c>
      <c r="B279">
        <f>unallocated!B96/I279*J279</f>
        <v>9.8982460308033441E-4</v>
      </c>
      <c r="C279" t="inlineStr">
        <is>
          <t>RER</t>
        </is>
      </c>
      <c r="D279" t="inlineStr">
        <is>
          <t>kilogram</t>
        </is>
      </c>
      <c r="F279" t="inlineStr">
        <is>
          <t>technosphere</t>
        </is>
      </c>
      <c r="G279" t="inlineStr">
        <is>
          <t>lime, hydrated, packed</t>
        </is>
      </c>
      <c r="I279" t="n">
        <v>7860</v>
      </c>
      <c r="J279" s="11">
        <f>J270</f>
        <v>0.77800213802114271</v>
      </c>
      <c r="K279" t="n">
        <v>2</v>
      </c>
      <c r="L279" s="3">
        <f>LN(B279)</f>
        <v>-6.9179827991375724</v>
      </c>
      <c r="M279" t="n">
        <v>1</v>
      </c>
      <c r="N279" t="n">
        <v>1</v>
      </c>
      <c r="O279" t="n">
        <v>1</v>
      </c>
      <c r="P279" t="n">
        <v>1.02</v>
      </c>
      <c r="Q279" t="n">
        <v>1.2</v>
      </c>
      <c r="R279" t="n">
        <v>1</v>
      </c>
      <c r="S279" t="n">
        <v>1.05</v>
      </c>
      <c r="T279">
        <f>LN(SQRT(EXP(
SQRT(
+POWER(LN(M279),2)
+POWER(LN(N279),2)
+POWER(LN(O279),2)
+POWER(LN(P279),2)
+POWER(LN(Q279),2)
+POWER(LN(R279),2)
+POWER(LN(S279),2)
)
)))</f>
        <v>9.4886477223156879E-2</v>
      </c>
    </row>
    <row r="280">
      <c r="A280" t="inlineStr">
        <is>
          <t>market for sodium hydroxide, without water, in 50% solution state</t>
        </is>
      </c>
      <c r="B280">
        <f>unallocated!B97/I280*J280</f>
        <v>2.4745615077008356E-5</v>
      </c>
      <c r="C280" t="inlineStr">
        <is>
          <t>RER</t>
        </is>
      </c>
      <c r="D280" t="inlineStr">
        <is>
          <t>kilogram</t>
        </is>
      </c>
      <c r="F280" t="inlineStr">
        <is>
          <t>technosphere</t>
        </is>
      </c>
      <c r="G280" t="inlineStr">
        <is>
          <t>sodium hydroxide, without water, in 50% solution state</t>
        </is>
      </c>
      <c r="H280" t="inlineStr">
        <is>
          <t>50% liquid ammonia. In original publication, it is dilluated to 27% in water. We discount the original value by 50%.</t>
        </is>
      </c>
      <c r="I280" t="n">
        <v>7860</v>
      </c>
      <c r="J280" s="11">
        <f>J270</f>
        <v>0.77800213802114271</v>
      </c>
      <c r="K280" t="n">
        <v>0</v>
      </c>
      <c r="L280" s="3" t="n"/>
    </row>
    <row r="281">
      <c r="A281" t="inlineStr">
        <is>
          <t>market for monoethanolamine</t>
        </is>
      </c>
      <c r="B281">
        <f>unallocated!B98/I281*J281</f>
        <v>0</v>
      </c>
      <c r="C281" t="inlineStr">
        <is>
          <t>GLO</t>
        </is>
      </c>
      <c r="D281" t="inlineStr">
        <is>
          <t>kilogram</t>
        </is>
      </c>
      <c r="F281" t="inlineStr">
        <is>
          <t>technosphere</t>
        </is>
      </c>
      <c r="G281" t="inlineStr">
        <is>
          <t>monoethanolamine</t>
        </is>
      </c>
      <c r="I281" t="n">
        <v>7860</v>
      </c>
      <c r="J281" s="11">
        <f>J270</f>
        <v>0.77800213802114271</v>
      </c>
      <c r="K281" t="n">
        <v>0</v>
      </c>
      <c r="L281" s="3" t="n"/>
    </row>
    <row r="282">
      <c r="A282" t="inlineStr">
        <is>
          <t>municipal waste incineration facility construction</t>
        </is>
      </c>
      <c r="B282">
        <f>unallocated!B99/I282*J282</f>
        <v>2.4745615077008354E-11</v>
      </c>
      <c r="C282" t="inlineStr">
        <is>
          <t>CH</t>
        </is>
      </c>
      <c r="D282" t="inlineStr">
        <is>
          <t>unit</t>
        </is>
      </c>
      <c r="F282" t="inlineStr">
        <is>
          <t>technosphere</t>
        </is>
      </c>
      <c r="G282" t="inlineStr">
        <is>
          <t>municipal waste incineration facility</t>
        </is>
      </c>
      <c r="H282" t="inlineStr">
        <is>
          <t>Lifetime: 4'000'000 tons MSWI treated.</t>
        </is>
      </c>
      <c r="I282" t="n">
        <v>7860</v>
      </c>
      <c r="J282" s="11">
        <f>J270</f>
        <v>0.77800213802114271</v>
      </c>
      <c r="K282" t="n">
        <v>2</v>
      </c>
      <c r="L282" s="3">
        <f>LN(B282)</f>
        <v>-24.422372811215784</v>
      </c>
      <c r="M282" t="n">
        <v>1</v>
      </c>
      <c r="N282" t="n">
        <v>1</v>
      </c>
      <c r="O282" t="n">
        <v>1</v>
      </c>
      <c r="P282" t="n">
        <v>1.02</v>
      </c>
      <c r="Q282" t="n">
        <v>1.2</v>
      </c>
      <c r="R282" t="n">
        <v>1</v>
      </c>
      <c r="S282" t="n">
        <v>3</v>
      </c>
      <c r="T282">
        <f>LN(SQRT(EXP(
SQRT(
+POWER(LN(M282),2)
+POWER(LN(N282),2)
+POWER(LN(O282),2)
+POWER(LN(P282),2)
+POWER(LN(Q282),2)
+POWER(LN(R282),2)
+POWER(LN(S282),2)
)
)))</f>
        <v>0.5569071410325479</v>
      </c>
    </row>
    <row r="283">
      <c r="A283" t="inlineStr">
        <is>
          <t>Water, cooling, unspecified natural origin</t>
        </is>
      </c>
      <c r="B283">
        <f>unallocated!B100/I283*J283</f>
        <v>0</v>
      </c>
      <c r="D283" t="inlineStr">
        <is>
          <t>cubic meter</t>
        </is>
      </c>
      <c r="E283" t="inlineStr">
        <is>
          <t>natural resource::in water</t>
        </is>
      </c>
      <c r="F283" t="inlineStr">
        <is>
          <t>biosphere</t>
        </is>
      </c>
      <c r="I283" t="n">
        <v>7860</v>
      </c>
      <c r="J283" s="11">
        <f>J270</f>
        <v>0.77800213802114271</v>
      </c>
      <c r="K283" t="n">
        <v>0</v>
      </c>
      <c r="L283" s="3" t="n"/>
    </row>
    <row r="284">
      <c r="A284" t="inlineStr">
        <is>
          <t>Sulfur dioxide</t>
        </is>
      </c>
      <c r="B284">
        <f>unallocated!B101/I284*J284</f>
        <v>5.9389476184820057E-7</v>
      </c>
      <c r="D284" t="inlineStr">
        <is>
          <t>kilogram</t>
        </is>
      </c>
      <c r="E284" t="inlineStr">
        <is>
          <t>air::urban air close to ground</t>
        </is>
      </c>
      <c r="F284" t="inlineStr">
        <is>
          <t>biosphere</t>
        </is>
      </c>
      <c r="I284" t="n">
        <v>7860</v>
      </c>
      <c r="J284" s="11">
        <f>J270</f>
        <v>0.77800213802114271</v>
      </c>
      <c r="K284" t="n">
        <v>2</v>
      </c>
      <c r="L284" s="3">
        <f>LN(B284)</f>
        <v>-14.3365637018857</v>
      </c>
      <c r="M284" t="n">
        <v>1</v>
      </c>
      <c r="N284" t="n">
        <v>1</v>
      </c>
      <c r="O284" t="n">
        <v>1</v>
      </c>
      <c r="P284" t="n">
        <v>1.02</v>
      </c>
      <c r="Q284" t="n">
        <v>1.2</v>
      </c>
      <c r="R284" t="n">
        <v>1</v>
      </c>
      <c r="S284" t="n">
        <v>1.05</v>
      </c>
      <c r="T284">
        <f>LN(SQRT(EXP(
SQRT(
+POWER(LN(M284),2)
+POWER(LN(N284),2)
+POWER(LN(O284),2)
+POWER(LN(P284),2)
+POWER(LN(Q284),2)
+POWER(LN(R284),2)
+POWER(LN(S284),2)
)
)))</f>
        <v>9.4886477223156879E-2</v>
      </c>
    </row>
    <row r="285">
      <c r="A285" t="inlineStr">
        <is>
          <t>Hydrochloric acid</t>
        </is>
      </c>
      <c r="B285">
        <f>unallocated!B102/I285*J285</f>
        <v>2.9694738092410029E-7</v>
      </c>
      <c r="D285" t="inlineStr">
        <is>
          <t>kilogram</t>
        </is>
      </c>
      <c r="E285" t="inlineStr">
        <is>
          <t>air</t>
        </is>
      </c>
      <c r="F285" t="inlineStr">
        <is>
          <t>biosphere</t>
        </is>
      </c>
      <c r="I285" t="n">
        <v>7860</v>
      </c>
      <c r="J285" s="11">
        <f>J270</f>
        <v>0.77800213802114271</v>
      </c>
      <c r="K285" t="n">
        <v>2</v>
      </c>
      <c r="L285" s="3">
        <f>LN(B285)</f>
        <v>-15.029710882445645</v>
      </c>
      <c r="M285" t="n">
        <v>1</v>
      </c>
      <c r="N285" t="n">
        <v>1</v>
      </c>
      <c r="O285" t="n">
        <v>1</v>
      </c>
      <c r="P285" t="n">
        <v>1.02</v>
      </c>
      <c r="Q285" t="n">
        <v>1.2</v>
      </c>
      <c r="R285" t="n">
        <v>1</v>
      </c>
      <c r="S285" t="n">
        <v>1.5</v>
      </c>
      <c r="T285">
        <f>LN(SQRT(EXP(
SQRT(
+POWER(LN(M285),2)
+POWER(LN(N285),2)
+POWER(LN(O285),2)
+POWER(LN(P285),2)
+POWER(LN(Q285),2)
+POWER(LN(R285),2)
+POWER(LN(S285),2)
)
)))</f>
        <v>0.22250575723605889</v>
      </c>
    </row>
    <row r="286">
      <c r="A286" t="inlineStr">
        <is>
          <t>Nitrogen oxides</t>
        </is>
      </c>
      <c r="B286">
        <f>unallocated!B103/I286*J286</f>
        <v>6.7011125628538631E-5</v>
      </c>
      <c r="D286" t="inlineStr">
        <is>
          <t>kilogram</t>
        </is>
      </c>
      <c r="E286" t="inlineStr">
        <is>
          <t>air::urban air close to ground</t>
        </is>
      </c>
      <c r="F286" t="inlineStr">
        <is>
          <t>biosphere</t>
        </is>
      </c>
      <c r="I286" t="n">
        <v>7860</v>
      </c>
      <c r="J286" s="11">
        <f>J270</f>
        <v>0.77800213802114271</v>
      </c>
      <c r="K286" t="n">
        <v>2</v>
      </c>
      <c r="L286" s="3">
        <f>LN(B286)</f>
        <v>-9.6106518982014801</v>
      </c>
      <c r="M286" t="n">
        <v>1</v>
      </c>
      <c r="N286" t="n">
        <v>1</v>
      </c>
      <c r="O286" t="n">
        <v>1</v>
      </c>
      <c r="P286" t="n">
        <v>1.02</v>
      </c>
      <c r="Q286" t="n">
        <v>1.2</v>
      </c>
      <c r="R286" t="n">
        <v>1</v>
      </c>
      <c r="S286" t="n">
        <v>1.5</v>
      </c>
      <c r="T286">
        <f>LN(SQRT(EXP(
SQRT(
+POWER(LN(M286),2)
+POWER(LN(N286),2)
+POWER(LN(O286),2)
+POWER(LN(P286),2)
+POWER(LN(Q286),2)
+POWER(LN(R286),2)
+POWER(LN(S286),2)
)
)))</f>
        <v>0.22250575723605889</v>
      </c>
    </row>
    <row r="287">
      <c r="A287" t="inlineStr">
        <is>
          <t>Ammonia</t>
        </is>
      </c>
      <c r="B287">
        <f>unallocated!B104/I287*J287</f>
        <v>9.8982460308033425E-8</v>
      </c>
      <c r="D287" t="inlineStr">
        <is>
          <t>kilogram</t>
        </is>
      </c>
      <c r="E287" t="inlineStr">
        <is>
          <t>air::urban air close to ground</t>
        </is>
      </c>
      <c r="F287" t="inlineStr">
        <is>
          <t>biosphere</t>
        </is>
      </c>
      <c r="I287" t="n">
        <v>7860</v>
      </c>
      <c r="J287" s="11">
        <f>J270</f>
        <v>0.77800213802114271</v>
      </c>
      <c r="K287" t="n">
        <v>2</v>
      </c>
      <c r="L287" s="3">
        <f>LN(B287)</f>
        <v>-16.128323171113756</v>
      </c>
      <c r="M287" t="n">
        <v>1</v>
      </c>
      <c r="N287" t="n">
        <v>1</v>
      </c>
      <c r="O287" t="n">
        <v>1</v>
      </c>
      <c r="P287" t="n">
        <v>1.02</v>
      </c>
      <c r="Q287" t="n">
        <v>1.2</v>
      </c>
      <c r="R287" t="n">
        <v>1</v>
      </c>
      <c r="S287" t="n">
        <v>1.5</v>
      </c>
      <c r="T287">
        <f>LN(SQRT(EXP(
SQRT(
+POWER(LN(M287),2)
+POWER(LN(N287),2)
+POWER(LN(O287),2)
+POWER(LN(P287),2)
+POWER(LN(Q287),2)
+POWER(LN(R287),2)
+POWER(LN(S287),2)
)
)))</f>
        <v>0.22250575723605889</v>
      </c>
    </row>
    <row r="288">
      <c r="A288" t="inlineStr">
        <is>
          <t>Particulate Matter, &lt; 2.5 um</t>
        </is>
      </c>
      <c r="B288">
        <f>unallocated!B105/I288*J288</f>
        <v>5.9389476184820057E-7</v>
      </c>
      <c r="D288" t="inlineStr">
        <is>
          <t>kilogram</t>
        </is>
      </c>
      <c r="E288" t="inlineStr">
        <is>
          <t>air::urban air close to ground</t>
        </is>
      </c>
      <c r="F288" t="inlineStr">
        <is>
          <t>biosphere</t>
        </is>
      </c>
      <c r="I288" t="n">
        <v>7860</v>
      </c>
      <c r="J288" s="11">
        <f>J270</f>
        <v>0.77800213802114271</v>
      </c>
      <c r="K288" t="n">
        <v>2</v>
      </c>
      <c r="L288" s="3">
        <f>LN(B288)</f>
        <v>-14.3365637018857</v>
      </c>
      <c r="M288" t="n">
        <v>1</v>
      </c>
      <c r="N288" t="n">
        <v>1</v>
      </c>
      <c r="O288" t="n">
        <v>1</v>
      </c>
      <c r="P288" t="n">
        <v>1.02</v>
      </c>
      <c r="Q288" t="n">
        <v>1.2</v>
      </c>
      <c r="R288" t="n">
        <v>1</v>
      </c>
      <c r="S288" t="n">
        <v>3</v>
      </c>
      <c r="T288">
        <f>LN(SQRT(EXP(
SQRT(
+POWER(LN(M288),2)
+POWER(LN(N288),2)
+POWER(LN(O288),2)
+POWER(LN(P288),2)
+POWER(LN(Q288),2)
+POWER(LN(R288),2)
+POWER(LN(S288),2)
)
)))</f>
        <v>0.5569071410325479</v>
      </c>
    </row>
    <row r="289">
      <c r="A289" t="inlineStr">
        <is>
          <t>Mercury II</t>
        </is>
      </c>
      <c r="B289">
        <f>unallocated!B106/I289*J289</f>
        <v>5.9389476184820057E-10</v>
      </c>
      <c r="D289" t="inlineStr">
        <is>
          <t>kilogram</t>
        </is>
      </c>
      <c r="E289" t="inlineStr">
        <is>
          <t>air::urban air close to ground</t>
        </is>
      </c>
      <c r="F289" t="inlineStr">
        <is>
          <t>biosphere</t>
        </is>
      </c>
      <c r="I289" t="n">
        <v>7860</v>
      </c>
      <c r="J289" s="11">
        <f>J270</f>
        <v>0.77800213802114271</v>
      </c>
      <c r="K289" t="n">
        <v>2</v>
      </c>
      <c r="L289" s="3">
        <f>LN(B289)</f>
        <v>-21.244318980867838</v>
      </c>
      <c r="M289" t="n">
        <v>1</v>
      </c>
      <c r="N289" t="n">
        <v>1</v>
      </c>
      <c r="O289" t="n">
        <v>1</v>
      </c>
      <c r="P289" t="n">
        <v>1.02</v>
      </c>
      <c r="Q289" t="n">
        <v>1.2</v>
      </c>
      <c r="R289" t="n">
        <v>1</v>
      </c>
      <c r="S289" t="n">
        <v>5</v>
      </c>
      <c r="T289">
        <f>LN(SQRT(EXP(
SQRT(
+POWER(LN(M289),2)
+POWER(LN(N289),2)
+POWER(LN(O289),2)
+POWER(LN(P289),2)
+POWER(LN(Q289),2)
+POWER(LN(R289),2)
+POWER(LN(S289),2)
)
)))</f>
        <v>0.80992649174166365</v>
      </c>
    </row>
    <row r="290">
      <c r="A290" t="inlineStr">
        <is>
          <t>Lead II</t>
        </is>
      </c>
      <c r="B290">
        <f>unallocated!B107/I290*J290</f>
        <v>5.9389476184820057E-10</v>
      </c>
      <c r="D290" t="inlineStr">
        <is>
          <t>kilogram</t>
        </is>
      </c>
      <c r="E290" t="inlineStr">
        <is>
          <t>air::urban air close to ground</t>
        </is>
      </c>
      <c r="F290" t="inlineStr">
        <is>
          <t>biosphere</t>
        </is>
      </c>
      <c r="I290" t="n">
        <v>7860</v>
      </c>
      <c r="J290" s="11">
        <f>J270</f>
        <v>0.77800213802114271</v>
      </c>
      <c r="K290" t="n">
        <v>2</v>
      </c>
      <c r="L290" s="3">
        <f>LN(B290)</f>
        <v>-21.244318980867838</v>
      </c>
      <c r="M290" t="n">
        <v>1</v>
      </c>
      <c r="N290" t="n">
        <v>1</v>
      </c>
      <c r="O290" t="n">
        <v>1</v>
      </c>
      <c r="P290" t="n">
        <v>1.02</v>
      </c>
      <c r="Q290" t="n">
        <v>1.2</v>
      </c>
      <c r="R290" t="n">
        <v>1</v>
      </c>
      <c r="S290" t="n">
        <v>5</v>
      </c>
      <c r="T290">
        <f>LN(SQRT(EXP(
SQRT(
+POWER(LN(M290),2)
+POWER(LN(N290),2)
+POWER(LN(O290),2)
+POWER(LN(P290),2)
+POWER(LN(Q290),2)
+POWER(LN(R290),2)
+POWER(LN(S290),2)
)
)))</f>
        <v>0.80992649174166365</v>
      </c>
    </row>
    <row r="291">
      <c r="A291" t="inlineStr">
        <is>
          <t>Cadmium II</t>
        </is>
      </c>
      <c r="B291">
        <f>unallocated!B108/I291*J291</f>
        <v>2.9694738092410028E-10</v>
      </c>
      <c r="D291" t="inlineStr">
        <is>
          <t>kilogram</t>
        </is>
      </c>
      <c r="E291" t="inlineStr">
        <is>
          <t>air::urban air close to ground</t>
        </is>
      </c>
      <c r="F291" t="inlineStr">
        <is>
          <t>biosphere</t>
        </is>
      </c>
      <c r="I291" t="n">
        <v>7860</v>
      </c>
      <c r="J291" s="11">
        <f>J270</f>
        <v>0.77800213802114271</v>
      </c>
      <c r="K291" t="n">
        <v>2</v>
      </c>
      <c r="L291" s="3">
        <f>LN(B291)</f>
        <v>-21.937466161427782</v>
      </c>
      <c r="M291" t="n">
        <v>1</v>
      </c>
      <c r="N291" t="n">
        <v>1</v>
      </c>
      <c r="O291" t="n">
        <v>1</v>
      </c>
      <c r="P291" t="n">
        <v>1.02</v>
      </c>
      <c r="Q291" t="n">
        <v>1.2</v>
      </c>
      <c r="R291" t="n">
        <v>1</v>
      </c>
      <c r="S291" t="n">
        <v>5</v>
      </c>
      <c r="T291">
        <f>LN(SQRT(EXP(
SQRT(
+POWER(LN(M291),2)
+POWER(LN(N291),2)
+POWER(LN(O291),2)
+POWER(LN(P291),2)
+POWER(LN(Q291),2)
+POWER(LN(R291),2)
+POWER(LN(S291),2)
)
)))</f>
        <v>0.80992649174166365</v>
      </c>
    </row>
    <row r="292">
      <c r="A292" t="inlineStr">
        <is>
          <t>Arsenic ion</t>
        </is>
      </c>
      <c r="B292">
        <f>unallocated!B109/I292*J292</f>
        <v>2.9694738092410028E-10</v>
      </c>
      <c r="D292" t="inlineStr">
        <is>
          <t>kilogram</t>
        </is>
      </c>
      <c r="E292" t="inlineStr">
        <is>
          <t>air::urban air close to ground</t>
        </is>
      </c>
      <c r="F292" t="inlineStr">
        <is>
          <t>biosphere</t>
        </is>
      </c>
      <c r="I292" t="n">
        <v>7860</v>
      </c>
      <c r="J292" s="11">
        <f>J270</f>
        <v>0.77800213802114271</v>
      </c>
      <c r="K292" t="n">
        <v>2</v>
      </c>
      <c r="L292" s="3">
        <f>LN(B292)</f>
        <v>-21.937466161427782</v>
      </c>
      <c r="M292" t="n">
        <v>1</v>
      </c>
      <c r="N292" t="n">
        <v>1</v>
      </c>
      <c r="O292" t="n">
        <v>1</v>
      </c>
      <c r="P292" t="n">
        <v>1.02</v>
      </c>
      <c r="Q292" t="n">
        <v>1.2</v>
      </c>
      <c r="R292" t="n">
        <v>1</v>
      </c>
      <c r="S292" t="n">
        <v>5</v>
      </c>
      <c r="T292">
        <f>LN(SQRT(EXP(
SQRT(
+POWER(LN(M292),2)
+POWER(LN(N292),2)
+POWER(LN(O292),2)
+POWER(LN(P292),2)
+POWER(LN(Q292),2)
+POWER(LN(R292),2)
+POWER(LN(S292),2)
)
)))</f>
        <v>0.80992649174166365</v>
      </c>
    </row>
    <row r="293">
      <c r="A293" t="inlineStr">
        <is>
          <t>Dioxins, measured as 2,3,7,8-tetrachlorodibenzo-p-dioxin</t>
        </is>
      </c>
      <c r="B293">
        <f>unallocated!B110/I293*J293</f>
        <v>1.0888070633883678E-14</v>
      </c>
      <c r="D293" t="inlineStr">
        <is>
          <t>kilogram</t>
        </is>
      </c>
      <c r="E293" t="inlineStr">
        <is>
          <t>air::urban air close to ground</t>
        </is>
      </c>
      <c r="F293" t="inlineStr">
        <is>
          <t>biosphere</t>
        </is>
      </c>
      <c r="I293" t="n">
        <v>7860</v>
      </c>
      <c r="J293" s="11">
        <f>J270</f>
        <v>0.77800213802114271</v>
      </c>
      <c r="K293" t="n">
        <v>2</v>
      </c>
      <c r="L293" s="3">
        <f>LN(B293)</f>
        <v>-32.151108642267751</v>
      </c>
      <c r="M293" t="n">
        <v>1</v>
      </c>
      <c r="N293" t="n">
        <v>1</v>
      </c>
      <c r="O293" t="n">
        <v>1</v>
      </c>
      <c r="P293" t="n">
        <v>1.02</v>
      </c>
      <c r="Q293" t="n">
        <v>1.2</v>
      </c>
      <c r="R293" t="n">
        <v>1</v>
      </c>
      <c r="S293" t="n">
        <v>5</v>
      </c>
      <c r="T293">
        <f>LN(SQRT(EXP(
SQRT(
+POWER(LN(M293),2)
+POWER(LN(N293),2)
+POWER(LN(O293),2)
+POWER(LN(P293),2)
+POWER(LN(Q293),2)
+POWER(LN(R293),2)
+POWER(LN(S293),2)
)
)))</f>
        <v>0.80992649174166365</v>
      </c>
    </row>
    <row r="294">
      <c r="A294" t="inlineStr">
        <is>
          <t>Carbon dioxide, fossil</t>
        </is>
      </c>
      <c r="B294">
        <f>unallocated!B111/I294*J294</f>
        <v>3.7019440155204503E-2</v>
      </c>
      <c r="D294" t="inlineStr">
        <is>
          <t>kilogram</t>
        </is>
      </c>
      <c r="E294" t="inlineStr">
        <is>
          <t>air::urban air close to ground</t>
        </is>
      </c>
      <c r="F294" t="inlineStr">
        <is>
          <t>biosphere</t>
        </is>
      </c>
      <c r="I294" t="n">
        <v>7860</v>
      </c>
      <c r="J294" s="11">
        <f>J270</f>
        <v>0.77800213802114271</v>
      </c>
      <c r="K294" t="n">
        <v>2</v>
      </c>
      <c r="L294" s="3">
        <f>LN(B294)</f>
        <v>-3.2963120947170865</v>
      </c>
      <c r="M294" t="n">
        <v>1</v>
      </c>
      <c r="N294" t="n">
        <v>1</v>
      </c>
      <c r="O294" t="n">
        <v>1</v>
      </c>
      <c r="P294" t="n">
        <v>1.02</v>
      </c>
      <c r="Q294" t="n">
        <v>1.2</v>
      </c>
      <c r="R294" t="n">
        <v>1</v>
      </c>
      <c r="S294" t="n">
        <v>1.05</v>
      </c>
      <c r="T294">
        <f>LN(SQRT(EXP(
SQRT(
+POWER(LN(M294),2)
+POWER(LN(N294),2)
+POWER(LN(O294),2)
+POWER(LN(P294),2)
+POWER(LN(Q294),2)
+POWER(LN(R294),2)
+POWER(LN(S294),2)
)
)))</f>
        <v>9.4886477223156879E-2</v>
      </c>
    </row>
    <row r="295">
      <c r="A295" t="inlineStr">
        <is>
          <t>Carbon dioxide, non-fossil</t>
        </is>
      </c>
      <c r="B295">
        <f>unallocated!B112/I295*J295</f>
        <v>5.8795581422971852E-2</v>
      </c>
      <c r="D295" t="inlineStr">
        <is>
          <t>kilogram</t>
        </is>
      </c>
      <c r="E295" t="inlineStr">
        <is>
          <t>air::urban air close to ground</t>
        </is>
      </c>
      <c r="F295" t="inlineStr">
        <is>
          <t>biosphere</t>
        </is>
      </c>
      <c r="I295" t="n">
        <v>7860</v>
      </c>
      <c r="J295" s="11">
        <f>J270</f>
        <v>0.77800213802114271</v>
      </c>
      <c r="K295" t="n">
        <v>2</v>
      </c>
      <c r="L295" s="3">
        <f>LN(B295)</f>
        <v>-2.8336885727689736</v>
      </c>
      <c r="M295" t="n">
        <v>1</v>
      </c>
      <c r="N295" t="n">
        <v>1</v>
      </c>
      <c r="O295" t="n">
        <v>1</v>
      </c>
      <c r="P295" t="n">
        <v>1.02</v>
      </c>
      <c r="Q295" t="n">
        <v>1.2</v>
      </c>
      <c r="R295" t="n">
        <v>1</v>
      </c>
      <c r="S295" t="n">
        <v>1.05</v>
      </c>
      <c r="T295">
        <f>LN(SQRT(EXP(
SQRT(
+POWER(LN(M295),2)
+POWER(LN(N295),2)
+POWER(LN(O295),2)
+POWER(LN(P295),2)
+POWER(LN(Q295),2)
+POWER(LN(R295),2)
+POWER(LN(S295),2)
)
)))</f>
        <v>9.4886477223156879E-2</v>
      </c>
    </row>
    <row r="296"/>
    <row r="297">
      <c r="A297" s="1" t="inlineStr">
        <is>
          <t>Activity</t>
        </is>
      </c>
      <c r="B297" s="1" t="inlineStr">
        <is>
          <t>municipal waste incineration, at incineration plant, with wet air pollution control, without flue gas condensation, with electricity and heat recovery, energy allocation</t>
        </is>
      </c>
    </row>
    <row r="298">
      <c r="A298" t="inlineStr">
        <is>
          <t>location</t>
        </is>
      </c>
      <c r="B298" t="inlineStr">
        <is>
          <t>RER</t>
        </is>
      </c>
    </row>
    <row r="299">
      <c r="A299" t="inlineStr">
        <is>
          <t>production amount</t>
        </is>
      </c>
      <c r="B299" t="n">
        <v>1</v>
      </c>
    </row>
    <row r="300">
      <c r="A300" s="2" t="inlineStr">
        <is>
          <t>source</t>
        </is>
      </c>
      <c r="B30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301">
      <c r="A301" t="inlineStr">
        <is>
          <t>reference product</t>
        </is>
      </c>
      <c r="B301" t="inlineStr">
        <is>
          <t>municipal solid waste</t>
        </is>
      </c>
    </row>
    <row r="302">
      <c r="A302" t="inlineStr">
        <is>
          <t>type</t>
        </is>
      </c>
      <c r="B302" t="inlineStr">
        <is>
          <t>process</t>
        </is>
      </c>
    </row>
    <row r="303">
      <c r="A303" t="inlineStr">
        <is>
          <t>unit</t>
        </is>
      </c>
      <c r="B303" t="inlineStr">
        <is>
          <t>kilogram</t>
        </is>
      </c>
    </row>
    <row r="304">
      <c r="A304" t="inlineStr">
        <is>
          <t>comment</t>
        </is>
      </c>
      <c r="B30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628 kWh. Heat production per ton MSWI incinerated: 6'170 MJ.</t>
        </is>
      </c>
    </row>
    <row r="305">
      <c r="A305" s="1" t="inlineStr">
        <is>
          <t>Exchanges</t>
        </is>
      </c>
    </row>
    <row r="306">
      <c r="A306" s="7" t="inlineStr">
        <is>
          <t>name</t>
        </is>
      </c>
      <c r="B306" s="7" t="inlineStr">
        <is>
          <t>amount</t>
        </is>
      </c>
      <c r="C306" s="7" t="inlineStr">
        <is>
          <t>location</t>
        </is>
      </c>
      <c r="D306" s="7" t="inlineStr">
        <is>
          <t>unit</t>
        </is>
      </c>
      <c r="E306" s="7" t="inlineStr">
        <is>
          <t>categories</t>
        </is>
      </c>
      <c r="F306" s="7" t="inlineStr">
        <is>
          <t>type</t>
        </is>
      </c>
      <c r="G306" s="7" t="inlineStr">
        <is>
          <t>reference product</t>
        </is>
      </c>
      <c r="H306" s="7" t="inlineStr">
        <is>
          <t>comment</t>
        </is>
      </c>
      <c r="I306" s="7" t="inlineStr">
        <is>
          <t>normalization</t>
        </is>
      </c>
      <c r="J306" s="7" t="inlineStr">
        <is>
          <t>allocation</t>
        </is>
      </c>
      <c r="K306" s="7" t="inlineStr">
        <is>
          <t>uncertainty type</t>
        </is>
      </c>
      <c r="L306" s="7" t="inlineStr">
        <is>
          <t>loc</t>
        </is>
      </c>
      <c r="M306" s="1" t="inlineStr">
        <is>
          <t>u1</t>
        </is>
      </c>
      <c r="N306" s="1" t="inlineStr">
        <is>
          <t>u2</t>
        </is>
      </c>
      <c r="O306" s="1" t="inlineStr">
        <is>
          <t>u3</t>
        </is>
      </c>
      <c r="P306" s="1" t="inlineStr">
        <is>
          <t>u4</t>
        </is>
      </c>
      <c r="Q306" s="1" t="inlineStr">
        <is>
          <t>u5</t>
        </is>
      </c>
      <c r="R306" s="1" t="inlineStr">
        <is>
          <t>u6</t>
        </is>
      </c>
      <c r="S306" s="1" t="inlineStr">
        <is>
          <t>ub</t>
        </is>
      </c>
      <c r="T306" s="1" t="inlineStr">
        <is>
          <t>scale</t>
        </is>
      </c>
    </row>
    <row r="307">
      <c r="A307" t="inlineStr">
        <is>
          <t>municipal waste incineration, at incineration plant, with wet air pollution control, without flue gas condensation, with electricity and heat recovery, energy allocation</t>
        </is>
      </c>
      <c r="B307" t="n">
        <v>1</v>
      </c>
      <c r="C307" t="inlineStr">
        <is>
          <t>RER</t>
        </is>
      </c>
      <c r="D307" t="inlineStr">
        <is>
          <t>kilogram</t>
        </is>
      </c>
      <c r="F307" t="inlineStr">
        <is>
          <t>production</t>
        </is>
      </c>
      <c r="G307" t="inlineStr">
        <is>
          <t>municipal solid waste</t>
        </is>
      </c>
      <c r="H307" t="inlineStr"/>
      <c r="I307" t="n">
        <v>1000</v>
      </c>
      <c r="J307" s="14">
        <f>INDEX('allocation keys'!$F$4:$H$28,MATCH('allocated (energy)'!$B$297,'allocation keys'!$B$4:$B$28,0),MATCH('allocated (energy)'!$B$301,'allocation keys'!$F$3:$H$3,0))</f>
        <v>0</v>
      </c>
      <c r="K307" t="n">
        <v>0</v>
      </c>
      <c r="M307" s="5" t="n"/>
      <c r="N307" s="5" t="n"/>
      <c r="O307" s="5" t="n"/>
      <c r="P307" s="5" t="n"/>
      <c r="Q307" s="5" t="n"/>
      <c r="R307" s="5" t="n"/>
    </row>
    <row r="308">
      <c r="A308" t="inlineStr">
        <is>
          <t>municipal waste incineration, at incineration plant, with wet air pollution control, without flue gas condensation, with electricity and heat recovery, energy allocation</t>
        </is>
      </c>
      <c r="B308" s="6" t="n">
        <v>0</v>
      </c>
      <c r="C308" t="inlineStr">
        <is>
          <t>RER</t>
        </is>
      </c>
      <c r="D308" t="inlineStr">
        <is>
          <t>kilowatt hour</t>
        </is>
      </c>
      <c r="F308" t="inlineStr">
        <is>
          <t>technosphere</t>
        </is>
      </c>
      <c r="G308" t="inlineStr">
        <is>
          <t>electricity, medium voltage</t>
        </is>
      </c>
      <c r="H308" t="inlineStr"/>
      <c r="I308" t="n">
        <v>1000</v>
      </c>
      <c r="J308" s="11">
        <f>J307</f>
        <v>0</v>
      </c>
      <c r="K308" t="n">
        <v>0</v>
      </c>
      <c r="L308" s="3" t="n"/>
    </row>
    <row r="309">
      <c r="A309" t="inlineStr">
        <is>
          <t>municipal waste incineration, at incineration plant, with wet air pollution control, without flue gas condensation, with electricity and heat recovery, energy allocation</t>
        </is>
      </c>
      <c r="B309" t="n">
        <v>0</v>
      </c>
      <c r="C309" t="inlineStr">
        <is>
          <t>RER</t>
        </is>
      </c>
      <c r="D309" t="inlineStr">
        <is>
          <t>megajoule</t>
        </is>
      </c>
      <c r="F309" t="inlineStr">
        <is>
          <t>technosphere</t>
        </is>
      </c>
      <c r="G309" t="inlineStr">
        <is>
          <t>heat, district or industrial, other than natural gas</t>
        </is>
      </c>
      <c r="H309" t="inlineStr"/>
      <c r="I309" t="n">
        <v>1000</v>
      </c>
      <c r="J309" s="11">
        <f>J307</f>
        <v>0</v>
      </c>
      <c r="K309" t="n">
        <v>0</v>
      </c>
      <c r="L309" s="3" t="n"/>
    </row>
    <row r="310">
      <c r="A310" t="inlineStr">
        <is>
          <t>market for diesel, low-sulfur</t>
        </is>
      </c>
      <c r="B310">
        <f>unallocated!B127/I310*J310</f>
        <v>0</v>
      </c>
      <c r="C310" t="inlineStr">
        <is>
          <t>Europe without Switzerland</t>
        </is>
      </c>
      <c r="D310" t="inlineStr">
        <is>
          <t>kilogram</t>
        </is>
      </c>
      <c r="F310" t="inlineStr">
        <is>
          <t>technosphere</t>
        </is>
      </c>
      <c r="G310" t="inlineStr">
        <is>
          <t>diesel, low-sulfur</t>
        </is>
      </c>
      <c r="H310" t="inlineStr">
        <is>
          <t>Diesel density: 0.85 kg/l</t>
        </is>
      </c>
      <c r="I310" t="n">
        <v>1000</v>
      </c>
      <c r="J310" s="11">
        <f>J307</f>
        <v>0</v>
      </c>
      <c r="K310" t="n">
        <v>0</v>
      </c>
      <c r="L310" s="3" t="n"/>
    </row>
    <row r="311">
      <c r="A311" t="inlineStr">
        <is>
          <t>market for activated carbon, granular</t>
        </is>
      </c>
      <c r="B311">
        <f>unallocated!B128/I311*J311</f>
        <v>0</v>
      </c>
      <c r="C311" t="inlineStr">
        <is>
          <t>GLO</t>
        </is>
      </c>
      <c r="D311" t="inlineStr">
        <is>
          <t>kilogram</t>
        </is>
      </c>
      <c r="F311" t="inlineStr">
        <is>
          <t>technosphere</t>
        </is>
      </c>
      <c r="G311" t="inlineStr">
        <is>
          <t>activated carbon, granular</t>
        </is>
      </c>
      <c r="I311" t="n">
        <v>1000</v>
      </c>
      <c r="J311" s="11">
        <f>J307</f>
        <v>0</v>
      </c>
      <c r="K311" t="n">
        <v>0</v>
      </c>
      <c r="L311" s="3" t="n"/>
    </row>
    <row r="312">
      <c r="A312" t="inlineStr">
        <is>
          <t>market for ammonia, anhydrous, liquid</t>
        </is>
      </c>
      <c r="B312">
        <f>unallocated!B129/I312*J312</f>
        <v>0</v>
      </c>
      <c r="C312" t="inlineStr">
        <is>
          <t>RER</t>
        </is>
      </c>
      <c r="D312" t="inlineStr">
        <is>
          <t>kilogram</t>
        </is>
      </c>
      <c r="F312" t="inlineStr">
        <is>
          <t>technosphere</t>
        </is>
      </c>
      <c r="G312" t="inlineStr">
        <is>
          <t>ammonia, anhydrous, liquid</t>
        </is>
      </c>
      <c r="H312" t="inlineStr">
        <is>
          <t>100% liquid ammonia. In original publication, it is dilluated to 23.5% in water. We discount the original value by 75%.</t>
        </is>
      </c>
      <c r="I312" t="n">
        <v>1000</v>
      </c>
      <c r="J312" s="11">
        <f>J307</f>
        <v>0</v>
      </c>
      <c r="K312" t="n">
        <v>0</v>
      </c>
      <c r="L312" s="3" t="n"/>
    </row>
    <row r="313">
      <c r="A313" t="inlineStr">
        <is>
          <t>market for tap water</t>
        </is>
      </c>
      <c r="B313">
        <f>unallocated!B130/I313*J313</f>
        <v>0</v>
      </c>
      <c r="C313" t="inlineStr">
        <is>
          <t>Europe without Switzerland</t>
        </is>
      </c>
      <c r="D313" t="inlineStr">
        <is>
          <t>kilogram</t>
        </is>
      </c>
      <c r="F313" t="inlineStr">
        <is>
          <t>technosphere</t>
        </is>
      </c>
      <c r="G313" t="inlineStr">
        <is>
          <t>tap water</t>
        </is>
      </c>
      <c r="H313" t="inlineStr">
        <is>
          <t>Used to dilute the ammonia.</t>
        </is>
      </c>
      <c r="I313" t="n">
        <v>1000</v>
      </c>
      <c r="J313" s="11">
        <f>J307</f>
        <v>0</v>
      </c>
      <c r="K313" t="n">
        <v>0</v>
      </c>
      <c r="L313" s="3" t="n"/>
    </row>
    <row r="314">
      <c r="A314" t="inlineStr">
        <is>
          <t>market for calcium carbonate, precipitated</t>
        </is>
      </c>
      <c r="B314">
        <f>unallocated!B131/I314*J314</f>
        <v>0</v>
      </c>
      <c r="C314" t="inlineStr">
        <is>
          <t>RER</t>
        </is>
      </c>
      <c r="D314" t="inlineStr">
        <is>
          <t>kilogram</t>
        </is>
      </c>
      <c r="F314" t="inlineStr">
        <is>
          <t>technosphere</t>
        </is>
      </c>
      <c r="G314" t="inlineStr">
        <is>
          <t>calcium carbonate, precipitated</t>
        </is>
      </c>
      <c r="I314" t="n">
        <v>1000</v>
      </c>
      <c r="J314" s="11">
        <f>J307</f>
        <v>0</v>
      </c>
      <c r="K314" t="n">
        <v>0</v>
      </c>
      <c r="L314" s="3" t="n"/>
    </row>
    <row r="315">
      <c r="A315" t="inlineStr">
        <is>
          <t>market for iron(III) chloride, without water, in 40% solution state</t>
        </is>
      </c>
      <c r="B315">
        <f>unallocated!B132/I315*J315</f>
        <v>0</v>
      </c>
      <c r="C315" t="inlineStr">
        <is>
          <t>GLO</t>
        </is>
      </c>
      <c r="D315" t="inlineStr">
        <is>
          <t>kilogram</t>
        </is>
      </c>
      <c r="F315" t="inlineStr">
        <is>
          <t>technosphere</t>
        </is>
      </c>
      <c r="G315" t="inlineStr">
        <is>
          <t>iron(III) chloride, without water, in 40% solution state</t>
        </is>
      </c>
      <c r="I315" t="n">
        <v>1000</v>
      </c>
      <c r="J315" s="11">
        <f>J307</f>
        <v>0</v>
      </c>
      <c r="K315" t="n">
        <v>0</v>
      </c>
      <c r="L315" s="3" t="n"/>
    </row>
    <row r="316">
      <c r="A316" t="inlineStr">
        <is>
          <t>market for lime, hydrated, packed</t>
        </is>
      </c>
      <c r="B316">
        <f>unallocated!B133/I316*J316</f>
        <v>0</v>
      </c>
      <c r="C316" t="inlineStr">
        <is>
          <t>RER</t>
        </is>
      </c>
      <c r="D316" t="inlineStr">
        <is>
          <t>kilogram</t>
        </is>
      </c>
      <c r="F316" t="inlineStr">
        <is>
          <t>technosphere</t>
        </is>
      </c>
      <c r="G316" t="inlineStr">
        <is>
          <t>lime, hydrated, packed</t>
        </is>
      </c>
      <c r="I316" t="n">
        <v>1000</v>
      </c>
      <c r="J316" s="11">
        <f>J307</f>
        <v>0</v>
      </c>
      <c r="K316" t="n">
        <v>0</v>
      </c>
      <c r="L316" s="3" t="n"/>
    </row>
    <row r="317">
      <c r="A317" t="inlineStr">
        <is>
          <t>market for sodium hydroxide, without water, in 50% solution state</t>
        </is>
      </c>
      <c r="B317">
        <f>unallocated!B134/I317*J317</f>
        <v>0</v>
      </c>
      <c r="C317" t="inlineStr">
        <is>
          <t>RER</t>
        </is>
      </c>
      <c r="D317" t="inlineStr">
        <is>
          <t>kilogram</t>
        </is>
      </c>
      <c r="F317" t="inlineStr">
        <is>
          <t>technosphere</t>
        </is>
      </c>
      <c r="G317" t="inlineStr">
        <is>
          <t>sodium hydroxide, without water, in 50% solution state</t>
        </is>
      </c>
      <c r="H317" t="inlineStr">
        <is>
          <t>50% liquid ammonia. In original publication, it is dilluated to 27% in water. We discount the original value by 50%.</t>
        </is>
      </c>
      <c r="I317" t="n">
        <v>1000</v>
      </c>
      <c r="J317" s="11">
        <f>J307</f>
        <v>0</v>
      </c>
      <c r="K317" t="n">
        <v>0</v>
      </c>
      <c r="L317" s="3" t="n"/>
    </row>
    <row r="318">
      <c r="A318" t="inlineStr">
        <is>
          <t>market for monoethanolamine</t>
        </is>
      </c>
      <c r="B318">
        <f>unallocated!B135/I318*J318</f>
        <v>0</v>
      </c>
      <c r="C318" t="inlineStr">
        <is>
          <t>GLO</t>
        </is>
      </c>
      <c r="D318" t="inlineStr">
        <is>
          <t>kilogram</t>
        </is>
      </c>
      <c r="F318" t="inlineStr">
        <is>
          <t>technosphere</t>
        </is>
      </c>
      <c r="G318" t="inlineStr">
        <is>
          <t>monoethanolamine</t>
        </is>
      </c>
      <c r="I318" t="n">
        <v>1000</v>
      </c>
      <c r="J318" s="11">
        <f>J307</f>
        <v>0</v>
      </c>
      <c r="K318" t="n">
        <v>0</v>
      </c>
      <c r="L318" s="3" t="n"/>
    </row>
    <row r="319">
      <c r="A319" t="inlineStr">
        <is>
          <t>municipal waste incineration facility construction</t>
        </is>
      </c>
      <c r="B319">
        <f>unallocated!B136/I319*J319</f>
        <v>0</v>
      </c>
      <c r="C319" t="inlineStr">
        <is>
          <t>CH</t>
        </is>
      </c>
      <c r="D319" t="inlineStr">
        <is>
          <t>unit</t>
        </is>
      </c>
      <c r="F319" t="inlineStr">
        <is>
          <t>technosphere</t>
        </is>
      </c>
      <c r="G319" t="inlineStr">
        <is>
          <t>municipal waste incineration facility</t>
        </is>
      </c>
      <c r="H319" t="inlineStr">
        <is>
          <t>Lifetime: 4'000'000 tons MSWI treated.</t>
        </is>
      </c>
      <c r="I319" t="n">
        <v>1000</v>
      </c>
      <c r="J319" s="11">
        <f>J307</f>
        <v>0</v>
      </c>
      <c r="K319" t="n">
        <v>0</v>
      </c>
      <c r="L319" s="3" t="n"/>
    </row>
    <row r="320">
      <c r="A320" t="inlineStr">
        <is>
          <t>Water, cooling, unspecified natural origin</t>
        </is>
      </c>
      <c r="B320">
        <f>unallocated!B137/I320*J320</f>
        <v>0</v>
      </c>
      <c r="D320" t="inlineStr">
        <is>
          <t>cubic meter</t>
        </is>
      </c>
      <c r="E320" t="inlineStr">
        <is>
          <t>natural resource::in water</t>
        </is>
      </c>
      <c r="F320" t="inlineStr">
        <is>
          <t>biosphere</t>
        </is>
      </c>
      <c r="I320" t="n">
        <v>1000</v>
      </c>
      <c r="J320" s="11">
        <f>J307</f>
        <v>0</v>
      </c>
      <c r="K320" t="n">
        <v>0</v>
      </c>
      <c r="L320" s="3" t="n"/>
    </row>
    <row r="321">
      <c r="A321" t="inlineStr">
        <is>
          <t>Sulfur dioxide</t>
        </is>
      </c>
      <c r="B321">
        <f>unallocated!B138/I321*J321</f>
        <v>0</v>
      </c>
      <c r="D321" t="inlineStr">
        <is>
          <t>kilogram</t>
        </is>
      </c>
      <c r="E321" t="inlineStr">
        <is>
          <t>air::urban air close to ground</t>
        </is>
      </c>
      <c r="F321" t="inlineStr">
        <is>
          <t>biosphere</t>
        </is>
      </c>
      <c r="I321" t="n">
        <v>1000</v>
      </c>
      <c r="J321" s="11">
        <f>J307</f>
        <v>0</v>
      </c>
      <c r="K321" t="n">
        <v>0</v>
      </c>
      <c r="L321" s="3" t="n"/>
    </row>
    <row r="322">
      <c r="A322" t="inlineStr">
        <is>
          <t>Hydrochloric acid</t>
        </is>
      </c>
      <c r="B322">
        <f>unallocated!B139/I322*J322</f>
        <v>0</v>
      </c>
      <c r="D322" t="inlineStr">
        <is>
          <t>kilogram</t>
        </is>
      </c>
      <c r="E322" t="inlineStr">
        <is>
          <t>air</t>
        </is>
      </c>
      <c r="F322" t="inlineStr">
        <is>
          <t>biosphere</t>
        </is>
      </c>
      <c r="I322" t="n">
        <v>1000</v>
      </c>
      <c r="J322" s="11">
        <f>J307</f>
        <v>0</v>
      </c>
      <c r="K322" t="n">
        <v>0</v>
      </c>
      <c r="L322" s="3" t="n"/>
    </row>
    <row r="323">
      <c r="A323" t="inlineStr">
        <is>
          <t>Nitrogen oxides</t>
        </is>
      </c>
      <c r="B323">
        <f>unallocated!B140/I323*J323</f>
        <v>0</v>
      </c>
      <c r="D323" t="inlineStr">
        <is>
          <t>kilogram</t>
        </is>
      </c>
      <c r="E323" t="inlineStr">
        <is>
          <t>air::urban air close to ground</t>
        </is>
      </c>
      <c r="F323" t="inlineStr">
        <is>
          <t>biosphere</t>
        </is>
      </c>
      <c r="I323" t="n">
        <v>1000</v>
      </c>
      <c r="J323" s="11">
        <f>J307</f>
        <v>0</v>
      </c>
      <c r="K323" t="n">
        <v>0</v>
      </c>
      <c r="L323" s="3" t="n"/>
    </row>
    <row r="324">
      <c r="A324" t="inlineStr">
        <is>
          <t>Ammonia</t>
        </is>
      </c>
      <c r="B324">
        <f>unallocated!B141/I324*J324</f>
        <v>0</v>
      </c>
      <c r="D324" t="inlineStr">
        <is>
          <t>kilogram</t>
        </is>
      </c>
      <c r="E324" t="inlineStr">
        <is>
          <t>air::urban air close to ground</t>
        </is>
      </c>
      <c r="F324" t="inlineStr">
        <is>
          <t>biosphere</t>
        </is>
      </c>
      <c r="I324" t="n">
        <v>1000</v>
      </c>
      <c r="J324" s="11">
        <f>J307</f>
        <v>0</v>
      </c>
      <c r="K324" t="n">
        <v>0</v>
      </c>
      <c r="L324" s="3" t="n"/>
    </row>
    <row r="325">
      <c r="A325" t="inlineStr">
        <is>
          <t>Particulate Matter, &lt; 2.5 um</t>
        </is>
      </c>
      <c r="B325">
        <f>unallocated!B142/I325*J325</f>
        <v>0</v>
      </c>
      <c r="D325" t="inlineStr">
        <is>
          <t>kilogram</t>
        </is>
      </c>
      <c r="E325" t="inlineStr">
        <is>
          <t>air::urban air close to ground</t>
        </is>
      </c>
      <c r="F325" t="inlineStr">
        <is>
          <t>biosphere</t>
        </is>
      </c>
      <c r="I325" t="n">
        <v>1000</v>
      </c>
      <c r="J325" s="11">
        <f>J307</f>
        <v>0</v>
      </c>
      <c r="K325" t="n">
        <v>0</v>
      </c>
      <c r="L325" s="3" t="n"/>
    </row>
    <row r="326">
      <c r="A326" t="inlineStr">
        <is>
          <t>Mercury II</t>
        </is>
      </c>
      <c r="B326">
        <f>unallocated!B143/I326*J326</f>
        <v>0</v>
      </c>
      <c r="D326" t="inlineStr">
        <is>
          <t>kilogram</t>
        </is>
      </c>
      <c r="E326" t="inlineStr">
        <is>
          <t>air::urban air close to ground</t>
        </is>
      </c>
      <c r="F326" t="inlineStr">
        <is>
          <t>biosphere</t>
        </is>
      </c>
      <c r="I326" t="n">
        <v>1000</v>
      </c>
      <c r="J326" s="11">
        <f>J307</f>
        <v>0</v>
      </c>
      <c r="K326" t="n">
        <v>0</v>
      </c>
      <c r="L326" s="3" t="n"/>
    </row>
    <row r="327">
      <c r="A327" t="inlineStr">
        <is>
          <t>Lead II</t>
        </is>
      </c>
      <c r="B327">
        <f>unallocated!B144/I327*J327</f>
        <v>0</v>
      </c>
      <c r="D327" t="inlineStr">
        <is>
          <t>kilogram</t>
        </is>
      </c>
      <c r="E327" t="inlineStr">
        <is>
          <t>air::urban air close to ground</t>
        </is>
      </c>
      <c r="F327" t="inlineStr">
        <is>
          <t>biosphere</t>
        </is>
      </c>
      <c r="I327" t="n">
        <v>1000</v>
      </c>
      <c r="J327" s="11">
        <f>J307</f>
        <v>0</v>
      </c>
      <c r="K327" t="n">
        <v>0</v>
      </c>
      <c r="L327" s="3" t="n"/>
    </row>
    <row r="328">
      <c r="A328" t="inlineStr">
        <is>
          <t>Cadmium II</t>
        </is>
      </c>
      <c r="B328">
        <f>unallocated!B145/I328*J328</f>
        <v>0</v>
      </c>
      <c r="D328" t="inlineStr">
        <is>
          <t>kilogram</t>
        </is>
      </c>
      <c r="E328" t="inlineStr">
        <is>
          <t>air::urban air close to ground</t>
        </is>
      </c>
      <c r="F328" t="inlineStr">
        <is>
          <t>biosphere</t>
        </is>
      </c>
      <c r="I328" t="n">
        <v>1000</v>
      </c>
      <c r="J328" s="11">
        <f>J307</f>
        <v>0</v>
      </c>
      <c r="K328" t="n">
        <v>0</v>
      </c>
      <c r="L328" s="3" t="n"/>
    </row>
    <row r="329">
      <c r="A329" t="inlineStr">
        <is>
          <t>Arsenic ion</t>
        </is>
      </c>
      <c r="B329">
        <f>unallocated!B146/I329*J329</f>
        <v>0</v>
      </c>
      <c r="D329" t="inlineStr">
        <is>
          <t>kilogram</t>
        </is>
      </c>
      <c r="E329" t="inlineStr">
        <is>
          <t>air::urban air close to ground</t>
        </is>
      </c>
      <c r="F329" t="inlineStr">
        <is>
          <t>biosphere</t>
        </is>
      </c>
      <c r="I329" t="n">
        <v>1000</v>
      </c>
      <c r="J329" s="11">
        <f>J307</f>
        <v>0</v>
      </c>
      <c r="K329" t="n">
        <v>0</v>
      </c>
      <c r="L329" s="3" t="n"/>
    </row>
    <row r="330">
      <c r="A330" t="inlineStr">
        <is>
          <t>Dioxins, measured as 2,3,7,8-tetrachlorodibenzo-p-dioxin</t>
        </is>
      </c>
      <c r="B330">
        <f>unallocated!B147/I330*J330</f>
        <v>0</v>
      </c>
      <c r="D330" t="inlineStr">
        <is>
          <t>kilogram</t>
        </is>
      </c>
      <c r="E330" t="inlineStr">
        <is>
          <t>air::urban air close to ground</t>
        </is>
      </c>
      <c r="F330" t="inlineStr">
        <is>
          <t>biosphere</t>
        </is>
      </c>
      <c r="I330" t="n">
        <v>1000</v>
      </c>
      <c r="J330" s="11">
        <f>J307</f>
        <v>0</v>
      </c>
      <c r="K330" t="n">
        <v>0</v>
      </c>
      <c r="L330" s="3" t="n"/>
    </row>
    <row r="331">
      <c r="A331" t="inlineStr">
        <is>
          <t>Carbon dioxide, fossil</t>
        </is>
      </c>
      <c r="B331">
        <f>unallocated!B148/I331*J331</f>
        <v>0</v>
      </c>
      <c r="D331" t="inlineStr">
        <is>
          <t>kilogram</t>
        </is>
      </c>
      <c r="E331" t="inlineStr">
        <is>
          <t>air::urban air close to ground</t>
        </is>
      </c>
      <c r="F331" t="inlineStr">
        <is>
          <t>biosphere</t>
        </is>
      </c>
      <c r="I331" t="n">
        <v>1000</v>
      </c>
      <c r="J331" s="11">
        <f>J307</f>
        <v>0</v>
      </c>
      <c r="K331" t="n">
        <v>0</v>
      </c>
      <c r="L331" s="3" t="n"/>
    </row>
    <row r="332">
      <c r="A332" t="inlineStr">
        <is>
          <t>Carbon dioxide, non-fossil</t>
        </is>
      </c>
      <c r="B332">
        <f>unallocated!B149/I332*J332</f>
        <v>0</v>
      </c>
      <c r="D332" t="inlineStr">
        <is>
          <t>kilogram</t>
        </is>
      </c>
      <c r="E332" t="inlineStr">
        <is>
          <t>air::urban air close to ground</t>
        </is>
      </c>
      <c r="F332" t="inlineStr">
        <is>
          <t>biosphere</t>
        </is>
      </c>
      <c r="I332" t="n">
        <v>1000</v>
      </c>
      <c r="J332" s="11">
        <f>J307</f>
        <v>0</v>
      </c>
      <c r="K332" t="n">
        <v>0</v>
      </c>
      <c r="L332" s="3" t="n"/>
    </row>
    <row r="333"/>
    <row r="334">
      <c r="A334" s="1" t="inlineStr">
        <is>
          <t>Activity</t>
        </is>
      </c>
      <c r="B334" s="1" t="inlineStr">
        <is>
          <t>municipal waste incineration, at incineration plant, with wet air pollution control, without flue gas condensation, with electricity and heat recovery, energy allocation</t>
        </is>
      </c>
    </row>
    <row r="335">
      <c r="A335" t="inlineStr">
        <is>
          <t>location</t>
        </is>
      </c>
      <c r="B335" t="inlineStr">
        <is>
          <t>RER</t>
        </is>
      </c>
    </row>
    <row r="336">
      <c r="A336" t="inlineStr">
        <is>
          <t>production amount</t>
        </is>
      </c>
      <c r="B336" t="n">
        <v>1</v>
      </c>
    </row>
    <row r="337">
      <c r="A337" s="2" t="inlineStr">
        <is>
          <t>source</t>
        </is>
      </c>
      <c r="B337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338">
      <c r="A338" t="inlineStr">
        <is>
          <t>reference product</t>
        </is>
      </c>
      <c r="B338" t="inlineStr">
        <is>
          <t>electricity, medium voltage</t>
        </is>
      </c>
    </row>
    <row r="339">
      <c r="A339" t="inlineStr">
        <is>
          <t>type</t>
        </is>
      </c>
      <c r="B339" t="inlineStr">
        <is>
          <t>process</t>
        </is>
      </c>
    </row>
    <row r="340">
      <c r="A340" t="inlineStr">
        <is>
          <t>unit</t>
        </is>
      </c>
      <c r="B340" t="inlineStr">
        <is>
          <t>kilowatt hour</t>
        </is>
      </c>
    </row>
    <row r="341">
      <c r="A341" t="inlineStr">
        <is>
          <t>comment</t>
        </is>
      </c>
      <c r="B341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628 kWh. Heat production per ton MSWI incinerated: 6'170 MJ.</t>
        </is>
      </c>
    </row>
    <row r="342">
      <c r="A342" s="1" t="inlineStr">
        <is>
          <t>Exchanges</t>
        </is>
      </c>
    </row>
    <row r="343">
      <c r="A343" s="7" t="inlineStr">
        <is>
          <t>name</t>
        </is>
      </c>
      <c r="B343" s="7" t="inlineStr">
        <is>
          <t>amount</t>
        </is>
      </c>
      <c r="C343" s="7" t="inlineStr">
        <is>
          <t>location</t>
        </is>
      </c>
      <c r="D343" s="7" t="inlineStr">
        <is>
          <t>unit</t>
        </is>
      </c>
      <c r="E343" s="7" t="inlineStr">
        <is>
          <t>categories</t>
        </is>
      </c>
      <c r="F343" s="7" t="inlineStr">
        <is>
          <t>type</t>
        </is>
      </c>
      <c r="G343" s="7" t="inlineStr">
        <is>
          <t>reference product</t>
        </is>
      </c>
      <c r="H343" s="7" t="inlineStr">
        <is>
          <t>comment</t>
        </is>
      </c>
      <c r="I343" s="7" t="inlineStr">
        <is>
          <t>normalization</t>
        </is>
      </c>
      <c r="J343" s="7" t="inlineStr">
        <is>
          <t>allocation</t>
        </is>
      </c>
      <c r="K343" s="7" t="inlineStr">
        <is>
          <t>uncertainty type</t>
        </is>
      </c>
      <c r="L343" s="7" t="inlineStr">
        <is>
          <t>loc</t>
        </is>
      </c>
      <c r="M343" s="1" t="inlineStr">
        <is>
          <t>u1</t>
        </is>
      </c>
      <c r="N343" s="1" t="inlineStr">
        <is>
          <t>u2</t>
        </is>
      </c>
      <c r="O343" s="1" t="inlineStr">
        <is>
          <t>u3</t>
        </is>
      </c>
      <c r="P343" s="1" t="inlineStr">
        <is>
          <t>u4</t>
        </is>
      </c>
      <c r="Q343" s="1" t="inlineStr">
        <is>
          <t>u5</t>
        </is>
      </c>
      <c r="R343" s="1" t="inlineStr">
        <is>
          <t>u6</t>
        </is>
      </c>
      <c r="S343" s="1" t="inlineStr">
        <is>
          <t>ub</t>
        </is>
      </c>
      <c r="T343" s="1" t="inlineStr">
        <is>
          <t>scale</t>
        </is>
      </c>
    </row>
    <row r="344">
      <c r="A344" t="inlineStr">
        <is>
          <t>municipal waste incineration, at incineration plant, with wet air pollution control, without flue gas condensation, with electricity and heat recovery, energy allocation</t>
        </is>
      </c>
      <c r="B344" t="n">
        <v>0</v>
      </c>
      <c r="C344" t="inlineStr">
        <is>
          <t>RER</t>
        </is>
      </c>
      <c r="D344" t="inlineStr">
        <is>
          <t>kilogram</t>
        </is>
      </c>
      <c r="F344" t="inlineStr">
        <is>
          <t>technosphere</t>
        </is>
      </c>
      <c r="G344" t="inlineStr">
        <is>
          <t>municipal solid waste</t>
        </is>
      </c>
      <c r="H344" t="inlineStr"/>
      <c r="I344" t="n">
        <v>628</v>
      </c>
      <c r="J344" s="14">
        <f>INDEX('allocation keys'!$F$4:$H$28,MATCH('allocated (energy)'!$B$334,'allocation keys'!$B$4:$B$28,0),MATCH('allocated (energy)'!$B$338,'allocation keys'!$F$3:$H$3,0))</f>
        <v>0.26815960525691518</v>
      </c>
      <c r="K344" t="n">
        <v>0</v>
      </c>
      <c r="M344" s="5" t="n"/>
      <c r="N344" s="5" t="n"/>
      <c r="O344" s="5" t="n"/>
      <c r="P344" s="5" t="n"/>
      <c r="Q344" s="5" t="n"/>
      <c r="R344" s="5" t="n"/>
    </row>
    <row r="345">
      <c r="A345" t="inlineStr">
        <is>
          <t>municipal waste incineration, at incineration plant, with wet air pollution control, without flue gas condensation, with electricity and heat recovery, energy allocation</t>
        </is>
      </c>
      <c r="B345" s="6" t="n">
        <v>1</v>
      </c>
      <c r="C345" t="inlineStr">
        <is>
          <t>RER</t>
        </is>
      </c>
      <c r="D345" t="inlineStr">
        <is>
          <t>kilowatt hour</t>
        </is>
      </c>
      <c r="F345" t="inlineStr">
        <is>
          <t>production</t>
        </is>
      </c>
      <c r="G345" t="inlineStr">
        <is>
          <t>electricity, medium voltage</t>
        </is>
      </c>
      <c r="H345" t="inlineStr"/>
      <c r="I345" t="n">
        <v>628</v>
      </c>
      <c r="J345" s="11">
        <f>J344</f>
        <v>0.26815960525691518</v>
      </c>
      <c r="K345" t="n">
        <v>0</v>
      </c>
      <c r="L345" s="3" t="n"/>
    </row>
    <row r="346">
      <c r="A346" t="inlineStr">
        <is>
          <t>municipal waste incineration, at incineration plant, with wet air pollution control, without flue gas condensation, with electricity and heat recovery, energy allocation</t>
        </is>
      </c>
      <c r="B346" t="n">
        <v>0</v>
      </c>
      <c r="C346" t="inlineStr">
        <is>
          <t>RER</t>
        </is>
      </c>
      <c r="D346" t="inlineStr">
        <is>
          <t>megajoule</t>
        </is>
      </c>
      <c r="F346" t="inlineStr">
        <is>
          <t>technosphere</t>
        </is>
      </c>
      <c r="G346" t="inlineStr">
        <is>
          <t>heat, district or industrial, other than natural gas</t>
        </is>
      </c>
      <c r="H346" t="inlineStr"/>
      <c r="I346" t="n">
        <v>628</v>
      </c>
      <c r="J346" s="11">
        <f>J344</f>
        <v>0.26815960525691518</v>
      </c>
      <c r="K346" t="n">
        <v>0</v>
      </c>
      <c r="L346" s="3" t="n"/>
    </row>
    <row r="347">
      <c r="A347" t="inlineStr">
        <is>
          <t>market for diesel, low-sulfur</t>
        </is>
      </c>
      <c r="B347">
        <f>unallocated!B127/I347*J347</f>
        <v>3.629548797267164E-5</v>
      </c>
      <c r="C347" t="inlineStr">
        <is>
          <t>Europe without Switzerland</t>
        </is>
      </c>
      <c r="D347" t="inlineStr">
        <is>
          <t>kilogram</t>
        </is>
      </c>
      <c r="F347" t="inlineStr">
        <is>
          <t>technosphere</t>
        </is>
      </c>
      <c r="G347" t="inlineStr">
        <is>
          <t>diesel, low-sulfur</t>
        </is>
      </c>
      <c r="H347" t="inlineStr">
        <is>
          <t>Diesel density: 0.85 kg/l</t>
        </is>
      </c>
      <c r="I347" t="n">
        <v>628</v>
      </c>
      <c r="J347" s="11">
        <f>J344</f>
        <v>0.26815960525691518</v>
      </c>
      <c r="K347" t="n">
        <v>2</v>
      </c>
      <c r="L347" s="3">
        <f>LN(B347)</f>
        <v>-10.223817122692648</v>
      </c>
      <c r="M347" t="n">
        <v>1</v>
      </c>
      <c r="N347" t="n">
        <v>1</v>
      </c>
      <c r="O347" t="n">
        <v>1</v>
      </c>
      <c r="P347" t="n">
        <v>1.02</v>
      </c>
      <c r="Q347" t="n">
        <v>1.2</v>
      </c>
      <c r="R347" t="n">
        <v>1</v>
      </c>
      <c r="S347" t="n">
        <v>1.05</v>
      </c>
      <c r="T347">
        <f>LN(SQRT(EXP(
SQRT(
+POWER(LN(M347),2)
+POWER(LN(N347),2)
+POWER(LN(O347),2)
+POWER(LN(P347),2)
+POWER(LN(Q347),2)
+POWER(LN(R347),2)
+POWER(LN(S347),2)
)
)))</f>
        <v>9.4886477223156879E-2</v>
      </c>
    </row>
    <row r="348">
      <c r="A348" t="inlineStr">
        <is>
          <t>market for activated carbon, granular</t>
        </is>
      </c>
      <c r="B348">
        <f>unallocated!B128/I348*J348</f>
        <v>1.7080229634198422E-4</v>
      </c>
      <c r="C348" t="inlineStr">
        <is>
          <t>GLO</t>
        </is>
      </c>
      <c r="D348" t="inlineStr">
        <is>
          <t>kilogram</t>
        </is>
      </c>
      <c r="F348" t="inlineStr">
        <is>
          <t>technosphere</t>
        </is>
      </c>
      <c r="G348" t="inlineStr">
        <is>
          <t>activated carbon, granular</t>
        </is>
      </c>
      <c r="I348" t="n">
        <v>628</v>
      </c>
      <c r="J348" s="11">
        <f>J344</f>
        <v>0.26815960525691518</v>
      </c>
      <c r="K348" t="n">
        <v>2</v>
      </c>
      <c r="L348" s="3">
        <f>LN(B348)</f>
        <v>-8.6750038320749816</v>
      </c>
      <c r="M348" t="n">
        <v>1</v>
      </c>
      <c r="N348" t="n">
        <v>1</v>
      </c>
      <c r="O348" t="n">
        <v>1</v>
      </c>
      <c r="P348" t="n">
        <v>1.02</v>
      </c>
      <c r="Q348" t="n">
        <v>1.2</v>
      </c>
      <c r="R348" t="n">
        <v>1</v>
      </c>
      <c r="S348" t="n">
        <v>1.05</v>
      </c>
      <c r="T348">
        <f>LN(SQRT(EXP(
SQRT(
+POWER(LN(M348),2)
+POWER(LN(N348),2)
+POWER(LN(O348),2)
+POWER(LN(P348),2)
+POWER(LN(Q348),2)
+POWER(LN(R348),2)
+POWER(LN(S348),2)
)
)))</f>
        <v>9.4886477223156879E-2</v>
      </c>
    </row>
    <row r="349">
      <c r="A349" t="inlineStr">
        <is>
          <t>market for ammonia, anhydrous, liquid</t>
        </is>
      </c>
      <c r="B349">
        <f>unallocated!B129/I349*J349</f>
        <v>4.1846562603786123E-4</v>
      </c>
      <c r="C349" t="inlineStr">
        <is>
          <t>RER</t>
        </is>
      </c>
      <c r="D349" t="inlineStr">
        <is>
          <t>kilogram</t>
        </is>
      </c>
      <c r="F349" t="inlineStr">
        <is>
          <t>technosphere</t>
        </is>
      </c>
      <c r="G349" t="inlineStr">
        <is>
          <t>ammonia, anhydrous, liquid</t>
        </is>
      </c>
      <c r="H349" t="inlineStr">
        <is>
          <t>100% liquid ammonia. In original publication, it is dilluated to 23.5% in water. We discount the original value by 75%.</t>
        </is>
      </c>
      <c r="I349" t="n">
        <v>628</v>
      </c>
      <c r="J349" s="11">
        <f>J344</f>
        <v>0.26815960525691518</v>
      </c>
      <c r="K349" t="n">
        <v>2</v>
      </c>
      <c r="L349" s="3">
        <f>LN(B349)</f>
        <v>-7.7789158075183469</v>
      </c>
      <c r="M349" t="n">
        <v>1</v>
      </c>
      <c r="N349" t="n">
        <v>1</v>
      </c>
      <c r="O349" t="n">
        <v>1</v>
      </c>
      <c r="P349" t="n">
        <v>1.02</v>
      </c>
      <c r="Q349" t="n">
        <v>1.2</v>
      </c>
      <c r="R349" t="n">
        <v>1</v>
      </c>
      <c r="S349" t="n">
        <v>1.05</v>
      </c>
      <c r="T349">
        <f>LN(SQRT(EXP(
SQRT(
+POWER(LN(M349),2)
+POWER(LN(N349),2)
+POWER(LN(O349),2)
+POWER(LN(P349),2)
+POWER(LN(Q349),2)
+POWER(LN(R349),2)
+POWER(LN(S349),2)
)
)))</f>
        <v>9.4886477223156879E-2</v>
      </c>
    </row>
    <row r="350">
      <c r="A350" t="inlineStr">
        <is>
          <t>market for tap water</t>
        </is>
      </c>
      <c r="B350">
        <f>unallocated!B130/I350*J350</f>
        <v>1.2895573373819806E-3</v>
      </c>
      <c r="C350" t="inlineStr">
        <is>
          <t>Europe without Switzerland</t>
        </is>
      </c>
      <c r="D350" t="inlineStr">
        <is>
          <t>kilogram</t>
        </is>
      </c>
      <c r="F350" t="inlineStr">
        <is>
          <t>technosphere</t>
        </is>
      </c>
      <c r="G350" t="inlineStr">
        <is>
          <t>tap water</t>
        </is>
      </c>
      <c r="H350" t="inlineStr">
        <is>
          <t>Used to dilute the ammonia.</t>
        </is>
      </c>
      <c r="I350" t="n">
        <v>628</v>
      </c>
      <c r="J350" s="11">
        <f>J344</f>
        <v>0.26815960525691518</v>
      </c>
      <c r="K350" t="n">
        <v>2</v>
      </c>
      <c r="L350" s="3">
        <f>LN(B350)</f>
        <v>-6.6534562688140495</v>
      </c>
      <c r="M350" t="n">
        <v>1</v>
      </c>
      <c r="N350" t="n">
        <v>1</v>
      </c>
      <c r="O350" t="n">
        <v>1</v>
      </c>
      <c r="P350" t="n">
        <v>1.02</v>
      </c>
      <c r="Q350" t="n">
        <v>1.2</v>
      </c>
      <c r="R350" t="n">
        <v>1</v>
      </c>
      <c r="S350" t="n">
        <v>1.05</v>
      </c>
      <c r="T350">
        <f>LN(SQRT(EXP(
SQRT(
+POWER(LN(M350),2)
+POWER(LN(N350),2)
+POWER(LN(O350),2)
+POWER(LN(P350),2)
+POWER(LN(Q350),2)
+POWER(LN(R350),2)
+POWER(LN(S350),2)
)
)))</f>
        <v>9.4886477223156879E-2</v>
      </c>
    </row>
    <row r="351">
      <c r="A351" t="inlineStr">
        <is>
          <t>market for calcium carbonate, precipitated</t>
        </is>
      </c>
      <c r="B351">
        <f>unallocated!B131/I351*J351</f>
        <v>2.9890401859847229E-3</v>
      </c>
      <c r="C351" t="inlineStr">
        <is>
          <t>RER</t>
        </is>
      </c>
      <c r="D351" t="inlineStr">
        <is>
          <t>kilogram</t>
        </is>
      </c>
      <c r="F351" t="inlineStr">
        <is>
          <t>technosphere</t>
        </is>
      </c>
      <c r="G351" t="inlineStr">
        <is>
          <t>calcium carbonate, precipitated</t>
        </is>
      </c>
      <c r="I351" t="n">
        <v>628</v>
      </c>
      <c r="J351" s="11">
        <f>J344</f>
        <v>0.26815960525691518</v>
      </c>
      <c r="K351" t="n">
        <v>0</v>
      </c>
      <c r="L351" s="3" t="n"/>
    </row>
    <row r="352">
      <c r="A352" t="inlineStr">
        <is>
          <t>market for iron(III) chloride, without water, in 40% solution state</t>
        </is>
      </c>
      <c r="B352">
        <f>unallocated!B132/I352*J352</f>
        <v>2.1350287042748027E-5</v>
      </c>
      <c r="C352" t="inlineStr">
        <is>
          <t>GLO</t>
        </is>
      </c>
      <c r="D352" t="inlineStr">
        <is>
          <t>kilogram</t>
        </is>
      </c>
      <c r="F352" t="inlineStr">
        <is>
          <t>technosphere</t>
        </is>
      </c>
      <c r="G352" t="inlineStr">
        <is>
          <t>iron(III) chloride, without water, in 40% solution state</t>
        </is>
      </c>
      <c r="I352" t="n">
        <v>628</v>
      </c>
      <c r="J352" s="11">
        <f>J344</f>
        <v>0.26815960525691518</v>
      </c>
      <c r="K352" t="n">
        <v>0</v>
      </c>
      <c r="L352" s="3" t="n"/>
    </row>
    <row r="353">
      <c r="A353" t="inlineStr">
        <is>
          <t>market for lime, hydrated, packed</t>
        </is>
      </c>
      <c r="B353">
        <f>unallocated!B133/I353*J353</f>
        <v>0</v>
      </c>
      <c r="C353" t="inlineStr">
        <is>
          <t>RER</t>
        </is>
      </c>
      <c r="D353" t="inlineStr">
        <is>
          <t>kilogram</t>
        </is>
      </c>
      <c r="F353" t="inlineStr">
        <is>
          <t>technosphere</t>
        </is>
      </c>
      <c r="G353" t="inlineStr">
        <is>
          <t>lime, hydrated, packed</t>
        </is>
      </c>
      <c r="I353" t="n">
        <v>628</v>
      </c>
      <c r="J353" s="11">
        <f>J344</f>
        <v>0.26815960525691518</v>
      </c>
      <c r="K353" t="n">
        <v>0</v>
      </c>
      <c r="L353" s="3" t="n"/>
    </row>
    <row r="354">
      <c r="A354" t="inlineStr">
        <is>
          <t>market for sodium hydroxide, without water, in 50% solution state</t>
        </is>
      </c>
      <c r="B354">
        <f>unallocated!B134/I354*J354</f>
        <v>1.0675143521374012E-4</v>
      </c>
      <c r="C354" t="inlineStr">
        <is>
          <t>RER</t>
        </is>
      </c>
      <c r="D354" t="inlineStr">
        <is>
          <t>kilogram</t>
        </is>
      </c>
      <c r="F354" t="inlineStr">
        <is>
          <t>technosphere</t>
        </is>
      </c>
      <c r="G354" t="inlineStr">
        <is>
          <t>sodium hydroxide, without water, in 50% solution state</t>
        </is>
      </c>
      <c r="H354" t="inlineStr">
        <is>
          <t>50% liquid ammonia. In original publication, it is dilluated to 27% in water. We discount the original value by 50%.</t>
        </is>
      </c>
      <c r="I354" t="n">
        <v>628</v>
      </c>
      <c r="J354" s="11">
        <f>J344</f>
        <v>0.26815960525691518</v>
      </c>
      <c r="K354" t="n">
        <v>0</v>
      </c>
      <c r="L354" s="3" t="n"/>
    </row>
    <row r="355">
      <c r="A355" t="inlineStr">
        <is>
          <t>market for monoethanolamine</t>
        </is>
      </c>
      <c r="B355">
        <f>unallocated!B135/I355*J355</f>
        <v>0</v>
      </c>
      <c r="C355" t="inlineStr">
        <is>
          <t>GLO</t>
        </is>
      </c>
      <c r="D355" t="inlineStr">
        <is>
          <t>kilogram</t>
        </is>
      </c>
      <c r="F355" t="inlineStr">
        <is>
          <t>technosphere</t>
        </is>
      </c>
      <c r="G355" t="inlineStr">
        <is>
          <t>monoethanolamine</t>
        </is>
      </c>
      <c r="I355" t="n">
        <v>628</v>
      </c>
      <c r="J355" s="11">
        <f>J344</f>
        <v>0.26815960525691518</v>
      </c>
      <c r="K355" t="n">
        <v>0</v>
      </c>
      <c r="L355" s="3" t="n"/>
    </row>
    <row r="356">
      <c r="A356" t="inlineStr">
        <is>
          <t>municipal waste incineration facility construction</t>
        </is>
      </c>
      <c r="B356">
        <f>unallocated!B136/I356*J356</f>
        <v>1.0675143521374012E-10</v>
      </c>
      <c r="C356" t="inlineStr">
        <is>
          <t>CH</t>
        </is>
      </c>
      <c r="D356" t="inlineStr">
        <is>
          <t>unit</t>
        </is>
      </c>
      <c r="F356" t="inlineStr">
        <is>
          <t>technosphere</t>
        </is>
      </c>
      <c r="G356" t="inlineStr">
        <is>
          <t>municipal waste incineration facility</t>
        </is>
      </c>
      <c r="H356" t="inlineStr">
        <is>
          <t>Lifetime: 4'000'000 tons MSWI treated.</t>
        </is>
      </c>
      <c r="I356" t="n">
        <v>628</v>
      </c>
      <c r="J356" s="11">
        <f>J344</f>
        <v>0.26815960525691518</v>
      </c>
      <c r="K356" t="n">
        <v>2</v>
      </c>
      <c r="L356" s="3">
        <f>LN(B356)</f>
        <v>-22.960518019284994</v>
      </c>
      <c r="M356" t="n">
        <v>1</v>
      </c>
      <c r="N356" t="n">
        <v>1</v>
      </c>
      <c r="O356" t="n">
        <v>1</v>
      </c>
      <c r="P356" t="n">
        <v>1.02</v>
      </c>
      <c r="Q356" t="n">
        <v>1.2</v>
      </c>
      <c r="R356" t="n">
        <v>1</v>
      </c>
      <c r="S356" t="n">
        <v>3</v>
      </c>
      <c r="T356">
        <f>LN(SQRT(EXP(
SQRT(
+POWER(LN(M356),2)
+POWER(LN(N356),2)
+POWER(LN(O356),2)
+POWER(LN(P356),2)
+POWER(LN(Q356),2)
+POWER(LN(R356),2)
+POWER(LN(S356),2)
)
)))</f>
        <v>0.5569071410325479</v>
      </c>
    </row>
    <row r="357">
      <c r="A357" t="inlineStr">
        <is>
          <t>Water, cooling, unspecified natural origin</t>
        </is>
      </c>
      <c r="B357">
        <f>unallocated!B137/I357*J357</f>
        <v>1.2810172225648814E-4</v>
      </c>
      <c r="D357" t="inlineStr">
        <is>
          <t>cubic meter</t>
        </is>
      </c>
      <c r="E357" t="inlineStr">
        <is>
          <t>natural resource::in water</t>
        </is>
      </c>
      <c r="F357" t="inlineStr">
        <is>
          <t>biosphere</t>
        </is>
      </c>
      <c r="I357" t="n">
        <v>628</v>
      </c>
      <c r="J357" s="11">
        <f>J344</f>
        <v>0.26815960525691518</v>
      </c>
      <c r="K357" t="n">
        <v>2</v>
      </c>
      <c r="L357" s="3">
        <f>LN(B357)</f>
        <v>-8.9626859045267633</v>
      </c>
      <c r="M357" t="n">
        <v>1</v>
      </c>
      <c r="N357" t="n">
        <v>1</v>
      </c>
      <c r="O357" t="n">
        <v>1</v>
      </c>
      <c r="P357" t="n">
        <v>1.02</v>
      </c>
      <c r="Q357" t="n">
        <v>1.2</v>
      </c>
      <c r="R357" t="n">
        <v>1</v>
      </c>
      <c r="S357" t="n">
        <v>1.05</v>
      </c>
      <c r="T357">
        <f>LN(SQRT(EXP(
SQRT(
+POWER(LN(M357),2)
+POWER(LN(N357),2)
+POWER(LN(O357),2)
+POWER(LN(P357),2)
+POWER(LN(Q357),2)
+POWER(LN(R357),2)
+POWER(LN(S357),2)
)
)))</f>
        <v>9.4886477223156879E-2</v>
      </c>
    </row>
    <row r="358">
      <c r="A358" t="inlineStr">
        <is>
          <t>Sulfur dioxide</t>
        </is>
      </c>
      <c r="B358">
        <f>unallocated!B138/I358*J358</f>
        <v>2.3912321487877786E-5</v>
      </c>
      <c r="D358" t="inlineStr">
        <is>
          <t>kilogram</t>
        </is>
      </c>
      <c r="E358" t="inlineStr">
        <is>
          <t>air::urban air close to ground</t>
        </is>
      </c>
      <c r="F358" t="inlineStr">
        <is>
          <t>biosphere</t>
        </is>
      </c>
      <c r="I358" t="n">
        <v>628</v>
      </c>
      <c r="J358" s="11">
        <f>J344</f>
        <v>0.26815960525691518</v>
      </c>
      <c r="K358" t="n">
        <v>2</v>
      </c>
      <c r="L358" s="3">
        <f>LN(B358)</f>
        <v>-10.641116688447815</v>
      </c>
      <c r="M358" t="n">
        <v>1</v>
      </c>
      <c r="N358" t="n">
        <v>1</v>
      </c>
      <c r="O358" t="n">
        <v>1</v>
      </c>
      <c r="P358" t="n">
        <v>1.02</v>
      </c>
      <c r="Q358" t="n">
        <v>1.2</v>
      </c>
      <c r="R358" t="n">
        <v>1</v>
      </c>
      <c r="S358" t="n">
        <v>1.05</v>
      </c>
      <c r="T358">
        <f>LN(SQRT(EXP(
SQRT(
+POWER(LN(M358),2)
+POWER(LN(N358),2)
+POWER(LN(O358),2)
+POWER(LN(P358),2)
+POWER(LN(Q358),2)
+POWER(LN(R358),2)
+POWER(LN(S358),2)
)
)))</f>
        <v>9.4886477223156879E-2</v>
      </c>
    </row>
    <row r="359">
      <c r="A359" t="inlineStr">
        <is>
          <t>Hydrochloric acid</t>
        </is>
      </c>
      <c r="B359">
        <f>unallocated!B139/I359*J359</f>
        <v>2.562034445129763E-6</v>
      </c>
      <c r="D359" t="inlineStr">
        <is>
          <t>kilogram</t>
        </is>
      </c>
      <c r="E359" t="inlineStr">
        <is>
          <t>air</t>
        </is>
      </c>
      <c r="F359" t="inlineStr">
        <is>
          <t>biosphere</t>
        </is>
      </c>
      <c r="I359" t="n">
        <v>628</v>
      </c>
      <c r="J359" s="11">
        <f>J344</f>
        <v>0.26815960525691518</v>
      </c>
      <c r="K359" t="n">
        <v>2</v>
      </c>
      <c r="L359" s="3">
        <f>LN(B359)</f>
        <v>-12.87470890995491</v>
      </c>
      <c r="M359" t="n">
        <v>1</v>
      </c>
      <c r="N359" t="n">
        <v>1</v>
      </c>
      <c r="O359" t="n">
        <v>1</v>
      </c>
      <c r="P359" t="n">
        <v>1.02</v>
      </c>
      <c r="Q359" t="n">
        <v>1.2</v>
      </c>
      <c r="R359" t="n">
        <v>1</v>
      </c>
      <c r="S359" t="n">
        <v>1.5</v>
      </c>
      <c r="T359">
        <f>LN(SQRT(EXP(
SQRT(
+POWER(LN(M359),2)
+POWER(LN(N359),2)
+POWER(LN(O359),2)
+POWER(LN(P359),2)
+POWER(LN(Q359),2)
+POWER(LN(R359),2)
+POWER(LN(S359),2)
)
)))</f>
        <v>0.22250575723605889</v>
      </c>
    </row>
    <row r="360">
      <c r="A360" t="inlineStr">
        <is>
          <t>Nitrogen oxides</t>
        </is>
      </c>
      <c r="B360">
        <f>unallocated!B140/I360*J360</f>
        <v>2.8908288655880827E-4</v>
      </c>
      <c r="D360" t="inlineStr">
        <is>
          <t>kilogram</t>
        </is>
      </c>
      <c r="E360" t="inlineStr">
        <is>
          <t>air::urban air close to ground</t>
        </is>
      </c>
      <c r="F360" t="inlineStr">
        <is>
          <t>biosphere</t>
        </is>
      </c>
      <c r="I360" t="n">
        <v>628</v>
      </c>
      <c r="J360" s="11">
        <f>J344</f>
        <v>0.26815960525691518</v>
      </c>
      <c r="K360" t="n">
        <v>2</v>
      </c>
      <c r="L360" s="3">
        <f>LN(B360)</f>
        <v>-8.1487971062706901</v>
      </c>
      <c r="M360" t="n">
        <v>1</v>
      </c>
      <c r="N360" t="n">
        <v>1</v>
      </c>
      <c r="O360" t="n">
        <v>1</v>
      </c>
      <c r="P360" t="n">
        <v>1.02</v>
      </c>
      <c r="Q360" t="n">
        <v>1.2</v>
      </c>
      <c r="R360" t="n">
        <v>1</v>
      </c>
      <c r="S360" t="n">
        <v>1.5</v>
      </c>
      <c r="T360">
        <f>LN(SQRT(EXP(
SQRT(
+POWER(LN(M360),2)
+POWER(LN(N360),2)
+POWER(LN(O360),2)
+POWER(LN(P360),2)
+POWER(LN(Q360),2)
+POWER(LN(R360),2)
+POWER(LN(S360),2)
)
)))</f>
        <v>0.22250575723605889</v>
      </c>
    </row>
    <row r="361">
      <c r="A361" t="inlineStr">
        <is>
          <t>Ammonia</t>
        </is>
      </c>
      <c r="B361">
        <f>unallocated!B141/I361*J361</f>
        <v>1.2810172225648815E-6</v>
      </c>
      <c r="D361" t="inlineStr">
        <is>
          <t>kilogram</t>
        </is>
      </c>
      <c r="E361" t="inlineStr">
        <is>
          <t>air::urban air close to ground</t>
        </is>
      </c>
      <c r="F361" t="inlineStr">
        <is>
          <t>biosphere</t>
        </is>
      </c>
      <c r="I361" t="n">
        <v>628</v>
      </c>
      <c r="J361" s="11">
        <f>J344</f>
        <v>0.26815960525691518</v>
      </c>
      <c r="K361" t="n">
        <v>2</v>
      </c>
      <c r="L361" s="3">
        <f>LN(B361)</f>
        <v>-13.567856090514855</v>
      </c>
      <c r="M361" t="n">
        <v>1</v>
      </c>
      <c r="N361" t="n">
        <v>1</v>
      </c>
      <c r="O361" t="n">
        <v>1</v>
      </c>
      <c r="P361" t="n">
        <v>1.02</v>
      </c>
      <c r="Q361" t="n">
        <v>1.2</v>
      </c>
      <c r="R361" t="n">
        <v>1</v>
      </c>
      <c r="S361" t="n">
        <v>1.5</v>
      </c>
      <c r="T361">
        <f>LN(SQRT(EXP(
SQRT(
+POWER(LN(M361),2)
+POWER(LN(N361),2)
+POWER(LN(O361),2)
+POWER(LN(P361),2)
+POWER(LN(Q361),2)
+POWER(LN(R361),2)
+POWER(LN(S361),2)
)
)))</f>
        <v>0.22250575723605889</v>
      </c>
    </row>
    <row r="362">
      <c r="A362" t="inlineStr">
        <is>
          <t>Particulate Matter, &lt; 2.5 um</t>
        </is>
      </c>
      <c r="B362">
        <f>unallocated!B142/I362*J362</f>
        <v>2.562034445129763E-6</v>
      </c>
      <c r="D362" t="inlineStr">
        <is>
          <t>kilogram</t>
        </is>
      </c>
      <c r="E362" t="inlineStr">
        <is>
          <t>air::urban air close to ground</t>
        </is>
      </c>
      <c r="F362" t="inlineStr">
        <is>
          <t>biosphere</t>
        </is>
      </c>
      <c r="I362" t="n">
        <v>628</v>
      </c>
      <c r="J362" s="11">
        <f>J344</f>
        <v>0.26815960525691518</v>
      </c>
      <c r="K362" t="n">
        <v>2</v>
      </c>
      <c r="L362" s="3">
        <f>LN(B362)</f>
        <v>-12.87470890995491</v>
      </c>
      <c r="M362" t="n">
        <v>1</v>
      </c>
      <c r="N362" t="n">
        <v>1</v>
      </c>
      <c r="O362" t="n">
        <v>1</v>
      </c>
      <c r="P362" t="n">
        <v>1.02</v>
      </c>
      <c r="Q362" t="n">
        <v>1.2</v>
      </c>
      <c r="R362" t="n">
        <v>1</v>
      </c>
      <c r="S362" t="n">
        <v>3</v>
      </c>
      <c r="T362">
        <f>LN(SQRT(EXP(
SQRT(
+POWER(LN(M362),2)
+POWER(LN(N362),2)
+POWER(LN(O362),2)
+POWER(LN(P362),2)
+POWER(LN(Q362),2)
+POWER(LN(R362),2)
+POWER(LN(S362),2)
)
)))</f>
        <v>0.5569071410325479</v>
      </c>
    </row>
    <row r="363">
      <c r="A363" t="inlineStr">
        <is>
          <t>Mercury II</t>
        </is>
      </c>
      <c r="B363">
        <f>unallocated!B143/I363*J363</f>
        <v>9.821132039664091E-9</v>
      </c>
      <c r="D363" t="inlineStr">
        <is>
          <t>kilogram</t>
        </is>
      </c>
      <c r="E363" t="inlineStr">
        <is>
          <t>air::urban air close to ground</t>
        </is>
      </c>
      <c r="F363" t="inlineStr">
        <is>
          <t>biosphere</t>
        </is>
      </c>
      <c r="I363" t="n">
        <v>628</v>
      </c>
      <c r="J363" s="11">
        <f>J344</f>
        <v>0.26815960525691518</v>
      </c>
      <c r="K363" t="n">
        <v>2</v>
      </c>
      <c r="L363" s="3">
        <f>LN(B363)</f>
        <v>-18.438729442235953</v>
      </c>
      <c r="M363" t="n">
        <v>1</v>
      </c>
      <c r="N363" t="n">
        <v>1</v>
      </c>
      <c r="O363" t="n">
        <v>1</v>
      </c>
      <c r="P363" t="n">
        <v>1.02</v>
      </c>
      <c r="Q363" t="n">
        <v>1.2</v>
      </c>
      <c r="R363" t="n">
        <v>1</v>
      </c>
      <c r="S363" t="n">
        <v>5</v>
      </c>
      <c r="T363">
        <f>LN(SQRT(EXP(
SQRT(
+POWER(LN(M363),2)
+POWER(LN(N363),2)
+POWER(LN(O363),2)
+POWER(LN(P363),2)
+POWER(LN(Q363),2)
+POWER(LN(R363),2)
+POWER(LN(S363),2)
)
)))</f>
        <v>0.80992649174166365</v>
      </c>
    </row>
    <row r="364">
      <c r="A364" t="inlineStr">
        <is>
          <t>Lead II</t>
        </is>
      </c>
      <c r="B364">
        <f>unallocated!B144/I364*J364</f>
        <v>2.3912321487877788E-8</v>
      </c>
      <c r="D364" t="inlineStr">
        <is>
          <t>kilogram</t>
        </is>
      </c>
      <c r="E364" t="inlineStr">
        <is>
          <t>air::urban air close to ground</t>
        </is>
      </c>
      <c r="F364" t="inlineStr">
        <is>
          <t>biosphere</t>
        </is>
      </c>
      <c r="I364" t="n">
        <v>628</v>
      </c>
      <c r="J364" s="11">
        <f>J344</f>
        <v>0.26815960525691518</v>
      </c>
      <c r="K364" t="n">
        <v>2</v>
      </c>
      <c r="L364" s="3">
        <f>LN(B364)</f>
        <v>-17.548871967429953</v>
      </c>
      <c r="M364" t="n">
        <v>1</v>
      </c>
      <c r="N364" t="n">
        <v>1</v>
      </c>
      <c r="O364" t="n">
        <v>1</v>
      </c>
      <c r="P364" t="n">
        <v>1.02</v>
      </c>
      <c r="Q364" t="n">
        <v>1.2</v>
      </c>
      <c r="R364" t="n">
        <v>1</v>
      </c>
      <c r="S364" t="n">
        <v>5</v>
      </c>
      <c r="T364">
        <f>LN(SQRT(EXP(
SQRT(
+POWER(LN(M364),2)
+POWER(LN(N364),2)
+POWER(LN(O364),2)
+POWER(LN(P364),2)
+POWER(LN(Q364),2)
+POWER(LN(R364),2)
+POWER(LN(S364),2)
)
)))</f>
        <v>0.80992649174166365</v>
      </c>
    </row>
    <row r="365">
      <c r="A365" t="inlineStr">
        <is>
          <t>Cadmium II</t>
        </is>
      </c>
      <c r="B365">
        <f>unallocated!B145/I365*J365</f>
        <v>4.6970631494045657E-9</v>
      </c>
      <c r="D365" t="inlineStr">
        <is>
          <t>kilogram</t>
        </is>
      </c>
      <c r="E365" t="inlineStr">
        <is>
          <t>air::urban air close to ground</t>
        </is>
      </c>
      <c r="F365" t="inlineStr">
        <is>
          <t>biosphere</t>
        </is>
      </c>
      <c r="I365" t="n">
        <v>628</v>
      </c>
      <c r="J365" s="11">
        <f>J344</f>
        <v>0.26815960525691518</v>
      </c>
      <c r="K365" t="n">
        <v>2</v>
      </c>
      <c r="L365" s="3">
        <f>LN(B365)</f>
        <v>-19.17632838536673</v>
      </c>
      <c r="M365" t="n">
        <v>1</v>
      </c>
      <c r="N365" t="n">
        <v>1</v>
      </c>
      <c r="O365" t="n">
        <v>1</v>
      </c>
      <c r="P365" t="n">
        <v>1.02</v>
      </c>
      <c r="Q365" t="n">
        <v>1.2</v>
      </c>
      <c r="R365" t="n">
        <v>1</v>
      </c>
      <c r="S365" t="n">
        <v>5</v>
      </c>
      <c r="T365">
        <f>LN(SQRT(EXP(
SQRT(
+POWER(LN(M365),2)
+POWER(LN(N365),2)
+POWER(LN(O365),2)
+POWER(LN(P365),2)
+POWER(LN(Q365),2)
+POWER(LN(R365),2)
+POWER(LN(S365),2)
)
)))</f>
        <v>0.80992649174166365</v>
      </c>
    </row>
    <row r="366">
      <c r="A366" t="inlineStr">
        <is>
          <t>Arsenic ion</t>
        </is>
      </c>
      <c r="B366">
        <f>unallocated!B146/I366*J366</f>
        <v>2.5620344451297627E-9</v>
      </c>
      <c r="D366" t="inlineStr">
        <is>
          <t>kilogram</t>
        </is>
      </c>
      <c r="E366" t="inlineStr">
        <is>
          <t>air::urban air close to ground</t>
        </is>
      </c>
      <c r="F366" t="inlineStr">
        <is>
          <t>biosphere</t>
        </is>
      </c>
      <c r="I366" t="n">
        <v>628</v>
      </c>
      <c r="J366" s="11">
        <f>J344</f>
        <v>0.26815960525691518</v>
      </c>
      <c r="K366" t="n">
        <v>2</v>
      </c>
      <c r="L366" s="3">
        <f>LN(B366)</f>
        <v>-19.782464188937048</v>
      </c>
      <c r="M366" t="n">
        <v>1</v>
      </c>
      <c r="N366" t="n">
        <v>1</v>
      </c>
      <c r="O366" t="n">
        <v>1</v>
      </c>
      <c r="P366" t="n">
        <v>1.02</v>
      </c>
      <c r="Q366" t="n">
        <v>1.2</v>
      </c>
      <c r="R366" t="n">
        <v>1</v>
      </c>
      <c r="S366" t="n">
        <v>5</v>
      </c>
      <c r="T366">
        <f>LN(SQRT(EXP(
SQRT(
+POWER(LN(M366),2)
+POWER(LN(N366),2)
+POWER(LN(O366),2)
+POWER(LN(P366),2)
+POWER(LN(Q366),2)
+POWER(LN(R366),2)
+POWER(LN(S366),2)
)
)))</f>
        <v>0.80992649174166365</v>
      </c>
    </row>
    <row r="367">
      <c r="A367" t="inlineStr">
        <is>
          <t>Dioxins, measured as 2,3,7,8-tetrachlorodibenzo-p-dioxin</t>
        </is>
      </c>
      <c r="B367">
        <f>unallocated!B147/I367*J367</f>
        <v>4.6970631494045656E-14</v>
      </c>
      <c r="D367" t="inlineStr">
        <is>
          <t>kilogram</t>
        </is>
      </c>
      <c r="E367" t="inlineStr">
        <is>
          <t>air::urban air close to ground</t>
        </is>
      </c>
      <c r="F367" t="inlineStr">
        <is>
          <t>biosphere</t>
        </is>
      </c>
      <c r="I367" t="n">
        <v>628</v>
      </c>
      <c r="J367" s="11">
        <f>J344</f>
        <v>0.26815960525691518</v>
      </c>
      <c r="K367" t="n">
        <v>2</v>
      </c>
      <c r="L367" s="3">
        <f>LN(B367)</f>
        <v>-30.689253850336961</v>
      </c>
      <c r="M367" t="n">
        <v>1</v>
      </c>
      <c r="N367" t="n">
        <v>1</v>
      </c>
      <c r="O367" t="n">
        <v>1</v>
      </c>
      <c r="P367" t="n">
        <v>1.02</v>
      </c>
      <c r="Q367" t="n">
        <v>1.2</v>
      </c>
      <c r="R367" t="n">
        <v>1</v>
      </c>
      <c r="S367" t="n">
        <v>5</v>
      </c>
      <c r="T367">
        <f>LN(SQRT(EXP(
SQRT(
+POWER(LN(M367),2)
+POWER(LN(N367),2)
+POWER(LN(O367),2)
+POWER(LN(P367),2)
+POWER(LN(Q367),2)
+POWER(LN(R367),2)
+POWER(LN(S367),2)
)
)))</f>
        <v>0.80992649174166365</v>
      </c>
    </row>
    <row r="368">
      <c r="A368" t="inlineStr">
        <is>
          <t>Carbon dioxide, fossil</t>
        </is>
      </c>
      <c r="B368">
        <f>unallocated!B148/I368*J368</f>
        <v>0.15970014707975522</v>
      </c>
      <c r="D368" t="inlineStr">
        <is>
          <t>kilogram</t>
        </is>
      </c>
      <c r="E368" t="inlineStr">
        <is>
          <t>air::urban air close to ground</t>
        </is>
      </c>
      <c r="F368" t="inlineStr">
        <is>
          <t>biosphere</t>
        </is>
      </c>
      <c r="I368" t="n">
        <v>628</v>
      </c>
      <c r="J368" s="11">
        <f>J344</f>
        <v>0.26815960525691518</v>
      </c>
      <c r="K368" t="n">
        <v>2</v>
      </c>
      <c r="L368" s="3">
        <f>LN(B368)</f>
        <v>-1.8344573027862956</v>
      </c>
      <c r="M368" t="n">
        <v>1</v>
      </c>
      <c r="N368" t="n">
        <v>1</v>
      </c>
      <c r="O368" t="n">
        <v>1</v>
      </c>
      <c r="P368" t="n">
        <v>1.02</v>
      </c>
      <c r="Q368" t="n">
        <v>1.2</v>
      </c>
      <c r="R368" t="n">
        <v>1</v>
      </c>
      <c r="S368" t="n">
        <v>1.05</v>
      </c>
      <c r="T368">
        <f>LN(SQRT(EXP(
SQRT(
+POWER(LN(M368),2)
+POWER(LN(N368),2)
+POWER(LN(O368),2)
+POWER(LN(P368),2)
+POWER(LN(Q368),2)
+POWER(LN(R368),2)
+POWER(LN(S368),2)
)
)))</f>
        <v>9.4886477223156879E-2</v>
      </c>
    </row>
    <row r="369">
      <c r="A369" t="inlineStr">
        <is>
          <t>Carbon dioxide, non-fossil</t>
        </is>
      </c>
      <c r="B369">
        <f>unallocated!B149/I369*J369</f>
        <v>0.25364141006784652</v>
      </c>
      <c r="D369" t="inlineStr">
        <is>
          <t>kilogram</t>
        </is>
      </c>
      <c r="E369" t="inlineStr">
        <is>
          <t>air::urban air close to ground</t>
        </is>
      </c>
      <c r="F369" t="inlineStr">
        <is>
          <t>biosphere</t>
        </is>
      </c>
      <c r="I369" t="n">
        <v>628</v>
      </c>
      <c r="J369" s="11">
        <f>J344</f>
        <v>0.26815960525691518</v>
      </c>
      <c r="K369" t="n">
        <v>2</v>
      </c>
      <c r="L369" s="3">
        <f>LN(B369)</f>
        <v>-1.3718337808381826</v>
      </c>
      <c r="M369" t="n">
        <v>1</v>
      </c>
      <c r="N369" t="n">
        <v>1</v>
      </c>
      <c r="O369" t="n">
        <v>1</v>
      </c>
      <c r="P369" t="n">
        <v>1.02</v>
      </c>
      <c r="Q369" t="n">
        <v>1.2</v>
      </c>
      <c r="R369" t="n">
        <v>1</v>
      </c>
      <c r="S369" t="n">
        <v>1.05</v>
      </c>
      <c r="T369">
        <f>LN(SQRT(EXP(
SQRT(
+POWER(LN(M369),2)
+POWER(LN(N369),2)
+POWER(LN(O369),2)
+POWER(LN(P369),2)
+POWER(LN(Q369),2)
+POWER(LN(R369),2)
+POWER(LN(S369),2)
)
)))</f>
        <v>9.4886477223156879E-2</v>
      </c>
    </row>
    <row r="370"/>
    <row r="371">
      <c r="A371" s="1" t="inlineStr">
        <is>
          <t>Activity</t>
        </is>
      </c>
      <c r="B371" s="1" t="inlineStr">
        <is>
          <t>municipal waste incineration, at incineration plant, with wet air pollution control, without flue gas condensation, with electricity and heat recovery, energy allocation</t>
        </is>
      </c>
    </row>
    <row r="372">
      <c r="A372" t="inlineStr">
        <is>
          <t>location</t>
        </is>
      </c>
      <c r="B372" t="inlineStr">
        <is>
          <t>RER</t>
        </is>
      </c>
    </row>
    <row r="373">
      <c r="A373" t="inlineStr">
        <is>
          <t>production amount</t>
        </is>
      </c>
      <c r="B373" t="n">
        <v>1</v>
      </c>
    </row>
    <row r="374">
      <c r="A374" s="2" t="inlineStr">
        <is>
          <t>source</t>
        </is>
      </c>
      <c r="B374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375">
      <c r="A375" t="inlineStr">
        <is>
          <t>reference product</t>
        </is>
      </c>
      <c r="B375" t="inlineStr">
        <is>
          <t>heat, district or industrial, other than natural gas</t>
        </is>
      </c>
    </row>
    <row r="376">
      <c r="A376" t="inlineStr">
        <is>
          <t>type</t>
        </is>
      </c>
      <c r="B376" t="inlineStr">
        <is>
          <t>process</t>
        </is>
      </c>
    </row>
    <row r="377">
      <c r="A377" t="inlineStr">
        <is>
          <t>unit</t>
        </is>
      </c>
      <c r="B377" t="inlineStr">
        <is>
          <t>megajoule</t>
        </is>
      </c>
    </row>
    <row r="378">
      <c r="A378" t="inlineStr">
        <is>
          <t>comment</t>
        </is>
      </c>
      <c r="B378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628 kWh. Heat production per ton MSWI incinerated: 6'170 MJ.</t>
        </is>
      </c>
    </row>
    <row r="379">
      <c r="A379" s="1" t="inlineStr">
        <is>
          <t>Exchanges</t>
        </is>
      </c>
    </row>
    <row r="380">
      <c r="A380" s="7" t="inlineStr">
        <is>
          <t>name</t>
        </is>
      </c>
      <c r="B380" s="7" t="inlineStr">
        <is>
          <t>amount</t>
        </is>
      </c>
      <c r="C380" s="7" t="inlineStr">
        <is>
          <t>location</t>
        </is>
      </c>
      <c r="D380" s="7" t="inlineStr">
        <is>
          <t>unit</t>
        </is>
      </c>
      <c r="E380" s="7" t="inlineStr">
        <is>
          <t>categories</t>
        </is>
      </c>
      <c r="F380" s="7" t="inlineStr">
        <is>
          <t>type</t>
        </is>
      </c>
      <c r="G380" s="7" t="inlineStr">
        <is>
          <t>reference product</t>
        </is>
      </c>
      <c r="H380" s="7" t="inlineStr">
        <is>
          <t>comment</t>
        </is>
      </c>
      <c r="I380" s="7" t="inlineStr">
        <is>
          <t>normalization</t>
        </is>
      </c>
      <c r="J380" s="7" t="inlineStr">
        <is>
          <t>allocation</t>
        </is>
      </c>
      <c r="K380" s="7" t="inlineStr">
        <is>
          <t>uncertainty type</t>
        </is>
      </c>
      <c r="L380" s="7" t="inlineStr">
        <is>
          <t>loc</t>
        </is>
      </c>
      <c r="M380" s="1" t="inlineStr">
        <is>
          <t>u1</t>
        </is>
      </c>
      <c r="N380" s="1" t="inlineStr">
        <is>
          <t>u2</t>
        </is>
      </c>
      <c r="O380" s="1" t="inlineStr">
        <is>
          <t>u3</t>
        </is>
      </c>
      <c r="P380" s="1" t="inlineStr">
        <is>
          <t>u4</t>
        </is>
      </c>
      <c r="Q380" s="1" t="inlineStr">
        <is>
          <t>u5</t>
        </is>
      </c>
      <c r="R380" s="1" t="inlineStr">
        <is>
          <t>u6</t>
        </is>
      </c>
      <c r="S380" s="1" t="inlineStr">
        <is>
          <t>ub</t>
        </is>
      </c>
      <c r="T380" s="1" t="inlineStr">
        <is>
          <t>scale</t>
        </is>
      </c>
    </row>
    <row r="381">
      <c r="A381" t="inlineStr">
        <is>
          <t>municipal waste incineration, at incineration plant, with wet air pollution control, without flue gas condensation, with electricity and heat recovery, energy allocation</t>
        </is>
      </c>
      <c r="B381" t="n">
        <v>0</v>
      </c>
      <c r="C381" t="inlineStr">
        <is>
          <t>RER</t>
        </is>
      </c>
      <c r="D381" t="inlineStr">
        <is>
          <t>kilogram</t>
        </is>
      </c>
      <c r="F381" t="inlineStr">
        <is>
          <t>technosphere</t>
        </is>
      </c>
      <c r="G381" t="inlineStr">
        <is>
          <t>municipal solid waste</t>
        </is>
      </c>
      <c r="H381" t="inlineStr"/>
      <c r="I381" t="n">
        <v>6170</v>
      </c>
      <c r="J381" s="14">
        <f>INDEX('allocation keys'!$F$4:$H$28,MATCH('allocated (energy)'!$B$371,'allocation keys'!$B$4:$B$28,0),MATCH('allocated (energy)'!$B$375,'allocation keys'!$F$3:$H$3,0))</f>
        <v>0.73184039474308493</v>
      </c>
      <c r="K381" t="n">
        <v>0</v>
      </c>
      <c r="M381" s="5" t="n"/>
      <c r="N381" s="5" t="n"/>
      <c r="O381" s="5" t="n"/>
      <c r="P381" s="5" t="n"/>
      <c r="Q381" s="5" t="n"/>
      <c r="R381" s="5" t="n"/>
    </row>
    <row r="382">
      <c r="A382" t="inlineStr">
        <is>
          <t>municipal waste incineration, at incineration plant, with wet air pollution control, without flue gas condensation, with electricity and heat recovery, energy allocation</t>
        </is>
      </c>
      <c r="B382" s="6" t="n">
        <v>0</v>
      </c>
      <c r="C382" t="inlineStr">
        <is>
          <t>RER</t>
        </is>
      </c>
      <c r="D382" t="inlineStr">
        <is>
          <t>kilowatt hour</t>
        </is>
      </c>
      <c r="F382" t="inlineStr">
        <is>
          <t>technosphere</t>
        </is>
      </c>
      <c r="G382" t="inlineStr">
        <is>
          <t>electricity, medium voltage</t>
        </is>
      </c>
      <c r="H382" t="inlineStr"/>
      <c r="I382" t="n">
        <v>6170</v>
      </c>
      <c r="J382" s="11">
        <f>J381</f>
        <v>0.73184039474308493</v>
      </c>
      <c r="K382" t="n">
        <v>0</v>
      </c>
      <c r="L382" s="3" t="n"/>
    </row>
    <row r="383">
      <c r="A383" t="inlineStr">
        <is>
          <t>municipal waste incineration, at incineration plant, with wet air pollution control, without flue gas condensation, with electricity and heat recovery, energy allocation</t>
        </is>
      </c>
      <c r="B383" t="n">
        <v>1</v>
      </c>
      <c r="C383" t="inlineStr">
        <is>
          <t>RER</t>
        </is>
      </c>
      <c r="D383" t="inlineStr">
        <is>
          <t>megajoule</t>
        </is>
      </c>
      <c r="F383" t="inlineStr">
        <is>
          <t>production</t>
        </is>
      </c>
      <c r="G383" t="inlineStr">
        <is>
          <t>heat, district or industrial, other than natural gas</t>
        </is>
      </c>
      <c r="H383" t="inlineStr"/>
      <c r="I383" t="n">
        <v>6170</v>
      </c>
      <c r="J383" s="11">
        <f>J381</f>
        <v>0.73184039474308493</v>
      </c>
      <c r="K383" t="n">
        <v>0</v>
      </c>
      <c r="L383" s="3" t="n"/>
    </row>
    <row r="384">
      <c r="A384" t="inlineStr">
        <is>
          <t>market for diesel, low-sulfur</t>
        </is>
      </c>
      <c r="B384">
        <f>unallocated!B127/I384*J384</f>
        <v>1.0082079992408789E-5</v>
      </c>
      <c r="C384" t="inlineStr">
        <is>
          <t>Europe without Switzerland</t>
        </is>
      </c>
      <c r="D384" t="inlineStr">
        <is>
          <t>kilogram</t>
        </is>
      </c>
      <c r="F384" t="inlineStr">
        <is>
          <t>technosphere</t>
        </is>
      </c>
      <c r="G384" t="inlineStr">
        <is>
          <t>diesel, low-sulfur</t>
        </is>
      </c>
      <c r="H384" t="inlineStr">
        <is>
          <t>Diesel density: 0.85 kg/l</t>
        </is>
      </c>
      <c r="I384" t="n">
        <v>6170</v>
      </c>
      <c r="J384" s="11">
        <f>J381</f>
        <v>0.73184039474308493</v>
      </c>
      <c r="K384" t="n">
        <v>2</v>
      </c>
      <c r="L384" s="3">
        <f>LN(B384)</f>
        <v>-11.504750968154713</v>
      </c>
      <c r="M384" t="n">
        <v>1</v>
      </c>
      <c r="N384" t="n">
        <v>1</v>
      </c>
      <c r="O384" t="n">
        <v>1</v>
      </c>
      <c r="P384" t="n">
        <v>1.02</v>
      </c>
      <c r="Q384" t="n">
        <v>1.2</v>
      </c>
      <c r="R384" t="n">
        <v>1</v>
      </c>
      <c r="S384" t="n">
        <v>1.05</v>
      </c>
      <c r="T384">
        <f>LN(SQRT(EXP(
SQRT(
+POWER(LN(M384),2)
+POWER(LN(N384),2)
+POWER(LN(O384),2)
+POWER(LN(P384),2)
+POWER(LN(Q384),2)
+POWER(LN(R384),2)
+POWER(LN(S384),2)
)
)))</f>
        <v>9.4886477223156879E-2</v>
      </c>
    </row>
    <row r="385">
      <c r="A385" t="inlineStr">
        <is>
          <t>market for activated carbon, granular</t>
        </is>
      </c>
      <c r="B385">
        <f>unallocated!B128/I385*J385</f>
        <v>4.7445082317217825E-5</v>
      </c>
      <c r="C385" t="inlineStr">
        <is>
          <t>GLO</t>
        </is>
      </c>
      <c r="D385" t="inlineStr">
        <is>
          <t>kilogram</t>
        </is>
      </c>
      <c r="F385" t="inlineStr">
        <is>
          <t>technosphere</t>
        </is>
      </c>
      <c r="G385" t="inlineStr">
        <is>
          <t>activated carbon, granular</t>
        </is>
      </c>
      <c r="I385" t="n">
        <v>6170</v>
      </c>
      <c r="J385" s="11">
        <f>J381</f>
        <v>0.73184039474308493</v>
      </c>
      <c r="K385" t="n">
        <v>2</v>
      </c>
      <c r="L385" s="3">
        <f>LN(B385)</f>
        <v>-9.9559376775370474</v>
      </c>
      <c r="M385" t="n">
        <v>1</v>
      </c>
      <c r="N385" t="n">
        <v>1</v>
      </c>
      <c r="O385" t="n">
        <v>1</v>
      </c>
      <c r="P385" t="n">
        <v>1.02</v>
      </c>
      <c r="Q385" t="n">
        <v>1.2</v>
      </c>
      <c r="R385" t="n">
        <v>1</v>
      </c>
      <c r="S385" t="n">
        <v>1.05</v>
      </c>
      <c r="T385">
        <f>LN(SQRT(EXP(
SQRT(
+POWER(LN(M385),2)
+POWER(LN(N385),2)
+POWER(LN(O385),2)
+POWER(LN(P385),2)
+POWER(LN(Q385),2)
+POWER(LN(R385),2)
+POWER(LN(S385),2)
)
)))</f>
        <v>9.4886477223156879E-2</v>
      </c>
    </row>
    <row r="386">
      <c r="A386" t="inlineStr">
        <is>
          <t>market for ammonia, anhydrous, liquid</t>
        </is>
      </c>
      <c r="B386">
        <f>unallocated!B129/I386*J386</f>
        <v>1.1624045167718366E-4</v>
      </c>
      <c r="C386" t="inlineStr">
        <is>
          <t>RER</t>
        </is>
      </c>
      <c r="D386" t="inlineStr">
        <is>
          <t>kilogram</t>
        </is>
      </c>
      <c r="F386" t="inlineStr">
        <is>
          <t>technosphere</t>
        </is>
      </c>
      <c r="G386" t="inlineStr">
        <is>
          <t>ammonia, anhydrous, liquid</t>
        </is>
      </c>
      <c r="H386" t="inlineStr">
        <is>
          <t>100% liquid ammonia. In original publication, it is dilluated to 23.5% in water. We discount the original value by 75%.</t>
        </is>
      </c>
      <c r="I386" t="n">
        <v>6170</v>
      </c>
      <c r="J386" s="11">
        <f>J381</f>
        <v>0.73184039474308493</v>
      </c>
      <c r="K386" t="n">
        <v>2</v>
      </c>
      <c r="L386" s="3">
        <f>LN(B386)</f>
        <v>-9.0598496529804109</v>
      </c>
      <c r="M386" t="n">
        <v>1</v>
      </c>
      <c r="N386" t="n">
        <v>1</v>
      </c>
      <c r="O386" t="n">
        <v>1</v>
      </c>
      <c r="P386" t="n">
        <v>1.02</v>
      </c>
      <c r="Q386" t="n">
        <v>1.2</v>
      </c>
      <c r="R386" t="n">
        <v>1</v>
      </c>
      <c r="S386" t="n">
        <v>1.05</v>
      </c>
      <c r="T386">
        <f>LN(SQRT(EXP(
SQRT(
+POWER(LN(M386),2)
+POWER(LN(N386),2)
+POWER(LN(O386),2)
+POWER(LN(P386),2)
+POWER(LN(Q386),2)
+POWER(LN(R386),2)
+POWER(LN(S386),2)
)
)))</f>
        <v>9.4886477223156879E-2</v>
      </c>
    </row>
    <row r="387">
      <c r="A387" t="inlineStr">
        <is>
          <t>market for tap water</t>
        </is>
      </c>
      <c r="B387">
        <f>unallocated!B130/I387*J387</f>
        <v>3.5821037149499457E-4</v>
      </c>
      <c r="C387" t="inlineStr">
        <is>
          <t>Europe without Switzerland</t>
        </is>
      </c>
      <c r="D387" t="inlineStr">
        <is>
          <t>kilogram</t>
        </is>
      </c>
      <c r="F387" t="inlineStr">
        <is>
          <t>technosphere</t>
        </is>
      </c>
      <c r="G387" t="inlineStr">
        <is>
          <t>tap water</t>
        </is>
      </c>
      <c r="H387" t="inlineStr">
        <is>
          <t>Used to dilute the ammonia.</t>
        </is>
      </c>
      <c r="I387" t="n">
        <v>6170</v>
      </c>
      <c r="J387" s="11">
        <f>J381</f>
        <v>0.73184039474308493</v>
      </c>
      <c r="K387" t="n">
        <v>2</v>
      </c>
      <c r="L387" s="3">
        <f>LN(B387)</f>
        <v>-7.9343901142761135</v>
      </c>
      <c r="M387" t="n">
        <v>1</v>
      </c>
      <c r="N387" t="n">
        <v>1</v>
      </c>
      <c r="O387" t="n">
        <v>1</v>
      </c>
      <c r="P387" t="n">
        <v>1.02</v>
      </c>
      <c r="Q387" t="n">
        <v>1.2</v>
      </c>
      <c r="R387" t="n">
        <v>1</v>
      </c>
      <c r="S387" t="n">
        <v>1.05</v>
      </c>
      <c r="T387">
        <f>LN(SQRT(EXP(
SQRT(
+POWER(LN(M387),2)
+POWER(LN(N387),2)
+POWER(LN(O387),2)
+POWER(LN(P387),2)
+POWER(LN(Q387),2)
+POWER(LN(R387),2)
+POWER(LN(S387),2)
)
)))</f>
        <v>9.4886477223156879E-2</v>
      </c>
    </row>
    <row r="388">
      <c r="A388" t="inlineStr">
        <is>
          <t>market for calcium carbonate, precipitated</t>
        </is>
      </c>
      <c r="B388">
        <f>unallocated!B131/I388*J388</f>
        <v>8.3028894055131195E-4</v>
      </c>
      <c r="C388" t="inlineStr">
        <is>
          <t>RER</t>
        </is>
      </c>
      <c r="D388" t="inlineStr">
        <is>
          <t>kilogram</t>
        </is>
      </c>
      <c r="F388" t="inlineStr">
        <is>
          <t>technosphere</t>
        </is>
      </c>
      <c r="G388" t="inlineStr">
        <is>
          <t>calcium carbonate, precipitated</t>
        </is>
      </c>
      <c r="I388" t="n">
        <v>6170</v>
      </c>
      <c r="J388" s="11">
        <f>J381</f>
        <v>0.73184039474308493</v>
      </c>
      <c r="K388" t="n">
        <v>0</v>
      </c>
      <c r="L388" s="3" t="n"/>
    </row>
    <row r="389">
      <c r="A389" t="inlineStr">
        <is>
          <t>market for iron(III) chloride, without water, in 40% solution state</t>
        </is>
      </c>
      <c r="B389">
        <f>unallocated!B132/I389*J389</f>
        <v>5.9306352896522281E-6</v>
      </c>
      <c r="C389" t="inlineStr">
        <is>
          <t>GLO</t>
        </is>
      </c>
      <c r="D389" t="inlineStr">
        <is>
          <t>kilogram</t>
        </is>
      </c>
      <c r="F389" t="inlineStr">
        <is>
          <t>technosphere</t>
        </is>
      </c>
      <c r="G389" t="inlineStr">
        <is>
          <t>iron(III) chloride, without water, in 40% solution state</t>
        </is>
      </c>
      <c r="I389" t="n">
        <v>6170</v>
      </c>
      <c r="J389" s="11">
        <f>J381</f>
        <v>0.73184039474308493</v>
      </c>
      <c r="K389" t="n">
        <v>0</v>
      </c>
      <c r="L389" s="3" t="n"/>
    </row>
    <row r="390">
      <c r="A390" t="inlineStr">
        <is>
          <t>market for lime, hydrated, packed</t>
        </is>
      </c>
      <c r="B390">
        <f>unallocated!B133/I390*J390</f>
        <v>0</v>
      </c>
      <c r="C390" t="inlineStr">
        <is>
          <t>RER</t>
        </is>
      </c>
      <c r="D390" t="inlineStr">
        <is>
          <t>kilogram</t>
        </is>
      </c>
      <c r="F390" t="inlineStr">
        <is>
          <t>technosphere</t>
        </is>
      </c>
      <c r="G390" t="inlineStr">
        <is>
          <t>lime, hydrated, packed</t>
        </is>
      </c>
      <c r="I390" t="n">
        <v>6170</v>
      </c>
      <c r="J390" s="11">
        <f>J381</f>
        <v>0.73184039474308493</v>
      </c>
      <c r="K390" t="n">
        <v>0</v>
      </c>
      <c r="L390" s="3" t="n"/>
    </row>
    <row r="391">
      <c r="A391" t="inlineStr">
        <is>
          <t>market for sodium hydroxide, without water, in 50% solution state</t>
        </is>
      </c>
      <c r="B391">
        <f>unallocated!B134/I391*J391</f>
        <v>2.9653176448261139E-5</v>
      </c>
      <c r="C391" t="inlineStr">
        <is>
          <t>RER</t>
        </is>
      </c>
      <c r="D391" t="inlineStr">
        <is>
          <t>kilogram</t>
        </is>
      </c>
      <c r="F391" t="inlineStr">
        <is>
          <t>technosphere</t>
        </is>
      </c>
      <c r="G391" t="inlineStr">
        <is>
          <t>sodium hydroxide, without water, in 50% solution state</t>
        </is>
      </c>
      <c r="H391" t="inlineStr">
        <is>
          <t>50% liquid ammonia. In original publication, it is dilluated to 27% in water. We discount the original value by 50%.</t>
        </is>
      </c>
      <c r="I391" t="n">
        <v>6170</v>
      </c>
      <c r="J391" s="11">
        <f>J381</f>
        <v>0.73184039474308493</v>
      </c>
      <c r="K391" t="n">
        <v>0</v>
      </c>
      <c r="L391" s="3" t="n"/>
    </row>
    <row r="392">
      <c r="A392" t="inlineStr">
        <is>
          <t>market for monoethanolamine</t>
        </is>
      </c>
      <c r="B392">
        <f>unallocated!B135/I392*J392</f>
        <v>0</v>
      </c>
      <c r="C392" t="inlineStr">
        <is>
          <t>GLO</t>
        </is>
      </c>
      <c r="D392" t="inlineStr">
        <is>
          <t>kilogram</t>
        </is>
      </c>
      <c r="F392" t="inlineStr">
        <is>
          <t>technosphere</t>
        </is>
      </c>
      <c r="G392" t="inlineStr">
        <is>
          <t>monoethanolamine</t>
        </is>
      </c>
      <c r="I392" t="n">
        <v>6170</v>
      </c>
      <c r="J392" s="11">
        <f>J381</f>
        <v>0.73184039474308493</v>
      </c>
      <c r="K392" t="n">
        <v>0</v>
      </c>
      <c r="L392" s="3" t="n"/>
    </row>
    <row r="393">
      <c r="A393" t="inlineStr">
        <is>
          <t>municipal waste incineration facility construction</t>
        </is>
      </c>
      <c r="B393">
        <f>unallocated!B136/I393*J393</f>
        <v>2.9653176448261136E-11</v>
      </c>
      <c r="C393" t="inlineStr">
        <is>
          <t>CH</t>
        </is>
      </c>
      <c r="D393" t="inlineStr">
        <is>
          <t>unit</t>
        </is>
      </c>
      <c r="F393" t="inlineStr">
        <is>
          <t>technosphere</t>
        </is>
      </c>
      <c r="G393" t="inlineStr">
        <is>
          <t>municipal waste incineration facility</t>
        </is>
      </c>
      <c r="H393" t="inlineStr">
        <is>
          <t>Lifetime: 4'000'000 tons MSWI treated.</t>
        </is>
      </c>
      <c r="I393" t="n">
        <v>6170</v>
      </c>
      <c r="J393" s="11">
        <f>J381</f>
        <v>0.73184039474308493</v>
      </c>
      <c r="K393" t="n">
        <v>2</v>
      </c>
      <c r="L393" s="3">
        <f>LN(B393)</f>
        <v>-24.241451864747056</v>
      </c>
      <c r="M393" t="n">
        <v>1</v>
      </c>
      <c r="N393" t="n">
        <v>1</v>
      </c>
      <c r="O393" t="n">
        <v>1</v>
      </c>
      <c r="P393" t="n">
        <v>1.02</v>
      </c>
      <c r="Q393" t="n">
        <v>1.2</v>
      </c>
      <c r="R393" t="n">
        <v>1</v>
      </c>
      <c r="S393" t="n">
        <v>3</v>
      </c>
      <c r="T393">
        <f>LN(SQRT(EXP(
SQRT(
+POWER(LN(M393),2)
+POWER(LN(N393),2)
+POWER(LN(O393),2)
+POWER(LN(P393),2)
+POWER(LN(Q393),2)
+POWER(LN(R393),2)
+POWER(LN(S393),2)
)
)))</f>
        <v>0.5569071410325479</v>
      </c>
    </row>
    <row r="394">
      <c r="A394" t="inlineStr">
        <is>
          <t>Water, cooling, unspecified natural origin</t>
        </is>
      </c>
      <c r="B394">
        <f>unallocated!B137/I394*J394</f>
        <v>3.5583811737913365E-5</v>
      </c>
      <c r="D394" t="inlineStr">
        <is>
          <t>cubic meter</t>
        </is>
      </c>
      <c r="E394" t="inlineStr">
        <is>
          <t>natural resource::in water</t>
        </is>
      </c>
      <c r="F394" t="inlineStr">
        <is>
          <t>biosphere</t>
        </is>
      </c>
      <c r="I394" t="n">
        <v>6170</v>
      </c>
      <c r="J394" s="11">
        <f>J381</f>
        <v>0.73184039474308493</v>
      </c>
      <c r="K394" t="n">
        <v>2</v>
      </c>
      <c r="L394" s="3">
        <f>LN(B394)</f>
        <v>-10.243619749988827</v>
      </c>
      <c r="M394" t="n">
        <v>1</v>
      </c>
      <c r="N394" t="n">
        <v>1</v>
      </c>
      <c r="O394" t="n">
        <v>1</v>
      </c>
      <c r="P394" t="n">
        <v>1.02</v>
      </c>
      <c r="Q394" t="n">
        <v>1.2</v>
      </c>
      <c r="R394" t="n">
        <v>1</v>
      </c>
      <c r="S394" t="n">
        <v>1.05</v>
      </c>
      <c r="T394">
        <f>LN(SQRT(EXP(
SQRT(
+POWER(LN(M394),2)
+POWER(LN(N394),2)
+POWER(LN(O394),2)
+POWER(LN(P394),2)
+POWER(LN(Q394),2)
+POWER(LN(R394),2)
+POWER(LN(S394),2)
)
)))</f>
        <v>9.4886477223156879E-2</v>
      </c>
    </row>
    <row r="395">
      <c r="A395" t="inlineStr">
        <is>
          <t>Sulfur dioxide</t>
        </is>
      </c>
      <c r="B395">
        <f>unallocated!B138/I395*J395</f>
        <v>6.6423115244104957E-6</v>
      </c>
      <c r="D395" t="inlineStr">
        <is>
          <t>kilogram</t>
        </is>
      </c>
      <c r="E395" t="inlineStr">
        <is>
          <t>air::urban air close to ground</t>
        </is>
      </c>
      <c r="F395" t="inlineStr">
        <is>
          <t>biosphere</t>
        </is>
      </c>
      <c r="I395" t="n">
        <v>6170</v>
      </c>
      <c r="J395" s="11">
        <f>J381</f>
        <v>0.73184039474308493</v>
      </c>
      <c r="K395" t="n">
        <v>2</v>
      </c>
      <c r="L395" s="3">
        <f>LN(B395)</f>
        <v>-11.92205053390988</v>
      </c>
      <c r="M395" t="n">
        <v>1</v>
      </c>
      <c r="N395" t="n">
        <v>1</v>
      </c>
      <c r="O395" t="n">
        <v>1</v>
      </c>
      <c r="P395" t="n">
        <v>1.02</v>
      </c>
      <c r="Q395" t="n">
        <v>1.2</v>
      </c>
      <c r="R395" t="n">
        <v>1</v>
      </c>
      <c r="S395" t="n">
        <v>1.05</v>
      </c>
      <c r="T395">
        <f>LN(SQRT(EXP(
SQRT(
+POWER(LN(M395),2)
+POWER(LN(N395),2)
+POWER(LN(O395),2)
+POWER(LN(P395),2)
+POWER(LN(Q395),2)
+POWER(LN(R395),2)
+POWER(LN(S395),2)
)
)))</f>
        <v>9.4886477223156879E-2</v>
      </c>
    </row>
    <row r="396">
      <c r="A396" t="inlineStr">
        <is>
          <t>Hydrochloric acid</t>
        </is>
      </c>
      <c r="B396">
        <f>unallocated!B139/I396*J396</f>
        <v>7.1167623475826736E-7</v>
      </c>
      <c r="D396" t="inlineStr">
        <is>
          <t>kilogram</t>
        </is>
      </c>
      <c r="E396" t="inlineStr">
        <is>
          <t>air</t>
        </is>
      </c>
      <c r="F396" t="inlineStr">
        <is>
          <t>biosphere</t>
        </is>
      </c>
      <c r="I396" t="n">
        <v>6170</v>
      </c>
      <c r="J396" s="11">
        <f>J381</f>
        <v>0.73184039474308493</v>
      </c>
      <c r="K396" t="n">
        <v>2</v>
      </c>
      <c r="L396" s="3">
        <f>LN(B396)</f>
        <v>-14.155642755416974</v>
      </c>
      <c r="M396" t="n">
        <v>1</v>
      </c>
      <c r="N396" t="n">
        <v>1</v>
      </c>
      <c r="O396" t="n">
        <v>1</v>
      </c>
      <c r="P396" t="n">
        <v>1.02</v>
      </c>
      <c r="Q396" t="n">
        <v>1.2</v>
      </c>
      <c r="R396" t="n">
        <v>1</v>
      </c>
      <c r="S396" t="n">
        <v>1.5</v>
      </c>
      <c r="T396">
        <f>LN(SQRT(EXP(
SQRT(
+POWER(LN(M396),2)
+POWER(LN(N396),2)
+POWER(LN(O396),2)
+POWER(LN(P396),2)
+POWER(LN(Q396),2)
+POWER(LN(R396),2)
+POWER(LN(S396),2)
)
)))</f>
        <v>0.22250575723605889</v>
      </c>
    </row>
    <row r="397">
      <c r="A397" t="inlineStr">
        <is>
          <t>Nitrogen oxides</t>
        </is>
      </c>
      <c r="B397">
        <f>unallocated!B140/I397*J397</f>
        <v>8.0300801821891178E-5</v>
      </c>
      <c r="D397" t="inlineStr">
        <is>
          <t>kilogram</t>
        </is>
      </c>
      <c r="E397" t="inlineStr">
        <is>
          <t>air::urban air close to ground</t>
        </is>
      </c>
      <c r="F397" t="inlineStr">
        <is>
          <t>biosphere</t>
        </is>
      </c>
      <c r="I397" t="n">
        <v>6170</v>
      </c>
      <c r="J397" s="11">
        <f>J381</f>
        <v>0.73184039474308493</v>
      </c>
      <c r="K397" t="n">
        <v>2</v>
      </c>
      <c r="L397" s="3">
        <f>LN(B397)</f>
        <v>-9.4297309517327541</v>
      </c>
      <c r="M397" t="n">
        <v>1</v>
      </c>
      <c r="N397" t="n">
        <v>1</v>
      </c>
      <c r="O397" t="n">
        <v>1</v>
      </c>
      <c r="P397" t="n">
        <v>1.02</v>
      </c>
      <c r="Q397" t="n">
        <v>1.2</v>
      </c>
      <c r="R397" t="n">
        <v>1</v>
      </c>
      <c r="S397" t="n">
        <v>1.5</v>
      </c>
      <c r="T397">
        <f>LN(SQRT(EXP(
SQRT(
+POWER(LN(M397),2)
+POWER(LN(N397),2)
+POWER(LN(O397),2)
+POWER(LN(P397),2)
+POWER(LN(Q397),2)
+POWER(LN(R397),2)
+POWER(LN(S397),2)
)
)))</f>
        <v>0.22250575723605889</v>
      </c>
    </row>
    <row r="398">
      <c r="A398" t="inlineStr">
        <is>
          <t>Ammonia</t>
        </is>
      </c>
      <c r="B398">
        <f>unallocated!B141/I398*J398</f>
        <v>3.5583811737913368E-7</v>
      </c>
      <c r="D398" t="inlineStr">
        <is>
          <t>kilogram</t>
        </is>
      </c>
      <c r="E398" t="inlineStr">
        <is>
          <t>air::urban air close to ground</t>
        </is>
      </c>
      <c r="F398" t="inlineStr">
        <is>
          <t>biosphere</t>
        </is>
      </c>
      <c r="I398" t="n">
        <v>6170</v>
      </c>
      <c r="J398" s="11">
        <f>J381</f>
        <v>0.73184039474308493</v>
      </c>
      <c r="K398" t="n">
        <v>2</v>
      </c>
      <c r="L398" s="3">
        <f>LN(B398)</f>
        <v>-14.848789935976919</v>
      </c>
      <c r="M398" t="n">
        <v>1</v>
      </c>
      <c r="N398" t="n">
        <v>1</v>
      </c>
      <c r="O398" t="n">
        <v>1</v>
      </c>
      <c r="P398" t="n">
        <v>1.02</v>
      </c>
      <c r="Q398" t="n">
        <v>1.2</v>
      </c>
      <c r="R398" t="n">
        <v>1</v>
      </c>
      <c r="S398" t="n">
        <v>1.5</v>
      </c>
      <c r="T398">
        <f>LN(SQRT(EXP(
SQRT(
+POWER(LN(M398),2)
+POWER(LN(N398),2)
+POWER(LN(O398),2)
+POWER(LN(P398),2)
+POWER(LN(Q398),2)
+POWER(LN(R398),2)
+POWER(LN(S398),2)
)
)))</f>
        <v>0.22250575723605889</v>
      </c>
    </row>
    <row r="399">
      <c r="A399" t="inlineStr">
        <is>
          <t>Particulate Matter, &lt; 2.5 um</t>
        </is>
      </c>
      <c r="B399">
        <f>unallocated!B142/I399*J399</f>
        <v>7.1167623475826736E-7</v>
      </c>
      <c r="D399" t="inlineStr">
        <is>
          <t>kilogram</t>
        </is>
      </c>
      <c r="E399" t="inlineStr">
        <is>
          <t>air::urban air close to ground</t>
        </is>
      </c>
      <c r="F399" t="inlineStr">
        <is>
          <t>biosphere</t>
        </is>
      </c>
      <c r="I399" t="n">
        <v>6170</v>
      </c>
      <c r="J399" s="11">
        <f>J381</f>
        <v>0.73184039474308493</v>
      </c>
      <c r="K399" t="n">
        <v>2</v>
      </c>
      <c r="L399" s="3">
        <f>LN(B399)</f>
        <v>-14.155642755416974</v>
      </c>
      <c r="M399" t="n">
        <v>1</v>
      </c>
      <c r="N399" t="n">
        <v>1</v>
      </c>
      <c r="O399" t="n">
        <v>1</v>
      </c>
      <c r="P399" t="n">
        <v>1.02</v>
      </c>
      <c r="Q399" t="n">
        <v>1.2</v>
      </c>
      <c r="R399" t="n">
        <v>1</v>
      </c>
      <c r="S399" t="n">
        <v>3</v>
      </c>
      <c r="T399">
        <f>LN(SQRT(EXP(
SQRT(
+POWER(LN(M399),2)
+POWER(LN(N399),2)
+POWER(LN(O399),2)
+POWER(LN(P399),2)
+POWER(LN(Q399),2)
+POWER(LN(R399),2)
+POWER(LN(S399),2)
)
)))</f>
        <v>0.5569071410325479</v>
      </c>
    </row>
    <row r="400">
      <c r="A400" t="inlineStr">
        <is>
          <t>Mercury II</t>
        </is>
      </c>
      <c r="B400">
        <f>unallocated!B143/I400*J400</f>
        <v>2.7280922332400251E-9</v>
      </c>
      <c r="D400" t="inlineStr">
        <is>
          <t>kilogram</t>
        </is>
      </c>
      <c r="E400" t="inlineStr">
        <is>
          <t>air::urban air close to ground</t>
        </is>
      </c>
      <c r="F400" t="inlineStr">
        <is>
          <t>biosphere</t>
        </is>
      </c>
      <c r="I400" t="n">
        <v>6170</v>
      </c>
      <c r="J400" s="11">
        <f>J381</f>
        <v>0.73184039474308493</v>
      </c>
      <c r="K400" t="n">
        <v>2</v>
      </c>
      <c r="L400" s="3">
        <f>LN(B400)</f>
        <v>-19.719663287698015</v>
      </c>
      <c r="M400" t="n">
        <v>1</v>
      </c>
      <c r="N400" t="n">
        <v>1</v>
      </c>
      <c r="O400" t="n">
        <v>1</v>
      </c>
      <c r="P400" t="n">
        <v>1.02</v>
      </c>
      <c r="Q400" t="n">
        <v>1.2</v>
      </c>
      <c r="R400" t="n">
        <v>1</v>
      </c>
      <c r="S400" t="n">
        <v>5</v>
      </c>
      <c r="T400">
        <f>LN(SQRT(EXP(
SQRT(
+POWER(LN(M400),2)
+POWER(LN(N400),2)
+POWER(LN(O400),2)
+POWER(LN(P400),2)
+POWER(LN(Q400),2)
+POWER(LN(R400),2)
+POWER(LN(S400),2)
)
)))</f>
        <v>0.80992649174166365</v>
      </c>
    </row>
    <row r="401">
      <c r="A401" t="inlineStr">
        <is>
          <t>Lead II</t>
        </is>
      </c>
      <c r="B401">
        <f>unallocated!B144/I401*J401</f>
        <v>6.6423115244104961E-9</v>
      </c>
      <c r="D401" t="inlineStr">
        <is>
          <t>kilogram</t>
        </is>
      </c>
      <c r="E401" t="inlineStr">
        <is>
          <t>air::urban air close to ground</t>
        </is>
      </c>
      <c r="F401" t="inlineStr">
        <is>
          <t>biosphere</t>
        </is>
      </c>
      <c r="I401" t="n">
        <v>6170</v>
      </c>
      <c r="J401" s="11">
        <f>J381</f>
        <v>0.73184039474308493</v>
      </c>
      <c r="K401" t="n">
        <v>2</v>
      </c>
      <c r="L401" s="3">
        <f>LN(B401)</f>
        <v>-18.829805812892015</v>
      </c>
      <c r="M401" t="n">
        <v>1</v>
      </c>
      <c r="N401" t="n">
        <v>1</v>
      </c>
      <c r="O401" t="n">
        <v>1</v>
      </c>
      <c r="P401" t="n">
        <v>1.02</v>
      </c>
      <c r="Q401" t="n">
        <v>1.2</v>
      </c>
      <c r="R401" t="n">
        <v>1</v>
      </c>
      <c r="S401" t="n">
        <v>5</v>
      </c>
      <c r="T401">
        <f>LN(SQRT(EXP(
SQRT(
+POWER(LN(M401),2)
+POWER(LN(N401),2)
+POWER(LN(O401),2)
+POWER(LN(P401),2)
+POWER(LN(Q401),2)
+POWER(LN(R401),2)
+POWER(LN(S401),2)
)
)))</f>
        <v>0.80992649174166365</v>
      </c>
    </row>
    <row r="402">
      <c r="A402" t="inlineStr">
        <is>
          <t>Cadmium II</t>
        </is>
      </c>
      <c r="B402">
        <f>unallocated!B145/I402*J402</f>
        <v>1.3047397637234902E-9</v>
      </c>
      <c r="D402" t="inlineStr">
        <is>
          <t>kilogram</t>
        </is>
      </c>
      <c r="E402" t="inlineStr">
        <is>
          <t>air::urban air close to ground</t>
        </is>
      </c>
      <c r="F402" t="inlineStr">
        <is>
          <t>biosphere</t>
        </is>
      </c>
      <c r="I402" t="n">
        <v>6170</v>
      </c>
      <c r="J402" s="11">
        <f>J381</f>
        <v>0.73184039474308493</v>
      </c>
      <c r="K402" t="n">
        <v>2</v>
      </c>
      <c r="L402" s="3">
        <f>LN(B402)</f>
        <v>-20.457262230828796</v>
      </c>
      <c r="M402" t="n">
        <v>1</v>
      </c>
      <c r="N402" t="n">
        <v>1</v>
      </c>
      <c r="O402" t="n">
        <v>1</v>
      </c>
      <c r="P402" t="n">
        <v>1.02</v>
      </c>
      <c r="Q402" t="n">
        <v>1.2</v>
      </c>
      <c r="R402" t="n">
        <v>1</v>
      </c>
      <c r="S402" t="n">
        <v>5</v>
      </c>
      <c r="T402">
        <f>LN(SQRT(EXP(
SQRT(
+POWER(LN(M402),2)
+POWER(LN(N402),2)
+POWER(LN(O402),2)
+POWER(LN(P402),2)
+POWER(LN(Q402),2)
+POWER(LN(R402),2)
+POWER(LN(S402),2)
)
)))</f>
        <v>0.80992649174166365</v>
      </c>
    </row>
    <row r="403">
      <c r="A403" t="inlineStr">
        <is>
          <t>Arsenic ion</t>
        </is>
      </c>
      <c r="B403">
        <f>unallocated!B146/I403*J403</f>
        <v>7.1167623475826737E-10</v>
      </c>
      <c r="D403" t="inlineStr">
        <is>
          <t>kilogram</t>
        </is>
      </c>
      <c r="E403" t="inlineStr">
        <is>
          <t>air::urban air close to ground</t>
        </is>
      </c>
      <c r="F403" t="inlineStr">
        <is>
          <t>biosphere</t>
        </is>
      </c>
      <c r="I403" t="n">
        <v>6170</v>
      </c>
      <c r="J403" s="11">
        <f>J381</f>
        <v>0.73184039474308493</v>
      </c>
      <c r="K403" t="n">
        <v>2</v>
      </c>
      <c r="L403" s="3">
        <f>LN(B403)</f>
        <v>-21.063398034399111</v>
      </c>
      <c r="M403" t="n">
        <v>1</v>
      </c>
      <c r="N403" t="n">
        <v>1</v>
      </c>
      <c r="O403" t="n">
        <v>1</v>
      </c>
      <c r="P403" t="n">
        <v>1.02</v>
      </c>
      <c r="Q403" t="n">
        <v>1.2</v>
      </c>
      <c r="R403" t="n">
        <v>1</v>
      </c>
      <c r="S403" t="n">
        <v>5</v>
      </c>
      <c r="T403">
        <f>LN(SQRT(EXP(
SQRT(
+POWER(LN(M403),2)
+POWER(LN(N403),2)
+POWER(LN(O403),2)
+POWER(LN(P403),2)
+POWER(LN(Q403),2)
+POWER(LN(R403),2)
+POWER(LN(S403),2)
)
)))</f>
        <v>0.80992649174166365</v>
      </c>
    </row>
    <row r="404">
      <c r="A404" t="inlineStr">
        <is>
          <t>Dioxins, measured as 2,3,7,8-tetrachlorodibenzo-p-dioxin</t>
        </is>
      </c>
      <c r="B404">
        <f>unallocated!B147/I404*J404</f>
        <v>1.3047397637234902E-14</v>
      </c>
      <c r="D404" t="inlineStr">
        <is>
          <t>kilogram</t>
        </is>
      </c>
      <c r="E404" t="inlineStr">
        <is>
          <t>air::urban air close to ground</t>
        </is>
      </c>
      <c r="F404" t="inlineStr">
        <is>
          <t>biosphere</t>
        </is>
      </c>
      <c r="I404" t="n">
        <v>6170</v>
      </c>
      <c r="J404" s="11">
        <f>J381</f>
        <v>0.73184039474308493</v>
      </c>
      <c r="K404" t="n">
        <v>2</v>
      </c>
      <c r="L404" s="3">
        <f>LN(B404)</f>
        <v>-31.970187695799023</v>
      </c>
      <c r="M404" t="n">
        <v>1</v>
      </c>
      <c r="N404" t="n">
        <v>1</v>
      </c>
      <c r="O404" t="n">
        <v>1</v>
      </c>
      <c r="P404" t="n">
        <v>1.02</v>
      </c>
      <c r="Q404" t="n">
        <v>1.2</v>
      </c>
      <c r="R404" t="n">
        <v>1</v>
      </c>
      <c r="S404" t="n">
        <v>5</v>
      </c>
      <c r="T404">
        <f>LN(SQRT(EXP(
SQRT(
+POWER(LN(M404),2)
+POWER(LN(N404),2)
+POWER(LN(O404),2)
+POWER(LN(P404),2)
+POWER(LN(Q404),2)
+POWER(LN(R404),2)
+POWER(LN(S404),2)
)
)))</f>
        <v>0.80992649174166365</v>
      </c>
    </row>
    <row r="405">
      <c r="A405" t="inlineStr">
        <is>
          <t>Carbon dioxide, fossil</t>
        </is>
      </c>
      <c r="B405">
        <f>unallocated!B148/I405*J405</f>
        <v>4.4361151966598664E-2</v>
      </c>
      <c r="D405" t="inlineStr">
        <is>
          <t>kilogram</t>
        </is>
      </c>
      <c r="E405" t="inlineStr">
        <is>
          <t>air::urban air close to ground</t>
        </is>
      </c>
      <c r="F405" t="inlineStr">
        <is>
          <t>biosphere</t>
        </is>
      </c>
      <c r="I405" t="n">
        <v>6170</v>
      </c>
      <c r="J405" s="11">
        <f>J381</f>
        <v>0.73184039474308493</v>
      </c>
      <c r="K405" t="n">
        <v>2</v>
      </c>
      <c r="L405" s="3">
        <f>LN(B405)</f>
        <v>-3.1153911482483601</v>
      </c>
      <c r="M405" t="n">
        <v>1</v>
      </c>
      <c r="N405" t="n">
        <v>1</v>
      </c>
      <c r="O405" t="n">
        <v>1</v>
      </c>
      <c r="P405" t="n">
        <v>1.02</v>
      </c>
      <c r="Q405" t="n">
        <v>1.2</v>
      </c>
      <c r="R405" t="n">
        <v>1</v>
      </c>
      <c r="S405" t="n">
        <v>1.05</v>
      </c>
      <c r="T405">
        <f>LN(SQRT(EXP(
SQRT(
+POWER(LN(M405),2)
+POWER(LN(N405),2)
+POWER(LN(O405),2)
+POWER(LN(P405),2)
+POWER(LN(Q405),2)
+POWER(LN(R405),2)
+POWER(LN(S405),2)
)
)))</f>
        <v>9.4886477223156879E-2</v>
      </c>
    </row>
    <row r="406">
      <c r="A406" t="inlineStr">
        <is>
          <t>Carbon dioxide, non-fossil</t>
        </is>
      </c>
      <c r="B406">
        <f>unallocated!B149/I406*J406</f>
        <v>7.0455947241068476E-2</v>
      </c>
      <c r="D406" t="inlineStr">
        <is>
          <t>kilogram</t>
        </is>
      </c>
      <c r="E406" t="inlineStr">
        <is>
          <t>air::urban air close to ground</t>
        </is>
      </c>
      <c r="F406" t="inlineStr">
        <is>
          <t>biosphere</t>
        </is>
      </c>
      <c r="I406" t="n">
        <v>6170</v>
      </c>
      <c r="J406" s="11">
        <f>J381</f>
        <v>0.73184039474308493</v>
      </c>
      <c r="K406" t="n">
        <v>2</v>
      </c>
      <c r="L406" s="3">
        <f>LN(B406)</f>
        <v>-2.6527676263002471</v>
      </c>
      <c r="M406" t="n">
        <v>1</v>
      </c>
      <c r="N406" t="n">
        <v>1</v>
      </c>
      <c r="O406" t="n">
        <v>1</v>
      </c>
      <c r="P406" t="n">
        <v>1.02</v>
      </c>
      <c r="Q406" t="n">
        <v>1.2</v>
      </c>
      <c r="R406" t="n">
        <v>1</v>
      </c>
      <c r="S406" t="n">
        <v>1.05</v>
      </c>
      <c r="T406">
        <f>LN(SQRT(EXP(
SQRT(
+POWER(LN(M406),2)
+POWER(LN(N406),2)
+POWER(LN(O406),2)
+POWER(LN(P406),2)
+POWER(LN(Q406),2)
+POWER(LN(R406),2)
+POWER(LN(S406),2)
)
)))</f>
        <v>9.4886477223156879E-2</v>
      </c>
    </row>
    <row r="407"/>
    <row r="408">
      <c r="A408" s="1" t="inlineStr">
        <is>
          <t>Activity</t>
        </is>
      </c>
      <c r="B408" s="1" t="inlineStr">
        <is>
          <t>municipal waste incineration, at incineration plant, with wet air pollution control, with flue gas condensation, with electricity and heat recovery, energy allocation</t>
        </is>
      </c>
    </row>
    <row r="409">
      <c r="A409" t="inlineStr">
        <is>
          <t>location</t>
        </is>
      </c>
      <c r="B409" t="inlineStr">
        <is>
          <t>RER</t>
        </is>
      </c>
    </row>
    <row r="410">
      <c r="A410" t="inlineStr">
        <is>
          <t>production amount</t>
        </is>
      </c>
      <c r="B410" t="n">
        <v>1</v>
      </c>
    </row>
    <row r="411">
      <c r="A411" s="2" t="inlineStr">
        <is>
          <t>source</t>
        </is>
      </c>
      <c r="B411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12">
      <c r="A412" t="inlineStr">
        <is>
          <t>reference product</t>
        </is>
      </c>
      <c r="B412" t="inlineStr">
        <is>
          <t>municipal solid waste</t>
        </is>
      </c>
    </row>
    <row r="413">
      <c r="A413" t="inlineStr">
        <is>
          <t>type</t>
        </is>
      </c>
      <c r="B413" t="inlineStr">
        <is>
          <t>process</t>
        </is>
      </c>
    </row>
    <row r="414">
      <c r="A414" t="inlineStr">
        <is>
          <t>unit</t>
        </is>
      </c>
      <c r="B414" t="inlineStr">
        <is>
          <t>kilogram</t>
        </is>
      </c>
    </row>
    <row r="415">
      <c r="A415" t="inlineStr">
        <is>
          <t>comment</t>
        </is>
      </c>
      <c r="B415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618 kWh. Heat production per ton MSWI incinerated: 7'860 MJ.</t>
        </is>
      </c>
    </row>
    <row r="416">
      <c r="A416" s="1" t="inlineStr">
        <is>
          <t>Exchanges</t>
        </is>
      </c>
    </row>
    <row r="417">
      <c r="A417" s="7" t="inlineStr">
        <is>
          <t>name</t>
        </is>
      </c>
      <c r="B417" s="7" t="inlineStr">
        <is>
          <t>amount</t>
        </is>
      </c>
      <c r="C417" s="7" t="inlineStr">
        <is>
          <t>location</t>
        </is>
      </c>
      <c r="D417" s="7" t="inlineStr">
        <is>
          <t>unit</t>
        </is>
      </c>
      <c r="E417" s="7" t="inlineStr">
        <is>
          <t>categories</t>
        </is>
      </c>
      <c r="F417" s="7" t="inlineStr">
        <is>
          <t>type</t>
        </is>
      </c>
      <c r="G417" s="7" t="inlineStr">
        <is>
          <t>reference product</t>
        </is>
      </c>
      <c r="H417" s="7" t="inlineStr">
        <is>
          <t>comment</t>
        </is>
      </c>
      <c r="I417" s="7" t="inlineStr">
        <is>
          <t>normalization</t>
        </is>
      </c>
      <c r="J417" s="7" t="inlineStr">
        <is>
          <t>allocation</t>
        </is>
      </c>
      <c r="K417" s="7" t="inlineStr">
        <is>
          <t>uncertainty type</t>
        </is>
      </c>
      <c r="L417" s="7" t="inlineStr">
        <is>
          <t>loc</t>
        </is>
      </c>
      <c r="M417" s="1" t="inlineStr">
        <is>
          <t>u1</t>
        </is>
      </c>
      <c r="N417" s="1" t="inlineStr">
        <is>
          <t>u2</t>
        </is>
      </c>
      <c r="O417" s="1" t="inlineStr">
        <is>
          <t>u3</t>
        </is>
      </c>
      <c r="P417" s="1" t="inlineStr">
        <is>
          <t>u4</t>
        </is>
      </c>
      <c r="Q417" s="1" t="inlineStr">
        <is>
          <t>u5</t>
        </is>
      </c>
      <c r="R417" s="1" t="inlineStr">
        <is>
          <t>u6</t>
        </is>
      </c>
      <c r="S417" s="1" t="inlineStr">
        <is>
          <t>ub</t>
        </is>
      </c>
      <c r="T417" s="1" t="inlineStr">
        <is>
          <t>scale</t>
        </is>
      </c>
      <c r="U417" s="1" t="inlineStr">
        <is>
          <t>negative</t>
        </is>
      </c>
    </row>
    <row r="418">
      <c r="A418" t="inlineStr">
        <is>
          <t>municipal waste incineration, at incineration plant, with wet air pollution control, with flue gas condensation, with electricity and heat recovery, energy allocation</t>
        </is>
      </c>
      <c r="B418" t="n">
        <v>1</v>
      </c>
      <c r="C418" t="inlineStr">
        <is>
          <t>RER</t>
        </is>
      </c>
      <c r="D418" t="inlineStr">
        <is>
          <t>kilogram</t>
        </is>
      </c>
      <c r="F418" t="inlineStr">
        <is>
          <t>production</t>
        </is>
      </c>
      <c r="G418" t="inlineStr">
        <is>
          <t>municipal solid waste</t>
        </is>
      </c>
      <c r="H418" t="inlineStr"/>
      <c r="I418" t="n">
        <v>1000</v>
      </c>
      <c r="J418" s="14">
        <f>INDEX('allocation keys'!$F$4:$H$28,MATCH('allocated (energy)'!$B$408,'allocation keys'!$B$4:$B$28,0),MATCH('allocated (energy)'!$B$412,'allocation keys'!$F$3:$H$3,0))</f>
        <v>0</v>
      </c>
      <c r="K418" t="n">
        <v>0</v>
      </c>
      <c r="M418" s="5" t="n"/>
      <c r="N418" s="5" t="n"/>
      <c r="O418" s="5" t="n"/>
      <c r="P418" s="5" t="n"/>
      <c r="Q418" s="5" t="n"/>
      <c r="R418" s="5" t="n"/>
    </row>
    <row r="419">
      <c r="A419" t="inlineStr">
        <is>
          <t>municipal waste incineration, at incineration plant, with wet air pollution control, with flue gas condensation, with electricity and heat recovery, energy allocation</t>
        </is>
      </c>
      <c r="B419" s="6" t="n">
        <v>0</v>
      </c>
      <c r="C419" t="inlineStr">
        <is>
          <t>RER</t>
        </is>
      </c>
      <c r="D419" t="inlineStr">
        <is>
          <t>kilowatt hour</t>
        </is>
      </c>
      <c r="F419" t="inlineStr">
        <is>
          <t>technosphere</t>
        </is>
      </c>
      <c r="G419" t="inlineStr">
        <is>
          <t>electricity, medium voltage</t>
        </is>
      </c>
      <c r="H419" t="inlineStr"/>
      <c r="I419" t="n">
        <v>1000</v>
      </c>
      <c r="J419" s="11">
        <f>J418</f>
        <v>0</v>
      </c>
      <c r="K419" t="n">
        <v>0</v>
      </c>
      <c r="L419" s="3" t="n"/>
    </row>
    <row r="420">
      <c r="A420" t="inlineStr">
        <is>
          <t>municipal waste incineration, at incineration plant, with wet air pollution control, with flue gas condensation, with electricity and heat recovery, energy allocation</t>
        </is>
      </c>
      <c r="B420" t="n">
        <v>0</v>
      </c>
      <c r="C420" t="inlineStr">
        <is>
          <t>RER</t>
        </is>
      </c>
      <c r="D420" t="inlineStr">
        <is>
          <t>megajoule</t>
        </is>
      </c>
      <c r="F420" t="inlineStr">
        <is>
          <t>technosphere</t>
        </is>
      </c>
      <c r="G420" t="inlineStr">
        <is>
          <t>heat, district or industrial, other than natural gas</t>
        </is>
      </c>
      <c r="H420" t="inlineStr"/>
      <c r="I420" t="n">
        <v>1000</v>
      </c>
      <c r="J420" s="11">
        <f>J418</f>
        <v>0</v>
      </c>
      <c r="K420" t="n">
        <v>0</v>
      </c>
      <c r="L420" s="3" t="n"/>
    </row>
    <row r="421">
      <c r="A421" t="inlineStr">
        <is>
          <t>market for diesel, low-sulfur</t>
        </is>
      </c>
      <c r="B421">
        <f>unallocated!B164/I421*J421</f>
        <v>0</v>
      </c>
      <c r="C421" t="inlineStr">
        <is>
          <t>Europe without Switzerland</t>
        </is>
      </c>
      <c r="D421" t="inlineStr">
        <is>
          <t>kilogram</t>
        </is>
      </c>
      <c r="F421" t="inlineStr">
        <is>
          <t>technosphere</t>
        </is>
      </c>
      <c r="G421" t="inlineStr">
        <is>
          <t>diesel, low-sulfur</t>
        </is>
      </c>
      <c r="H421" t="inlineStr">
        <is>
          <t>Diesel density: 0.85 kg/l</t>
        </is>
      </c>
      <c r="I421" t="n">
        <v>1000</v>
      </c>
      <c r="J421" s="11">
        <f>J418</f>
        <v>0</v>
      </c>
      <c r="K421" t="n">
        <v>0</v>
      </c>
      <c r="L421" s="3" t="n"/>
    </row>
    <row r="422">
      <c r="A422" t="inlineStr">
        <is>
          <t>market for activated carbon, granular</t>
        </is>
      </c>
      <c r="B422">
        <f>unallocated!B165/I422*J422</f>
        <v>0</v>
      </c>
      <c r="C422" t="inlineStr">
        <is>
          <t>GLO</t>
        </is>
      </c>
      <c r="D422" t="inlineStr">
        <is>
          <t>kilogram</t>
        </is>
      </c>
      <c r="F422" t="inlineStr">
        <is>
          <t>technosphere</t>
        </is>
      </c>
      <c r="G422" t="inlineStr">
        <is>
          <t>activated carbon, granular</t>
        </is>
      </c>
      <c r="I422" t="n">
        <v>1000</v>
      </c>
      <c r="J422" s="11">
        <f>J418</f>
        <v>0</v>
      </c>
      <c r="K422" t="n">
        <v>0</v>
      </c>
      <c r="L422" s="3" t="n"/>
    </row>
    <row r="423">
      <c r="A423" t="inlineStr">
        <is>
          <t>market for ammonia, anhydrous, liquid</t>
        </is>
      </c>
      <c r="B423">
        <f>unallocated!B166/I423*J423</f>
        <v>0</v>
      </c>
      <c r="C423" t="inlineStr">
        <is>
          <t>RER</t>
        </is>
      </c>
      <c r="D423" t="inlineStr">
        <is>
          <t>kilogram</t>
        </is>
      </c>
      <c r="F423" t="inlineStr">
        <is>
          <t>technosphere</t>
        </is>
      </c>
      <c r="G423" t="inlineStr">
        <is>
          <t>ammonia, anhydrous, liquid</t>
        </is>
      </c>
      <c r="H423" t="inlineStr">
        <is>
          <t>100% liquid ammonia. In original publication, it is dilluated to 23.5% in water. We discount the original value by 75%.</t>
        </is>
      </c>
      <c r="I423" t="n">
        <v>1000</v>
      </c>
      <c r="J423" s="11">
        <f>J418</f>
        <v>0</v>
      </c>
      <c r="K423" t="n">
        <v>0</v>
      </c>
      <c r="L423" s="3" t="n"/>
    </row>
    <row r="424">
      <c r="A424" t="inlineStr">
        <is>
          <t>market for tap water</t>
        </is>
      </c>
      <c r="B424">
        <f>unallocated!B167/I424*J424</f>
        <v>0</v>
      </c>
      <c r="C424" t="inlineStr">
        <is>
          <t>Europe without Switzerland</t>
        </is>
      </c>
      <c r="D424" t="inlineStr">
        <is>
          <t>kilogram</t>
        </is>
      </c>
      <c r="F424" t="inlineStr">
        <is>
          <t>technosphere</t>
        </is>
      </c>
      <c r="G424" t="inlineStr">
        <is>
          <t>tap water</t>
        </is>
      </c>
      <c r="H424" t="inlineStr">
        <is>
          <t>Used to dilute the ammonia.</t>
        </is>
      </c>
      <c r="I424" t="n">
        <v>1000</v>
      </c>
      <c r="J424" s="11">
        <f>J418</f>
        <v>0</v>
      </c>
      <c r="K424" t="n">
        <v>0</v>
      </c>
      <c r="L424" s="3" t="n"/>
    </row>
    <row r="425">
      <c r="A425" t="inlineStr">
        <is>
          <t>market for calcium carbonate, precipitated</t>
        </is>
      </c>
      <c r="B425">
        <f>unallocated!B168/I425*J425</f>
        <v>0</v>
      </c>
      <c r="C425" t="inlineStr">
        <is>
          <t>RER</t>
        </is>
      </c>
      <c r="D425" t="inlineStr">
        <is>
          <t>kilogram</t>
        </is>
      </c>
      <c r="F425" t="inlineStr">
        <is>
          <t>technosphere</t>
        </is>
      </c>
      <c r="G425" t="inlineStr">
        <is>
          <t>calcium carbonate, precipitated</t>
        </is>
      </c>
      <c r="I425" t="n">
        <v>1000</v>
      </c>
      <c r="J425" s="11">
        <f>J418</f>
        <v>0</v>
      </c>
      <c r="K425" t="n">
        <v>0</v>
      </c>
      <c r="L425" s="3" t="n"/>
    </row>
    <row r="426">
      <c r="A426" t="inlineStr">
        <is>
          <t>market for iron(III) chloride, without water, in 40% solution state</t>
        </is>
      </c>
      <c r="B426">
        <f>unallocated!B169/I426*J426</f>
        <v>0</v>
      </c>
      <c r="C426" t="inlineStr">
        <is>
          <t>GLO</t>
        </is>
      </c>
      <c r="D426" t="inlineStr">
        <is>
          <t>kilogram</t>
        </is>
      </c>
      <c r="F426" t="inlineStr">
        <is>
          <t>technosphere</t>
        </is>
      </c>
      <c r="G426" t="inlineStr">
        <is>
          <t>iron(III) chloride, without water, in 40% solution state</t>
        </is>
      </c>
      <c r="I426" t="n">
        <v>1000</v>
      </c>
      <c r="J426" s="11">
        <f>J418</f>
        <v>0</v>
      </c>
      <c r="K426" t="n">
        <v>0</v>
      </c>
      <c r="L426" s="3" t="n"/>
    </row>
    <row r="427">
      <c r="A427" t="inlineStr">
        <is>
          <t>market for lime, hydrated, packed</t>
        </is>
      </c>
      <c r="B427">
        <f>unallocated!B170/I427*J427</f>
        <v>0</v>
      </c>
      <c r="C427" t="inlineStr">
        <is>
          <t>RER</t>
        </is>
      </c>
      <c r="D427" t="inlineStr">
        <is>
          <t>kilogram</t>
        </is>
      </c>
      <c r="F427" t="inlineStr">
        <is>
          <t>technosphere</t>
        </is>
      </c>
      <c r="G427" t="inlineStr">
        <is>
          <t>lime, hydrated, packed</t>
        </is>
      </c>
      <c r="I427" t="n">
        <v>1000</v>
      </c>
      <c r="J427" s="11">
        <f>J418</f>
        <v>0</v>
      </c>
      <c r="K427" t="n">
        <v>0</v>
      </c>
      <c r="L427" s="3" t="n"/>
    </row>
    <row r="428">
      <c r="A428" t="inlineStr">
        <is>
          <t>market for sodium hydroxide, without water, in 50% solution state</t>
        </is>
      </c>
      <c r="B428">
        <f>unallocated!B171/I428*J428</f>
        <v>0</v>
      </c>
      <c r="C428" t="inlineStr">
        <is>
          <t>RER</t>
        </is>
      </c>
      <c r="D428" t="inlineStr">
        <is>
          <t>kilogram</t>
        </is>
      </c>
      <c r="F428" t="inlineStr">
        <is>
          <t>technosphere</t>
        </is>
      </c>
      <c r="G428" t="inlineStr">
        <is>
          <t>sodium hydroxide, without water, in 50% solution state</t>
        </is>
      </c>
      <c r="H428" t="inlineStr">
        <is>
          <t>50% liquid ammonia. In original publication, it is dilluated to 27% in water. We discount the original value by 50%.</t>
        </is>
      </c>
      <c r="I428" t="n">
        <v>1000</v>
      </c>
      <c r="J428" s="11">
        <f>J418</f>
        <v>0</v>
      </c>
      <c r="K428" t="n">
        <v>0</v>
      </c>
      <c r="L428" s="3" t="n"/>
    </row>
    <row r="429">
      <c r="A429" t="inlineStr">
        <is>
          <t>market for monoethanolamine</t>
        </is>
      </c>
      <c r="B429">
        <f>unallocated!B172/I429*J429</f>
        <v>0</v>
      </c>
      <c r="C429" t="inlineStr">
        <is>
          <t>GLO</t>
        </is>
      </c>
      <c r="D429" t="inlineStr">
        <is>
          <t>kilogram</t>
        </is>
      </c>
      <c r="F429" t="inlineStr">
        <is>
          <t>technosphere</t>
        </is>
      </c>
      <c r="G429" t="inlineStr">
        <is>
          <t>monoethanolamine</t>
        </is>
      </c>
      <c r="I429" t="n">
        <v>1000</v>
      </c>
      <c r="J429" s="11">
        <f>J418</f>
        <v>0</v>
      </c>
      <c r="K429" t="n">
        <v>0</v>
      </c>
      <c r="L429" s="3" t="n"/>
    </row>
    <row r="430">
      <c r="A430" t="inlineStr">
        <is>
          <t>municipal waste incineration facility construction</t>
        </is>
      </c>
      <c r="B430">
        <f>unallocated!B173/I430*J430</f>
        <v>0</v>
      </c>
      <c r="C430" t="inlineStr">
        <is>
          <t>CH</t>
        </is>
      </c>
      <c r="D430" t="inlineStr">
        <is>
          <t>unit</t>
        </is>
      </c>
      <c r="F430" t="inlineStr">
        <is>
          <t>technosphere</t>
        </is>
      </c>
      <c r="G430" t="inlineStr">
        <is>
          <t>municipal waste incineration facility</t>
        </is>
      </c>
      <c r="H430" t="inlineStr">
        <is>
          <t>Lifetime: 4'000'000 tons MSWI treated.</t>
        </is>
      </c>
      <c r="I430" t="n">
        <v>1000</v>
      </c>
      <c r="J430" s="11">
        <f>J418</f>
        <v>0</v>
      </c>
      <c r="K430" t="n">
        <v>0</v>
      </c>
      <c r="L430" s="3" t="n"/>
    </row>
    <row r="431">
      <c r="A431" t="inlineStr">
        <is>
          <t>Water, cooling, unspecified natural origin</t>
        </is>
      </c>
      <c r="B431">
        <f>unallocated!B174/I431*J431</f>
        <v>0</v>
      </c>
      <c r="D431" t="inlineStr">
        <is>
          <t>cubic meter</t>
        </is>
      </c>
      <c r="E431" t="inlineStr">
        <is>
          <t>natural resource::in water</t>
        </is>
      </c>
      <c r="F431" t="inlineStr">
        <is>
          <t>biosphere</t>
        </is>
      </c>
      <c r="I431" t="n">
        <v>1000</v>
      </c>
      <c r="J431" s="11">
        <f>J418</f>
        <v>0</v>
      </c>
      <c r="K431" t="n">
        <v>0</v>
      </c>
      <c r="L431" s="3" t="n"/>
    </row>
    <row r="432">
      <c r="A432" t="inlineStr">
        <is>
          <t>Sulfur dioxide</t>
        </is>
      </c>
      <c r="B432">
        <f>unallocated!B175/I432*J432</f>
        <v>0</v>
      </c>
      <c r="D432" t="inlineStr">
        <is>
          <t>kilogram</t>
        </is>
      </c>
      <c r="E432" t="inlineStr">
        <is>
          <t>air::urban air close to ground</t>
        </is>
      </c>
      <c r="F432" t="inlineStr">
        <is>
          <t>biosphere</t>
        </is>
      </c>
      <c r="I432" t="n">
        <v>1000</v>
      </c>
      <c r="J432" s="11">
        <f>J418</f>
        <v>0</v>
      </c>
      <c r="K432" t="n">
        <v>0</v>
      </c>
      <c r="L432" s="3" t="n"/>
    </row>
    <row r="433">
      <c r="A433" t="inlineStr">
        <is>
          <t>Hydrochloric acid</t>
        </is>
      </c>
      <c r="B433">
        <f>unallocated!B176/I433*J433</f>
        <v>0</v>
      </c>
      <c r="D433" t="inlineStr">
        <is>
          <t>kilogram</t>
        </is>
      </c>
      <c r="E433" t="inlineStr">
        <is>
          <t>air</t>
        </is>
      </c>
      <c r="F433" t="inlineStr">
        <is>
          <t>biosphere</t>
        </is>
      </c>
      <c r="I433" t="n">
        <v>1000</v>
      </c>
      <c r="J433" s="11">
        <f>J418</f>
        <v>0</v>
      </c>
      <c r="K433" t="n">
        <v>0</v>
      </c>
      <c r="L433" s="3" t="n"/>
    </row>
    <row r="434">
      <c r="A434" t="inlineStr">
        <is>
          <t>Nitrogen oxides</t>
        </is>
      </c>
      <c r="B434">
        <f>unallocated!B177/I434*J434</f>
        <v>0</v>
      </c>
      <c r="D434" t="inlineStr">
        <is>
          <t>kilogram</t>
        </is>
      </c>
      <c r="E434" t="inlineStr">
        <is>
          <t>air::urban air close to ground</t>
        </is>
      </c>
      <c r="F434" t="inlineStr">
        <is>
          <t>biosphere</t>
        </is>
      </c>
      <c r="I434" t="n">
        <v>1000</v>
      </c>
      <c r="J434" s="11">
        <f>J418</f>
        <v>0</v>
      </c>
      <c r="K434" t="n">
        <v>0</v>
      </c>
      <c r="L434" s="3" t="n"/>
    </row>
    <row r="435">
      <c r="A435" t="inlineStr">
        <is>
          <t>Ammonia</t>
        </is>
      </c>
      <c r="B435">
        <f>unallocated!B178/I435*J435</f>
        <v>0</v>
      </c>
      <c r="D435" t="inlineStr">
        <is>
          <t>kilogram</t>
        </is>
      </c>
      <c r="E435" t="inlineStr">
        <is>
          <t>air::urban air close to ground</t>
        </is>
      </c>
      <c r="F435" t="inlineStr">
        <is>
          <t>biosphere</t>
        </is>
      </c>
      <c r="I435" t="n">
        <v>1000</v>
      </c>
      <c r="J435" s="11">
        <f>J418</f>
        <v>0</v>
      </c>
      <c r="K435" t="n">
        <v>0</v>
      </c>
      <c r="L435" s="3" t="n"/>
    </row>
    <row r="436">
      <c r="A436" t="inlineStr">
        <is>
          <t>Particulate Matter, &lt; 2.5 um</t>
        </is>
      </c>
      <c r="B436">
        <f>unallocated!B179/I436*J436</f>
        <v>0</v>
      </c>
      <c r="D436" t="inlineStr">
        <is>
          <t>kilogram</t>
        </is>
      </c>
      <c r="E436" t="inlineStr">
        <is>
          <t>air::urban air close to ground</t>
        </is>
      </c>
      <c r="F436" t="inlineStr">
        <is>
          <t>biosphere</t>
        </is>
      </c>
      <c r="I436" t="n">
        <v>1000</v>
      </c>
      <c r="J436" s="11">
        <f>J418</f>
        <v>0</v>
      </c>
      <c r="K436" t="n">
        <v>0</v>
      </c>
      <c r="L436" s="3" t="n"/>
    </row>
    <row r="437">
      <c r="A437" t="inlineStr">
        <is>
          <t>Mercury II</t>
        </is>
      </c>
      <c r="B437">
        <f>unallocated!B180/I437*J437</f>
        <v>0</v>
      </c>
      <c r="D437" t="inlineStr">
        <is>
          <t>kilogram</t>
        </is>
      </c>
      <c r="E437" t="inlineStr">
        <is>
          <t>air::urban air close to ground</t>
        </is>
      </c>
      <c r="F437" t="inlineStr">
        <is>
          <t>biosphere</t>
        </is>
      </c>
      <c r="I437" t="n">
        <v>1000</v>
      </c>
      <c r="J437" s="11">
        <f>J418</f>
        <v>0</v>
      </c>
      <c r="K437" t="n">
        <v>0</v>
      </c>
      <c r="L437" s="3" t="n"/>
    </row>
    <row r="438">
      <c r="A438" t="inlineStr">
        <is>
          <t>Lead II</t>
        </is>
      </c>
      <c r="B438">
        <f>unallocated!B181/I438*J438</f>
        <v>0</v>
      </c>
      <c r="D438" t="inlineStr">
        <is>
          <t>kilogram</t>
        </is>
      </c>
      <c r="E438" t="inlineStr">
        <is>
          <t>air::urban air close to ground</t>
        </is>
      </c>
      <c r="F438" t="inlineStr">
        <is>
          <t>biosphere</t>
        </is>
      </c>
      <c r="I438" t="n">
        <v>1000</v>
      </c>
      <c r="J438" s="11">
        <f>J418</f>
        <v>0</v>
      </c>
      <c r="K438" t="n">
        <v>0</v>
      </c>
      <c r="L438" s="3" t="n"/>
    </row>
    <row r="439">
      <c r="A439" t="inlineStr">
        <is>
          <t>Cadmium II</t>
        </is>
      </c>
      <c r="B439">
        <f>unallocated!B182/I439*J439</f>
        <v>0</v>
      </c>
      <c r="D439" t="inlineStr">
        <is>
          <t>kilogram</t>
        </is>
      </c>
      <c r="E439" t="inlineStr">
        <is>
          <t>air::urban air close to ground</t>
        </is>
      </c>
      <c r="F439" t="inlineStr">
        <is>
          <t>biosphere</t>
        </is>
      </c>
      <c r="I439" t="n">
        <v>1000</v>
      </c>
      <c r="J439" s="11">
        <f>J418</f>
        <v>0</v>
      </c>
      <c r="K439" t="n">
        <v>0</v>
      </c>
      <c r="L439" s="3" t="n"/>
    </row>
    <row r="440">
      <c r="A440" t="inlineStr">
        <is>
          <t>Arsenic ion</t>
        </is>
      </c>
      <c r="B440">
        <f>unallocated!B183/I440*J440</f>
        <v>0</v>
      </c>
      <c r="D440" t="inlineStr">
        <is>
          <t>kilogram</t>
        </is>
      </c>
      <c r="E440" t="inlineStr">
        <is>
          <t>air::urban air close to ground</t>
        </is>
      </c>
      <c r="F440" t="inlineStr">
        <is>
          <t>biosphere</t>
        </is>
      </c>
      <c r="I440" t="n">
        <v>1000</v>
      </c>
      <c r="J440" s="11">
        <f>J418</f>
        <v>0</v>
      </c>
      <c r="K440" t="n">
        <v>0</v>
      </c>
      <c r="L440" s="3" t="n"/>
    </row>
    <row r="441">
      <c r="A441" t="inlineStr">
        <is>
          <t>Dioxins, measured as 2,3,7,8-tetrachlorodibenzo-p-dioxin</t>
        </is>
      </c>
      <c r="B441">
        <f>unallocated!B184/I441*J441</f>
        <v>0</v>
      </c>
      <c r="D441" t="inlineStr">
        <is>
          <t>kilogram</t>
        </is>
      </c>
      <c r="E441" t="inlineStr">
        <is>
          <t>air::urban air close to ground</t>
        </is>
      </c>
      <c r="F441" t="inlineStr">
        <is>
          <t>biosphere</t>
        </is>
      </c>
      <c r="I441" t="n">
        <v>1000</v>
      </c>
      <c r="J441" s="11">
        <f>J418</f>
        <v>0</v>
      </c>
      <c r="K441" t="n">
        <v>0</v>
      </c>
      <c r="L441" s="3" t="n"/>
    </row>
    <row r="442">
      <c r="A442" t="inlineStr">
        <is>
          <t>Carbon dioxide, fossil</t>
        </is>
      </c>
      <c r="B442">
        <f>unallocated!B185/I442*J442</f>
        <v>0</v>
      </c>
      <c r="D442" t="inlineStr">
        <is>
          <t>kilogram</t>
        </is>
      </c>
      <c r="E442" t="inlineStr">
        <is>
          <t>air::urban air close to ground</t>
        </is>
      </c>
      <c r="F442" t="inlineStr">
        <is>
          <t>biosphere</t>
        </is>
      </c>
      <c r="I442" t="n">
        <v>1000</v>
      </c>
      <c r="J442" s="11">
        <f>J418</f>
        <v>0</v>
      </c>
      <c r="K442" t="n">
        <v>0</v>
      </c>
      <c r="L442" s="3" t="n"/>
    </row>
    <row r="443">
      <c r="A443" t="inlineStr">
        <is>
          <t>Carbon dioxide, non-fossil</t>
        </is>
      </c>
      <c r="B443">
        <f>unallocated!B186/I443*J443</f>
        <v>0</v>
      </c>
      <c r="D443" t="inlineStr">
        <is>
          <t>kilogram</t>
        </is>
      </c>
      <c r="E443" t="inlineStr">
        <is>
          <t>air::urban air close to ground</t>
        </is>
      </c>
      <c r="F443" t="inlineStr">
        <is>
          <t>biosphere</t>
        </is>
      </c>
      <c r="I443" t="n">
        <v>1000</v>
      </c>
      <c r="J443" s="11">
        <f>J418</f>
        <v>0</v>
      </c>
      <c r="K443" t="n">
        <v>0</v>
      </c>
      <c r="L443" s="3" t="n"/>
    </row>
    <row r="444"/>
    <row r="445">
      <c r="A445" s="1" t="inlineStr">
        <is>
          <t>Activity</t>
        </is>
      </c>
      <c r="B445" s="1" t="inlineStr">
        <is>
          <t>municipal waste incineration, at incineration plant, with wet air pollution control, with flue gas condensation, with electricity and heat recovery, energy allocation</t>
        </is>
      </c>
    </row>
    <row r="446">
      <c r="A446" t="inlineStr">
        <is>
          <t>location</t>
        </is>
      </c>
      <c r="B446" t="inlineStr">
        <is>
          <t>RER</t>
        </is>
      </c>
    </row>
    <row r="447">
      <c r="A447" t="inlineStr">
        <is>
          <t>production amount</t>
        </is>
      </c>
      <c r="B447" t="n">
        <v>1</v>
      </c>
    </row>
    <row r="448">
      <c r="A448" s="2" t="inlineStr">
        <is>
          <t>source</t>
        </is>
      </c>
      <c r="B448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49">
      <c r="A449" t="inlineStr">
        <is>
          <t>reference product</t>
        </is>
      </c>
      <c r="B449" t="inlineStr">
        <is>
          <t>electricity, medium voltage</t>
        </is>
      </c>
    </row>
    <row r="450">
      <c r="A450" t="inlineStr">
        <is>
          <t>type</t>
        </is>
      </c>
      <c r="B450" t="inlineStr">
        <is>
          <t>process</t>
        </is>
      </c>
    </row>
    <row r="451">
      <c r="A451" t="inlineStr">
        <is>
          <t>unit</t>
        </is>
      </c>
      <c r="B451" t="inlineStr">
        <is>
          <t>kilowatt hour</t>
        </is>
      </c>
    </row>
    <row r="452">
      <c r="A452" t="inlineStr">
        <is>
          <t>comment</t>
        </is>
      </c>
      <c r="B452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618 kWh. Heat production per ton MSWI incinerated: 7'860 MJ.</t>
        </is>
      </c>
    </row>
    <row r="453">
      <c r="A453" s="1" t="inlineStr">
        <is>
          <t>Exchanges</t>
        </is>
      </c>
    </row>
    <row r="454">
      <c r="A454" s="7" t="inlineStr">
        <is>
          <t>name</t>
        </is>
      </c>
      <c r="B454" s="7" t="inlineStr">
        <is>
          <t>amount</t>
        </is>
      </c>
      <c r="C454" s="7" t="inlineStr">
        <is>
          <t>location</t>
        </is>
      </c>
      <c r="D454" s="7" t="inlineStr">
        <is>
          <t>unit</t>
        </is>
      </c>
      <c r="E454" s="7" t="inlineStr">
        <is>
          <t>categories</t>
        </is>
      </c>
      <c r="F454" s="7" t="inlineStr">
        <is>
          <t>type</t>
        </is>
      </c>
      <c r="G454" s="7" t="inlineStr">
        <is>
          <t>reference product</t>
        </is>
      </c>
      <c r="H454" s="7" t="inlineStr">
        <is>
          <t>comment</t>
        </is>
      </c>
      <c r="I454" s="7" t="inlineStr">
        <is>
          <t>normalization</t>
        </is>
      </c>
      <c r="J454" s="7" t="inlineStr">
        <is>
          <t>allocation</t>
        </is>
      </c>
      <c r="K454" s="7" t="inlineStr">
        <is>
          <t>uncertainty type</t>
        </is>
      </c>
      <c r="L454" s="7" t="inlineStr">
        <is>
          <t>loc</t>
        </is>
      </c>
      <c r="M454" s="1" t="inlineStr">
        <is>
          <t>u1</t>
        </is>
      </c>
      <c r="N454" s="1" t="inlineStr">
        <is>
          <t>u2</t>
        </is>
      </c>
      <c r="O454" s="1" t="inlineStr">
        <is>
          <t>u3</t>
        </is>
      </c>
      <c r="P454" s="1" t="inlineStr">
        <is>
          <t>u4</t>
        </is>
      </c>
      <c r="Q454" s="1" t="inlineStr">
        <is>
          <t>u5</t>
        </is>
      </c>
      <c r="R454" s="1" t="inlineStr">
        <is>
          <t>u6</t>
        </is>
      </c>
      <c r="S454" s="1" t="inlineStr">
        <is>
          <t>ub</t>
        </is>
      </c>
      <c r="T454" s="1" t="inlineStr">
        <is>
          <t>scale</t>
        </is>
      </c>
      <c r="U454" s="1" t="inlineStr">
        <is>
          <t>negative</t>
        </is>
      </c>
    </row>
    <row r="455">
      <c r="A455" t="inlineStr">
        <is>
          <t>municipal waste incineration, at incineration plant, with wet air pollution control, with flue gas condensation, with electricity and heat recovery, energy allocation</t>
        </is>
      </c>
      <c r="B455" t="n">
        <v>0</v>
      </c>
      <c r="C455" t="inlineStr">
        <is>
          <t>RER</t>
        </is>
      </c>
      <c r="D455" t="inlineStr">
        <is>
          <t>kilogram</t>
        </is>
      </c>
      <c r="F455" t="inlineStr">
        <is>
          <t>technosphere</t>
        </is>
      </c>
      <c r="G455" t="inlineStr">
        <is>
          <t>municipal solid waste</t>
        </is>
      </c>
      <c r="H455" t="inlineStr"/>
      <c r="I455" s="6" t="n">
        <v>618</v>
      </c>
      <c r="J455" s="14">
        <f>INDEX('allocation keys'!$F$4:$H$28,MATCH('allocated (energy)'!$B$445,'allocation keys'!$B$4:$B$28,0),MATCH('allocated (energy)'!$B$449,'allocation keys'!$F$3:$H$3,0))</f>
        <v>0.22060923369823895</v>
      </c>
      <c r="K455" t="n">
        <v>0</v>
      </c>
      <c r="M455" s="5" t="n"/>
      <c r="N455" s="5" t="n"/>
      <c r="O455" s="5" t="n"/>
      <c r="P455" s="5" t="n"/>
      <c r="Q455" s="5" t="n"/>
      <c r="R455" s="5" t="n"/>
    </row>
    <row r="456">
      <c r="A456" t="inlineStr">
        <is>
          <t>municipal waste incineration, at incineration plant, with wet air pollution control, with flue gas condensation, with electricity and heat recovery, energy allocation</t>
        </is>
      </c>
      <c r="B456" s="6" t="n">
        <v>1</v>
      </c>
      <c r="C456" t="inlineStr">
        <is>
          <t>RER</t>
        </is>
      </c>
      <c r="D456" t="inlineStr">
        <is>
          <t>kilowatt hour</t>
        </is>
      </c>
      <c r="F456" t="inlineStr">
        <is>
          <t>production</t>
        </is>
      </c>
      <c r="G456" t="inlineStr">
        <is>
          <t>electricity, medium voltage</t>
        </is>
      </c>
      <c r="H456" t="inlineStr"/>
      <c r="I456" s="6" t="n">
        <v>618</v>
      </c>
      <c r="J456" s="11">
        <f>J455</f>
        <v>0.22060923369823895</v>
      </c>
      <c r="K456" t="n">
        <v>0</v>
      </c>
      <c r="L456" s="3" t="n"/>
    </row>
    <row r="457">
      <c r="A457" t="inlineStr">
        <is>
          <t>municipal waste incineration, at incineration plant, with wet air pollution control, with flue gas condensation, with electricity and heat recovery, energy allocation</t>
        </is>
      </c>
      <c r="B457" t="n">
        <v>0</v>
      </c>
      <c r="C457" t="inlineStr">
        <is>
          <t>RER</t>
        </is>
      </c>
      <c r="D457" t="inlineStr">
        <is>
          <t>megajoule</t>
        </is>
      </c>
      <c r="F457" t="inlineStr">
        <is>
          <t>technosphere</t>
        </is>
      </c>
      <c r="G457" t="inlineStr">
        <is>
          <t>heat, district or industrial, other than natural gas</t>
        </is>
      </c>
      <c r="H457" t="inlineStr"/>
      <c r="I457" s="6" t="n">
        <v>618</v>
      </c>
      <c r="J457" s="11">
        <f>J455</f>
        <v>0.22060923369823895</v>
      </c>
      <c r="K457" t="n">
        <v>0</v>
      </c>
      <c r="L457" s="3" t="n"/>
    </row>
    <row r="458">
      <c r="A458" t="inlineStr">
        <is>
          <t>market for diesel, low-sulfur</t>
        </is>
      </c>
      <c r="B458">
        <f>unallocated!B164/I458*J458</f>
        <v>3.0342693955259405E-5</v>
      </c>
      <c r="C458" t="inlineStr">
        <is>
          <t>Europe without Switzerland</t>
        </is>
      </c>
      <c r="D458" t="inlineStr">
        <is>
          <t>kilogram</t>
        </is>
      </c>
      <c r="F458" t="inlineStr">
        <is>
          <t>technosphere</t>
        </is>
      </c>
      <c r="G458" t="inlineStr">
        <is>
          <t>diesel, low-sulfur</t>
        </is>
      </c>
      <c r="H458" t="inlineStr">
        <is>
          <t>Diesel density: 0.85 kg/l</t>
        </is>
      </c>
      <c r="I458" s="6" t="n">
        <v>618</v>
      </c>
      <c r="J458" s="11">
        <f>J455</f>
        <v>0.22060923369823895</v>
      </c>
      <c r="K458" t="n">
        <v>2</v>
      </c>
      <c r="L458" s="3">
        <f>LN(B458)</f>
        <v>-10.402954795788602</v>
      </c>
      <c r="M458" t="n">
        <v>1</v>
      </c>
      <c r="N458" t="n">
        <v>1</v>
      </c>
      <c r="O458" t="n">
        <v>1</v>
      </c>
      <c r="P458" t="n">
        <v>1.02</v>
      </c>
      <c r="Q458" t="n">
        <v>1.2</v>
      </c>
      <c r="R458" t="n">
        <v>1</v>
      </c>
      <c r="S458" t="n">
        <v>1.05</v>
      </c>
      <c r="T458">
        <f>LN(SQRT(EXP(
SQRT(
+POWER(LN(M458),2)
+POWER(LN(N458),2)
+POWER(LN(O458),2)
+POWER(LN(P458),2)
+POWER(LN(Q458),2)
+POWER(LN(R458),2)
+POWER(LN(S458),2)
)
)))</f>
        <v>9.4886477223156879E-2</v>
      </c>
    </row>
    <row r="459">
      <c r="A459" t="inlineStr">
        <is>
          <t>market for activated carbon, granular</t>
        </is>
      </c>
      <c r="B459">
        <f>unallocated!B165/I459*J459</f>
        <v>1.4278914802475014E-4</v>
      </c>
      <c r="C459" t="inlineStr">
        <is>
          <t>GLO</t>
        </is>
      </c>
      <c r="D459" t="inlineStr">
        <is>
          <t>kilogram</t>
        </is>
      </c>
      <c r="F459" t="inlineStr">
        <is>
          <t>technosphere</t>
        </is>
      </c>
      <c r="G459" t="inlineStr">
        <is>
          <t>activated carbon, granular</t>
        </is>
      </c>
      <c r="I459" s="6" t="n">
        <v>618</v>
      </c>
      <c r="J459" s="11">
        <f>J455</f>
        <v>0.22060923369823895</v>
      </c>
      <c r="K459" t="n">
        <v>2</v>
      </c>
      <c r="L459" s="3">
        <f>LN(B459)</f>
        <v>-8.8541415051709365</v>
      </c>
      <c r="M459" t="n">
        <v>1</v>
      </c>
      <c r="N459" t="n">
        <v>1</v>
      </c>
      <c r="O459" t="n">
        <v>1</v>
      </c>
      <c r="P459" t="n">
        <v>1.02</v>
      </c>
      <c r="Q459" t="n">
        <v>1.2</v>
      </c>
      <c r="R459" t="n">
        <v>1</v>
      </c>
      <c r="S459" t="n">
        <v>1.05</v>
      </c>
      <c r="T459">
        <f>LN(SQRT(EXP(
SQRT(
+POWER(LN(M459),2)
+POWER(LN(N459),2)
+POWER(LN(O459),2)
+POWER(LN(P459),2)
+POWER(LN(Q459),2)
+POWER(LN(R459),2)
+POWER(LN(S459),2)
)
)))</f>
        <v>9.4886477223156879E-2</v>
      </c>
    </row>
    <row r="460">
      <c r="A460" t="inlineStr">
        <is>
          <t>market for ammonia, anhydrous, liquid</t>
        </is>
      </c>
      <c r="B460">
        <f>unallocated!B166/I460*J460</f>
        <v>3.4983341266063783E-4</v>
      </c>
      <c r="C460" t="inlineStr">
        <is>
          <t>RER</t>
        </is>
      </c>
      <c r="D460" t="inlineStr">
        <is>
          <t>kilogram</t>
        </is>
      </c>
      <c r="F460" t="inlineStr">
        <is>
          <t>technosphere</t>
        </is>
      </c>
      <c r="G460" t="inlineStr">
        <is>
          <t>ammonia, anhydrous, liquid</t>
        </is>
      </c>
      <c r="H460" t="inlineStr">
        <is>
          <t>100% liquid ammonia. In original publication, it is dilluated to 23.5% in water. We discount the original value by 75%.</t>
        </is>
      </c>
      <c r="I460" s="6" t="n">
        <v>618</v>
      </c>
      <c r="J460" s="11">
        <f>J455</f>
        <v>0.22060923369823895</v>
      </c>
      <c r="K460" t="n">
        <v>2</v>
      </c>
      <c r="L460" s="3">
        <f>LN(B460)</f>
        <v>-7.9580534806143008</v>
      </c>
      <c r="M460" t="n">
        <v>1</v>
      </c>
      <c r="N460" t="n">
        <v>1</v>
      </c>
      <c r="O460" t="n">
        <v>1</v>
      </c>
      <c r="P460" t="n">
        <v>1.02</v>
      </c>
      <c r="Q460" t="n">
        <v>1.2</v>
      </c>
      <c r="R460" t="n">
        <v>1</v>
      </c>
      <c r="S460" t="n">
        <v>1.05</v>
      </c>
      <c r="T460">
        <f>LN(SQRT(EXP(
SQRT(
+POWER(LN(M460),2)
+POWER(LN(N460),2)
+POWER(LN(O460),2)
+POWER(LN(P460),2)
+POWER(LN(Q460),2)
+POWER(LN(R460),2)
+POWER(LN(S460),2)
)
)))</f>
        <v>9.4886477223156879E-2</v>
      </c>
    </row>
    <row r="461">
      <c r="A461" t="inlineStr">
        <is>
          <t>market for tap water</t>
        </is>
      </c>
      <c r="B461">
        <f>unallocated!B167/I461*J461</f>
        <v>1.0780580675868634E-3</v>
      </c>
      <c r="C461" t="inlineStr">
        <is>
          <t>Europe without Switzerland</t>
        </is>
      </c>
      <c r="D461" t="inlineStr">
        <is>
          <t>kilogram</t>
        </is>
      </c>
      <c r="F461" t="inlineStr">
        <is>
          <t>technosphere</t>
        </is>
      </c>
      <c r="G461" t="inlineStr">
        <is>
          <t>tap water</t>
        </is>
      </c>
      <c r="H461" t="inlineStr">
        <is>
          <t>Used to dilute the ammonia.</t>
        </is>
      </c>
      <c r="I461" s="6" t="n">
        <v>618</v>
      </c>
      <c r="J461" s="11">
        <f>J455</f>
        <v>0.22060923369823895</v>
      </c>
      <c r="K461" t="n">
        <v>2</v>
      </c>
      <c r="L461" s="3">
        <f>LN(B461)</f>
        <v>-6.8325939419100035</v>
      </c>
      <c r="M461" t="n">
        <v>1</v>
      </c>
      <c r="N461" t="n">
        <v>1</v>
      </c>
      <c r="O461" t="n">
        <v>1</v>
      </c>
      <c r="P461" t="n">
        <v>1.02</v>
      </c>
      <c r="Q461" t="n">
        <v>1.2</v>
      </c>
      <c r="R461" t="n">
        <v>1</v>
      </c>
      <c r="S461" t="n">
        <v>1.05</v>
      </c>
      <c r="T461">
        <f>LN(SQRT(EXP(
SQRT(
+POWER(LN(M461),2)
+POWER(LN(N461),2)
+POWER(LN(O461),2)
+POWER(LN(P461),2)
+POWER(LN(Q461),2)
+POWER(LN(R461),2)
+POWER(LN(S461),2)
)
)))</f>
        <v>9.4886477223156879E-2</v>
      </c>
    </row>
    <row r="462">
      <c r="A462" t="inlineStr">
        <is>
          <t>market for calcium carbonate, precipitated</t>
        </is>
      </c>
      <c r="B462">
        <f>unallocated!B168/I462*J462</f>
        <v>2.4988100904331273E-3</v>
      </c>
      <c r="C462" t="inlineStr">
        <is>
          <t>RER</t>
        </is>
      </c>
      <c r="D462" t="inlineStr">
        <is>
          <t>kilogram</t>
        </is>
      </c>
      <c r="F462" t="inlineStr">
        <is>
          <t>technosphere</t>
        </is>
      </c>
      <c r="G462" t="inlineStr">
        <is>
          <t>calcium carbonate, precipitated</t>
        </is>
      </c>
      <c r="I462" s="6" t="n">
        <v>618</v>
      </c>
      <c r="J462" s="11">
        <f>J455</f>
        <v>0.22060923369823895</v>
      </c>
      <c r="K462" t="n">
        <v>0</v>
      </c>
      <c r="L462" s="3" t="n"/>
    </row>
    <row r="463">
      <c r="A463" t="inlineStr">
        <is>
          <t>market for iron(III) chloride, without water, in 40% solution state</t>
        </is>
      </c>
      <c r="B463">
        <f>unallocated!B169/I463*J463</f>
        <v>1.7848643503093767E-5</v>
      </c>
      <c r="C463" t="inlineStr">
        <is>
          <t>GLO</t>
        </is>
      </c>
      <c r="D463" t="inlineStr">
        <is>
          <t>kilogram</t>
        </is>
      </c>
      <c r="F463" t="inlineStr">
        <is>
          <t>technosphere</t>
        </is>
      </c>
      <c r="G463" t="inlineStr">
        <is>
          <t>iron(III) chloride, without water, in 40% solution state</t>
        </is>
      </c>
      <c r="I463" s="6" t="n">
        <v>618</v>
      </c>
      <c r="J463" s="11">
        <f>J455</f>
        <v>0.22060923369823895</v>
      </c>
      <c r="K463" t="n">
        <v>0</v>
      </c>
      <c r="L463" s="3" t="n"/>
    </row>
    <row r="464">
      <c r="A464" t="inlineStr">
        <is>
          <t>market for lime, hydrated, packed</t>
        </is>
      </c>
      <c r="B464">
        <f>unallocated!B170/I464*J464</f>
        <v>0</v>
      </c>
      <c r="C464" t="inlineStr">
        <is>
          <t>RER</t>
        </is>
      </c>
      <c r="D464" t="inlineStr">
        <is>
          <t>kilogram</t>
        </is>
      </c>
      <c r="F464" t="inlineStr">
        <is>
          <t>technosphere</t>
        </is>
      </c>
      <c r="G464" t="inlineStr">
        <is>
          <t>lime, hydrated, packed</t>
        </is>
      </c>
      <c r="I464" s="6" t="n">
        <v>618</v>
      </c>
      <c r="J464" s="11">
        <f>J455</f>
        <v>0.22060923369823895</v>
      </c>
      <c r="K464" t="n">
        <v>0</v>
      </c>
      <c r="L464" s="3" t="n"/>
    </row>
    <row r="465">
      <c r="A465" t="inlineStr">
        <is>
          <t>market for sodium hydroxide, without water, in 50% solution state</t>
        </is>
      </c>
      <c r="B465">
        <f>unallocated!B171/I465*J465</f>
        <v>1.7848643503093768E-4</v>
      </c>
      <c r="C465" t="inlineStr">
        <is>
          <t>RER</t>
        </is>
      </c>
      <c r="D465" t="inlineStr">
        <is>
          <t>kilogram</t>
        </is>
      </c>
      <c r="F465" t="inlineStr">
        <is>
          <t>technosphere</t>
        </is>
      </c>
      <c r="G465" t="inlineStr">
        <is>
          <t>sodium hydroxide, without water, in 50% solution state</t>
        </is>
      </c>
      <c r="H465" t="inlineStr">
        <is>
          <t>50% liquid ammonia. In original publication, it is dilluated to 27% in water. We discount the original value by 50%.</t>
        </is>
      </c>
      <c r="I465" s="6" t="n">
        <v>618</v>
      </c>
      <c r="J465" s="11">
        <f>J455</f>
        <v>0.22060923369823895</v>
      </c>
      <c r="K465" t="n">
        <v>0</v>
      </c>
      <c r="L465" s="3" t="n"/>
    </row>
    <row r="466">
      <c r="A466" t="inlineStr">
        <is>
          <t>market for monoethanolamine</t>
        </is>
      </c>
      <c r="B466">
        <f>unallocated!B172/I466*J466</f>
        <v>0</v>
      </c>
      <c r="C466" t="inlineStr">
        <is>
          <t>GLO</t>
        </is>
      </c>
      <c r="D466" t="inlineStr">
        <is>
          <t>kilogram</t>
        </is>
      </c>
      <c r="F466" t="inlineStr">
        <is>
          <t>technosphere</t>
        </is>
      </c>
      <c r="G466" t="inlineStr">
        <is>
          <t>monoethanolamine</t>
        </is>
      </c>
      <c r="I466" s="6" t="n">
        <v>618</v>
      </c>
      <c r="J466" s="11">
        <f>J455</f>
        <v>0.22060923369823895</v>
      </c>
      <c r="K466" t="n">
        <v>0</v>
      </c>
      <c r="L466" s="3" t="n"/>
    </row>
    <row r="467">
      <c r="A467" t="inlineStr">
        <is>
          <t>municipal waste incineration facility construction</t>
        </is>
      </c>
      <c r="B467">
        <f>unallocated!B173/I467*J467</f>
        <v>8.9243217515468826E-11</v>
      </c>
      <c r="C467" t="inlineStr">
        <is>
          <t>CH</t>
        </is>
      </c>
      <c r="D467" t="inlineStr">
        <is>
          <t>unit</t>
        </is>
      </c>
      <c r="F467" t="inlineStr">
        <is>
          <t>technosphere</t>
        </is>
      </c>
      <c r="G467" t="inlineStr">
        <is>
          <t>municipal waste incineration facility</t>
        </is>
      </c>
      <c r="H467" t="inlineStr">
        <is>
          <t>Lifetime: 4'000'000 tons MSWI treated.</t>
        </is>
      </c>
      <c r="I467" s="6" t="n">
        <v>618</v>
      </c>
      <c r="J467" s="11">
        <f>J455</f>
        <v>0.22060923369823895</v>
      </c>
      <c r="K467" t="n">
        <v>2</v>
      </c>
      <c r="L467" s="3">
        <f>LN(B467)</f>
        <v>-23.139655692380945</v>
      </c>
      <c r="M467" t="n">
        <v>1</v>
      </c>
      <c r="N467" t="n">
        <v>1</v>
      </c>
      <c r="O467" t="n">
        <v>1</v>
      </c>
      <c r="P467" t="n">
        <v>1.02</v>
      </c>
      <c r="Q467" t="n">
        <v>1.2</v>
      </c>
      <c r="R467" t="n">
        <v>1</v>
      </c>
      <c r="S467" t="n">
        <v>3</v>
      </c>
      <c r="T467">
        <f>LN(SQRT(EXP(
SQRT(
+POWER(LN(M467),2)
+POWER(LN(N467),2)
+POWER(LN(O467),2)
+POWER(LN(P467),2)
+POWER(LN(Q467),2)
+POWER(LN(R467),2)
+POWER(LN(S467),2)
)
)))</f>
        <v>0.5569071410325479</v>
      </c>
    </row>
    <row r="468">
      <c r="A468" t="inlineStr">
        <is>
          <t>Water, cooling, unspecified natural origin</t>
        </is>
      </c>
      <c r="B468">
        <f>unallocated!B174/I468*J468</f>
        <v>0</v>
      </c>
      <c r="D468" t="inlineStr">
        <is>
          <t>cubic meter</t>
        </is>
      </c>
      <c r="E468" t="inlineStr">
        <is>
          <t>natural resource::in water</t>
        </is>
      </c>
      <c r="F468" t="inlineStr">
        <is>
          <t>biosphere</t>
        </is>
      </c>
      <c r="I468" s="6" t="n">
        <v>618</v>
      </c>
      <c r="J468" s="11">
        <f>J455</f>
        <v>0.22060923369823895</v>
      </c>
      <c r="K468" t="n">
        <v>0</v>
      </c>
      <c r="L468" s="3" t="n"/>
    </row>
    <row r="469">
      <c r="A469" t="inlineStr">
        <is>
          <t>Sulfur dioxide</t>
        </is>
      </c>
      <c r="B469">
        <f>unallocated!B175/I469*J469</f>
        <v>2.1418372203712519E-6</v>
      </c>
      <c r="D469" t="inlineStr">
        <is>
          <t>kilogram</t>
        </is>
      </c>
      <c r="E469" t="inlineStr">
        <is>
          <t>air::urban air close to ground</t>
        </is>
      </c>
      <c r="F469" t="inlineStr">
        <is>
          <t>biosphere</t>
        </is>
      </c>
      <c r="I469" s="6" t="n">
        <v>618</v>
      </c>
      <c r="J469" s="11">
        <f>J455</f>
        <v>0.22060923369823895</v>
      </c>
      <c r="K469" t="n">
        <v>2</v>
      </c>
      <c r="L469" s="3">
        <f>LN(B469)</f>
        <v>-13.053846583050863</v>
      </c>
      <c r="M469" t="n">
        <v>1</v>
      </c>
      <c r="N469" t="n">
        <v>1</v>
      </c>
      <c r="O469" t="n">
        <v>1</v>
      </c>
      <c r="P469" t="n">
        <v>1.02</v>
      </c>
      <c r="Q469" t="n">
        <v>1.2</v>
      </c>
      <c r="R469" t="n">
        <v>1</v>
      </c>
      <c r="S469" t="n">
        <v>1.05</v>
      </c>
      <c r="T469">
        <f>LN(SQRT(EXP(
SQRT(
+POWER(LN(M469),2)
+POWER(LN(N469),2)
+POWER(LN(O469),2)
+POWER(LN(P469),2)
+POWER(LN(Q469),2)
+POWER(LN(R469),2)
+POWER(LN(S469),2)
)
)))</f>
        <v>9.4886477223156879E-2</v>
      </c>
    </row>
    <row r="470">
      <c r="A470" t="inlineStr">
        <is>
          <t>Hydrochloric acid</t>
        </is>
      </c>
      <c r="B470">
        <f>unallocated!B176/I470*J470</f>
        <v>1.0709186101856259E-6</v>
      </c>
      <c r="D470" t="inlineStr">
        <is>
          <t>kilogram</t>
        </is>
      </c>
      <c r="E470" t="inlineStr">
        <is>
          <t>air</t>
        </is>
      </c>
      <c r="F470" t="inlineStr">
        <is>
          <t>biosphere</t>
        </is>
      </c>
      <c r="I470" s="6" t="n">
        <v>618</v>
      </c>
      <c r="J470" s="11">
        <f>J455</f>
        <v>0.22060923369823895</v>
      </c>
      <c r="K470" t="n">
        <v>2</v>
      </c>
      <c r="L470" s="3">
        <f>LN(B470)</f>
        <v>-13.746993763610808</v>
      </c>
      <c r="M470" t="n">
        <v>1</v>
      </c>
      <c r="N470" t="n">
        <v>1</v>
      </c>
      <c r="O470" t="n">
        <v>1</v>
      </c>
      <c r="P470" t="n">
        <v>1.02</v>
      </c>
      <c r="Q470" t="n">
        <v>1.2</v>
      </c>
      <c r="R470" t="n">
        <v>1</v>
      </c>
      <c r="S470" t="n">
        <v>1.5</v>
      </c>
      <c r="T470">
        <f>LN(SQRT(EXP(
SQRT(
+POWER(LN(M470),2)
+POWER(LN(N470),2)
+POWER(LN(O470),2)
+POWER(LN(P470),2)
+POWER(LN(Q470),2)
+POWER(LN(R470),2)
+POWER(LN(S470),2)
)
)))</f>
        <v>0.22250575723605889</v>
      </c>
    </row>
    <row r="471">
      <c r="A471" t="inlineStr">
        <is>
          <t>Nitrogen oxides</t>
        </is>
      </c>
      <c r="B471">
        <f>unallocated!B177/I471*J471</f>
        <v>2.4167063303188961E-4</v>
      </c>
      <c r="D471" t="inlineStr">
        <is>
          <t>kilogram</t>
        </is>
      </c>
      <c r="E471" t="inlineStr">
        <is>
          <t>air::urban air close to ground</t>
        </is>
      </c>
      <c r="F471" t="inlineStr">
        <is>
          <t>biosphere</t>
        </is>
      </c>
      <c r="I471" s="6" t="n">
        <v>618</v>
      </c>
      <c r="J471" s="11">
        <f>J455</f>
        <v>0.22060923369823895</v>
      </c>
      <c r="K471" t="n">
        <v>2</v>
      </c>
      <c r="L471" s="3">
        <f>LN(B471)</f>
        <v>-8.3279347793666432</v>
      </c>
      <c r="M471" t="n">
        <v>1</v>
      </c>
      <c r="N471" t="n">
        <v>1</v>
      </c>
      <c r="O471" t="n">
        <v>1</v>
      </c>
      <c r="P471" t="n">
        <v>1.02</v>
      </c>
      <c r="Q471" t="n">
        <v>1.2</v>
      </c>
      <c r="R471" t="n">
        <v>1</v>
      </c>
      <c r="S471" t="n">
        <v>1.5</v>
      </c>
      <c r="T471">
        <f>LN(SQRT(EXP(
SQRT(
+POWER(LN(M471),2)
+POWER(LN(N471),2)
+POWER(LN(O471),2)
+POWER(LN(P471),2)
+POWER(LN(Q471),2)
+POWER(LN(R471),2)
+POWER(LN(S471),2)
)
)))</f>
        <v>0.22250575723605889</v>
      </c>
    </row>
    <row r="472">
      <c r="A472" t="inlineStr">
        <is>
          <t>Ammonia</t>
        </is>
      </c>
      <c r="B472">
        <f>unallocated!B178/I472*J472</f>
        <v>3.5697287006187531E-7</v>
      </c>
      <c r="D472" t="inlineStr">
        <is>
          <t>kilogram</t>
        </is>
      </c>
      <c r="E472" t="inlineStr">
        <is>
          <t>air::urban air close to ground</t>
        </is>
      </c>
      <c r="F472" t="inlineStr">
        <is>
          <t>biosphere</t>
        </is>
      </c>
      <c r="I472" s="6" t="n">
        <v>618</v>
      </c>
      <c r="J472" s="11">
        <f>J455</f>
        <v>0.22060923369823895</v>
      </c>
      <c r="K472" t="n">
        <v>2</v>
      </c>
      <c r="L472" s="3">
        <f>LN(B472)</f>
        <v>-14.845606052278919</v>
      </c>
      <c r="M472" t="n">
        <v>1</v>
      </c>
      <c r="N472" t="n">
        <v>1</v>
      </c>
      <c r="O472" t="n">
        <v>1</v>
      </c>
      <c r="P472" t="n">
        <v>1.02</v>
      </c>
      <c r="Q472" t="n">
        <v>1.2</v>
      </c>
      <c r="R472" t="n">
        <v>1</v>
      </c>
      <c r="S472" t="n">
        <v>1.5</v>
      </c>
      <c r="T472">
        <f>LN(SQRT(EXP(
SQRT(
+POWER(LN(M472),2)
+POWER(LN(N472),2)
+POWER(LN(O472),2)
+POWER(LN(P472),2)
+POWER(LN(Q472),2)
+POWER(LN(R472),2)
+POWER(LN(S472),2)
)
)))</f>
        <v>0.22250575723605889</v>
      </c>
    </row>
    <row r="473">
      <c r="A473" t="inlineStr">
        <is>
          <t>Particulate Matter, &lt; 2.5 um</t>
        </is>
      </c>
      <c r="B473">
        <f>unallocated!B179/I473*J473</f>
        <v>2.1418372203712519E-6</v>
      </c>
      <c r="D473" t="inlineStr">
        <is>
          <t>kilogram</t>
        </is>
      </c>
      <c r="E473" t="inlineStr">
        <is>
          <t>air::urban air close to ground</t>
        </is>
      </c>
      <c r="F473" t="inlineStr">
        <is>
          <t>biosphere</t>
        </is>
      </c>
      <c r="I473" s="6" t="n">
        <v>618</v>
      </c>
      <c r="J473" s="11">
        <f>J455</f>
        <v>0.22060923369823895</v>
      </c>
      <c r="K473" t="n">
        <v>2</v>
      </c>
      <c r="L473" s="3">
        <f>LN(B473)</f>
        <v>-13.053846583050863</v>
      </c>
      <c r="M473" t="n">
        <v>1</v>
      </c>
      <c r="N473" t="n">
        <v>1</v>
      </c>
      <c r="O473" t="n">
        <v>1</v>
      </c>
      <c r="P473" t="n">
        <v>1.02</v>
      </c>
      <c r="Q473" t="n">
        <v>1.2</v>
      </c>
      <c r="R473" t="n">
        <v>1</v>
      </c>
      <c r="S473" t="n">
        <v>3</v>
      </c>
      <c r="T473">
        <f>LN(SQRT(EXP(
SQRT(
+POWER(LN(M473),2)
+POWER(LN(N473),2)
+POWER(LN(O473),2)
+POWER(LN(P473),2)
+POWER(LN(Q473),2)
+POWER(LN(R473),2)
+POWER(LN(S473),2)
)
)))</f>
        <v>0.5569071410325479</v>
      </c>
    </row>
    <row r="474">
      <c r="A474" t="inlineStr">
        <is>
          <t>Mercury II</t>
        </is>
      </c>
      <c r="B474">
        <f>unallocated!B180/I474*J474</f>
        <v>2.141837220371252E-9</v>
      </c>
      <c r="D474" t="inlineStr">
        <is>
          <t>kilogram</t>
        </is>
      </c>
      <c r="E474" t="inlineStr">
        <is>
          <t>air::urban air close to ground</t>
        </is>
      </c>
      <c r="F474" t="inlineStr">
        <is>
          <t>biosphere</t>
        </is>
      </c>
      <c r="I474" s="6" t="n">
        <v>618</v>
      </c>
      <c r="J474" s="11">
        <f>J455</f>
        <v>0.22060923369823895</v>
      </c>
      <c r="K474" t="n">
        <v>2</v>
      </c>
      <c r="L474" s="3">
        <f>LN(B474)</f>
        <v>-19.961601862033</v>
      </c>
      <c r="M474" t="n">
        <v>1</v>
      </c>
      <c r="N474" t="n">
        <v>1</v>
      </c>
      <c r="O474" t="n">
        <v>1</v>
      </c>
      <c r="P474" t="n">
        <v>1.02</v>
      </c>
      <c r="Q474" t="n">
        <v>1.2</v>
      </c>
      <c r="R474" t="n">
        <v>1</v>
      </c>
      <c r="S474" t="n">
        <v>5</v>
      </c>
      <c r="T474">
        <f>LN(SQRT(EXP(
SQRT(
+POWER(LN(M474),2)
+POWER(LN(N474),2)
+POWER(LN(O474),2)
+POWER(LN(P474),2)
+POWER(LN(Q474),2)
+POWER(LN(R474),2)
+POWER(LN(S474),2)
)
)))</f>
        <v>0.80992649174166365</v>
      </c>
    </row>
    <row r="475">
      <c r="A475" t="inlineStr">
        <is>
          <t>Lead II</t>
        </is>
      </c>
      <c r="B475">
        <f>unallocated!B181/I475*J475</f>
        <v>2.141837220371252E-9</v>
      </c>
      <c r="D475" t="inlineStr">
        <is>
          <t>kilogram</t>
        </is>
      </c>
      <c r="E475" t="inlineStr">
        <is>
          <t>air::urban air close to ground</t>
        </is>
      </c>
      <c r="F475" t="inlineStr">
        <is>
          <t>biosphere</t>
        </is>
      </c>
      <c r="I475" s="6" t="n">
        <v>618</v>
      </c>
      <c r="J475" s="11">
        <f>J455</f>
        <v>0.22060923369823895</v>
      </c>
      <c r="K475" t="n">
        <v>2</v>
      </c>
      <c r="L475" s="3">
        <f>LN(B475)</f>
        <v>-19.961601862033</v>
      </c>
      <c r="M475" t="n">
        <v>1</v>
      </c>
      <c r="N475" t="n">
        <v>1</v>
      </c>
      <c r="O475" t="n">
        <v>1</v>
      </c>
      <c r="P475" t="n">
        <v>1.02</v>
      </c>
      <c r="Q475" t="n">
        <v>1.2</v>
      </c>
      <c r="R475" t="n">
        <v>1</v>
      </c>
      <c r="S475" t="n">
        <v>5</v>
      </c>
      <c r="T475">
        <f>LN(SQRT(EXP(
SQRT(
+POWER(LN(M475),2)
+POWER(LN(N475),2)
+POWER(LN(O475),2)
+POWER(LN(P475),2)
+POWER(LN(Q475),2)
+POWER(LN(R475),2)
+POWER(LN(S475),2)
)
)))</f>
        <v>0.80992649174166365</v>
      </c>
    </row>
    <row r="476">
      <c r="A476" t="inlineStr">
        <is>
          <t>Cadmium II</t>
        </is>
      </c>
      <c r="B476">
        <f>unallocated!B182/I476*J476</f>
        <v>1.070918610185626E-9</v>
      </c>
      <c r="D476" t="inlineStr">
        <is>
          <t>kilogram</t>
        </is>
      </c>
      <c r="E476" t="inlineStr">
        <is>
          <t>air::urban air close to ground</t>
        </is>
      </c>
      <c r="F476" t="inlineStr">
        <is>
          <t>biosphere</t>
        </is>
      </c>
      <c r="I476" s="6" t="n">
        <v>618</v>
      </c>
      <c r="J476" s="11">
        <f>J455</f>
        <v>0.22060923369823895</v>
      </c>
      <c r="K476" t="n">
        <v>2</v>
      </c>
      <c r="L476" s="3">
        <f>LN(B476)</f>
        <v>-20.654749042592947</v>
      </c>
      <c r="M476" t="n">
        <v>1</v>
      </c>
      <c r="N476" t="n">
        <v>1</v>
      </c>
      <c r="O476" t="n">
        <v>1</v>
      </c>
      <c r="P476" t="n">
        <v>1.02</v>
      </c>
      <c r="Q476" t="n">
        <v>1.2</v>
      </c>
      <c r="R476" t="n">
        <v>1</v>
      </c>
      <c r="S476" t="n">
        <v>5</v>
      </c>
      <c r="T476">
        <f>LN(SQRT(EXP(
SQRT(
+POWER(LN(M476),2)
+POWER(LN(N476),2)
+POWER(LN(O476),2)
+POWER(LN(P476),2)
+POWER(LN(Q476),2)
+POWER(LN(R476),2)
+POWER(LN(S476),2)
)
)))</f>
        <v>0.80992649174166365</v>
      </c>
    </row>
    <row r="477">
      <c r="A477" t="inlineStr">
        <is>
          <t>Arsenic ion</t>
        </is>
      </c>
      <c r="B477">
        <f>unallocated!B183/I477*J477</f>
        <v>1.070918610185626E-9</v>
      </c>
      <c r="D477" t="inlineStr">
        <is>
          <t>kilogram</t>
        </is>
      </c>
      <c r="E477" t="inlineStr">
        <is>
          <t>air::urban air close to ground</t>
        </is>
      </c>
      <c r="F477" t="inlineStr">
        <is>
          <t>biosphere</t>
        </is>
      </c>
      <c r="I477" s="6" t="n">
        <v>618</v>
      </c>
      <c r="J477" s="11">
        <f>J455</f>
        <v>0.22060923369823895</v>
      </c>
      <c r="K477" t="n">
        <v>2</v>
      </c>
      <c r="L477" s="3">
        <f>LN(B477)</f>
        <v>-20.654749042592947</v>
      </c>
      <c r="M477" t="n">
        <v>1</v>
      </c>
      <c r="N477" t="n">
        <v>1</v>
      </c>
      <c r="O477" t="n">
        <v>1</v>
      </c>
      <c r="P477" t="n">
        <v>1.02</v>
      </c>
      <c r="Q477" t="n">
        <v>1.2</v>
      </c>
      <c r="R477" t="n">
        <v>1</v>
      </c>
      <c r="S477" t="n">
        <v>5</v>
      </c>
      <c r="T477">
        <f>LN(SQRT(EXP(
SQRT(
+POWER(LN(M477),2)
+POWER(LN(N477),2)
+POWER(LN(O477),2)
+POWER(LN(P477),2)
+POWER(LN(Q477),2)
+POWER(LN(R477),2)
+POWER(LN(S477),2)
)
)))</f>
        <v>0.80992649174166365</v>
      </c>
    </row>
    <row r="478">
      <c r="A478" t="inlineStr">
        <is>
          <t>Dioxins, measured as 2,3,7,8-tetrachlorodibenzo-p-dioxin</t>
        </is>
      </c>
      <c r="B478">
        <f>unallocated!B184/I478*J478</f>
        <v>3.9267015706806289E-14</v>
      </c>
      <c r="D478" t="inlineStr">
        <is>
          <t>kilogram</t>
        </is>
      </c>
      <c r="E478" t="inlineStr">
        <is>
          <t>air::urban air close to ground</t>
        </is>
      </c>
      <c r="F478" t="inlineStr">
        <is>
          <t>biosphere</t>
        </is>
      </c>
      <c r="I478" s="6" t="n">
        <v>618</v>
      </c>
      <c r="J478" s="11">
        <f>J455</f>
        <v>0.22060923369823895</v>
      </c>
      <c r="K478" t="n">
        <v>2</v>
      </c>
      <c r="L478" s="3">
        <f>LN(B478)</f>
        <v>-30.868391523432912</v>
      </c>
      <c r="M478" t="n">
        <v>1</v>
      </c>
      <c r="N478" t="n">
        <v>1</v>
      </c>
      <c r="O478" t="n">
        <v>1</v>
      </c>
      <c r="P478" t="n">
        <v>1.02</v>
      </c>
      <c r="Q478" t="n">
        <v>1.2</v>
      </c>
      <c r="R478" t="n">
        <v>1</v>
      </c>
      <c r="S478" t="n">
        <v>5</v>
      </c>
      <c r="T478">
        <f>LN(SQRT(EXP(
SQRT(
+POWER(LN(M478),2)
+POWER(LN(N478),2)
+POWER(LN(O478),2)
+POWER(LN(P478),2)
+POWER(LN(Q478),2)
+POWER(LN(R478),2)
+POWER(LN(S478),2)
)
)))</f>
        <v>0.80992649174166365</v>
      </c>
    </row>
    <row r="479">
      <c r="A479" t="inlineStr">
        <is>
          <t>Carbon dioxide, fossil</t>
        </is>
      </c>
      <c r="B479">
        <f>unallocated!B185/I479*J479</f>
        <v>0.13350785340314139</v>
      </c>
      <c r="D479" t="inlineStr">
        <is>
          <t>kilogram</t>
        </is>
      </c>
      <c r="E479" t="inlineStr">
        <is>
          <t>air::urban air close to ground</t>
        </is>
      </c>
      <c r="F479" t="inlineStr">
        <is>
          <t>biosphere</t>
        </is>
      </c>
      <c r="I479" s="6" t="n">
        <v>618</v>
      </c>
      <c r="J479" s="11">
        <f>J455</f>
        <v>0.22060923369823895</v>
      </c>
      <c r="K479" t="n">
        <v>2</v>
      </c>
      <c r="L479" s="3">
        <f>LN(B479)</f>
        <v>-2.0135949758822491</v>
      </c>
      <c r="M479" t="n">
        <v>1</v>
      </c>
      <c r="N479" t="n">
        <v>1</v>
      </c>
      <c r="O479" t="n">
        <v>1</v>
      </c>
      <c r="P479" t="n">
        <v>1.02</v>
      </c>
      <c r="Q479" t="n">
        <v>1.2</v>
      </c>
      <c r="R479" t="n">
        <v>1</v>
      </c>
      <c r="S479" t="n">
        <v>1.05</v>
      </c>
      <c r="T479">
        <f>LN(SQRT(EXP(
SQRT(
+POWER(LN(M479),2)
+POWER(LN(N479),2)
+POWER(LN(O479),2)
+POWER(LN(P479),2)
+POWER(LN(Q479),2)
+POWER(LN(R479),2)
+POWER(LN(S479),2)
)
)))</f>
        <v>9.4886477223156879E-2</v>
      </c>
    </row>
    <row r="480">
      <c r="A480" t="inlineStr">
        <is>
          <t>Carbon dioxide, non-fossil</t>
        </is>
      </c>
      <c r="B480">
        <f>unallocated!B186/I480*J480</f>
        <v>0.21204188481675396</v>
      </c>
      <c r="D480" t="inlineStr">
        <is>
          <t>kilogram</t>
        </is>
      </c>
      <c r="E480" t="inlineStr">
        <is>
          <t>air::urban air close to ground</t>
        </is>
      </c>
      <c r="F480" t="inlineStr">
        <is>
          <t>biosphere</t>
        </is>
      </c>
      <c r="I480" s="6" t="n">
        <v>618</v>
      </c>
      <c r="J480" s="11">
        <f>J455</f>
        <v>0.22060923369823895</v>
      </c>
      <c r="K480" t="n">
        <v>2</v>
      </c>
      <c r="L480" s="3">
        <f>LN(B480)</f>
        <v>-1.5509714539341364</v>
      </c>
      <c r="M480" t="n">
        <v>1</v>
      </c>
      <c r="N480" t="n">
        <v>1</v>
      </c>
      <c r="O480" t="n">
        <v>1</v>
      </c>
      <c r="P480" t="n">
        <v>1.02</v>
      </c>
      <c r="Q480" t="n">
        <v>1.2</v>
      </c>
      <c r="R480" t="n">
        <v>1</v>
      </c>
      <c r="S480" t="n">
        <v>1.05</v>
      </c>
      <c r="T480">
        <f>LN(SQRT(EXP(
SQRT(
+POWER(LN(M480),2)
+POWER(LN(N480),2)
+POWER(LN(O480),2)
+POWER(LN(P480),2)
+POWER(LN(Q480),2)
+POWER(LN(R480),2)
+POWER(LN(S480),2)
)
)))</f>
        <v>9.4886477223156879E-2</v>
      </c>
    </row>
    <row r="481"/>
    <row r="482">
      <c r="A482" s="1" t="inlineStr">
        <is>
          <t>Activity</t>
        </is>
      </c>
      <c r="B482" s="1" t="inlineStr">
        <is>
          <t>municipal waste incineration, at incineration plant, with wet air pollution control, with flue gas condensation, with electricity and heat recovery, energy allocation</t>
        </is>
      </c>
    </row>
    <row r="483">
      <c r="A483" t="inlineStr">
        <is>
          <t>location</t>
        </is>
      </c>
      <c r="B483" t="inlineStr">
        <is>
          <t>RER</t>
        </is>
      </c>
    </row>
    <row r="484">
      <c r="A484" t="inlineStr">
        <is>
          <t>production amount</t>
        </is>
      </c>
      <c r="B484" t="n">
        <v>1</v>
      </c>
    </row>
    <row r="485">
      <c r="A485" s="2" t="inlineStr">
        <is>
          <t>source</t>
        </is>
      </c>
      <c r="B485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86">
      <c r="A486" t="inlineStr">
        <is>
          <t>reference product</t>
        </is>
      </c>
      <c r="B486" t="inlineStr">
        <is>
          <t>heat, district or industrial, other than natural gas</t>
        </is>
      </c>
    </row>
    <row r="487">
      <c r="A487" t="inlineStr">
        <is>
          <t>type</t>
        </is>
      </c>
      <c r="B487" t="inlineStr">
        <is>
          <t>process</t>
        </is>
      </c>
    </row>
    <row r="488">
      <c r="A488" t="inlineStr">
        <is>
          <t>unit</t>
        </is>
      </c>
      <c r="B488" t="inlineStr">
        <is>
          <t>megajoule</t>
        </is>
      </c>
    </row>
    <row r="489">
      <c r="A489" t="inlineStr">
        <is>
          <t>comment</t>
        </is>
      </c>
      <c r="B489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618 kWh. Heat production per ton MSWI incinerated: 7'860 MJ.</t>
        </is>
      </c>
    </row>
    <row r="490">
      <c r="A490" s="1" t="inlineStr">
        <is>
          <t>Exchanges</t>
        </is>
      </c>
    </row>
    <row r="491">
      <c r="A491" s="7" t="inlineStr">
        <is>
          <t>name</t>
        </is>
      </c>
      <c r="B491" s="7" t="inlineStr">
        <is>
          <t>amount</t>
        </is>
      </c>
      <c r="C491" s="7" t="inlineStr">
        <is>
          <t>location</t>
        </is>
      </c>
      <c r="D491" s="7" t="inlineStr">
        <is>
          <t>unit</t>
        </is>
      </c>
      <c r="E491" s="7" t="inlineStr">
        <is>
          <t>categories</t>
        </is>
      </c>
      <c r="F491" s="7" t="inlineStr">
        <is>
          <t>type</t>
        </is>
      </c>
      <c r="G491" s="7" t="inlineStr">
        <is>
          <t>reference product</t>
        </is>
      </c>
      <c r="H491" s="7" t="inlineStr">
        <is>
          <t>comment</t>
        </is>
      </c>
      <c r="I491" s="7" t="inlineStr">
        <is>
          <t>normalization</t>
        </is>
      </c>
      <c r="J491" s="7" t="inlineStr">
        <is>
          <t>allocation</t>
        </is>
      </c>
      <c r="K491" s="7" t="inlineStr">
        <is>
          <t>uncertainty type</t>
        </is>
      </c>
      <c r="L491" s="7" t="inlineStr">
        <is>
          <t>loc</t>
        </is>
      </c>
      <c r="M491" s="1" t="inlineStr">
        <is>
          <t>u1</t>
        </is>
      </c>
      <c r="N491" s="1" t="inlineStr">
        <is>
          <t>u2</t>
        </is>
      </c>
      <c r="O491" s="1" t="inlineStr">
        <is>
          <t>u3</t>
        </is>
      </c>
      <c r="P491" s="1" t="inlineStr">
        <is>
          <t>u4</t>
        </is>
      </c>
      <c r="Q491" s="1" t="inlineStr">
        <is>
          <t>u5</t>
        </is>
      </c>
      <c r="R491" s="1" t="inlineStr">
        <is>
          <t>u6</t>
        </is>
      </c>
      <c r="S491" s="1" t="inlineStr">
        <is>
          <t>ub</t>
        </is>
      </c>
      <c r="T491" s="1" t="inlineStr">
        <is>
          <t>scale</t>
        </is>
      </c>
      <c r="U491" s="1" t="inlineStr">
        <is>
          <t>negative</t>
        </is>
      </c>
    </row>
    <row r="492">
      <c r="A492" t="inlineStr">
        <is>
          <t>municipal waste incineration, at incineration plant, with wet air pollution control, with flue gas condensation, with electricity and heat recovery, energy allocation</t>
        </is>
      </c>
      <c r="B492" t="n">
        <v>0</v>
      </c>
      <c r="C492" t="inlineStr">
        <is>
          <t>RER</t>
        </is>
      </c>
      <c r="D492" t="inlineStr">
        <is>
          <t>kilogram</t>
        </is>
      </c>
      <c r="F492" t="inlineStr">
        <is>
          <t>technosphere</t>
        </is>
      </c>
      <c r="G492" t="inlineStr">
        <is>
          <t>municipal solid waste</t>
        </is>
      </c>
      <c r="H492" t="inlineStr"/>
      <c r="I492" t="n">
        <v>7860</v>
      </c>
      <c r="J492" s="14">
        <f>INDEX('allocation keys'!$F$4:$H$28,MATCH('allocated (energy)'!$B$482,'allocation keys'!$B$4:$B$28,0),MATCH('allocated (energy)'!$B$486,'allocation keys'!$F$3:$H$3,0))</f>
        <v>0.77939076630176107</v>
      </c>
      <c r="K492" t="n">
        <v>0</v>
      </c>
      <c r="M492" s="5" t="n"/>
      <c r="N492" s="5" t="n"/>
      <c r="O492" s="5" t="n"/>
      <c r="P492" s="5" t="n"/>
      <c r="Q492" s="5" t="n"/>
      <c r="R492" s="5" t="n"/>
    </row>
    <row r="493">
      <c r="A493" t="inlineStr">
        <is>
          <t>municipal waste incineration, at incineration plant, with wet air pollution control, with flue gas condensation, with electricity and heat recovery, energy allocation</t>
        </is>
      </c>
      <c r="B493" s="6" t="n">
        <v>0</v>
      </c>
      <c r="C493" t="inlineStr">
        <is>
          <t>RER</t>
        </is>
      </c>
      <c r="D493" t="inlineStr">
        <is>
          <t>kilowatt hour</t>
        </is>
      </c>
      <c r="F493" t="inlineStr">
        <is>
          <t>technosphere</t>
        </is>
      </c>
      <c r="G493" t="inlineStr">
        <is>
          <t>electricity, medium voltage</t>
        </is>
      </c>
      <c r="H493" t="inlineStr"/>
      <c r="I493" t="n">
        <v>7860</v>
      </c>
      <c r="J493" s="11">
        <f>J492</f>
        <v>0.77939076630176107</v>
      </c>
      <c r="K493" t="n">
        <v>0</v>
      </c>
      <c r="L493" s="3" t="n"/>
    </row>
    <row r="494">
      <c r="A494" t="inlineStr">
        <is>
          <t>municipal waste incineration, at incineration plant, with wet air pollution control, with flue gas condensation, with electricity and heat recovery, energy allocation</t>
        </is>
      </c>
      <c r="B494" t="n">
        <v>1</v>
      </c>
      <c r="C494" t="inlineStr">
        <is>
          <t>RER</t>
        </is>
      </c>
      <c r="D494" t="inlineStr">
        <is>
          <t>megajoule</t>
        </is>
      </c>
      <c r="F494" t="inlineStr">
        <is>
          <t>production</t>
        </is>
      </c>
      <c r="G494" t="inlineStr">
        <is>
          <t>heat, district or industrial, other than natural gas</t>
        </is>
      </c>
      <c r="H494" t="inlineStr"/>
      <c r="I494" t="n">
        <v>7860</v>
      </c>
      <c r="J494" s="11">
        <f>J492</f>
        <v>0.77939076630176107</v>
      </c>
      <c r="K494" t="n">
        <v>0</v>
      </c>
      <c r="L494" s="3" t="n"/>
    </row>
    <row r="495">
      <c r="A495" t="inlineStr">
        <is>
          <t>market for diesel, low-sulfur</t>
        </is>
      </c>
      <c r="B495">
        <f>unallocated!B164/I495*J495</f>
        <v>8.4285260986831671E-6</v>
      </c>
      <c r="C495" t="inlineStr">
        <is>
          <t>Europe without Switzerland</t>
        </is>
      </c>
      <c r="D495" t="inlineStr">
        <is>
          <t>kilogram</t>
        </is>
      </c>
      <c r="F495" t="inlineStr">
        <is>
          <t>technosphere</t>
        </is>
      </c>
      <c r="G495" t="inlineStr">
        <is>
          <t>diesel, low-sulfur</t>
        </is>
      </c>
      <c r="H495" t="inlineStr">
        <is>
          <t>Diesel density: 0.85 kg/l</t>
        </is>
      </c>
      <c r="I495" t="n">
        <v>7860</v>
      </c>
      <c r="J495" s="11">
        <f>J492</f>
        <v>0.77939076630176107</v>
      </c>
      <c r="K495" t="n">
        <v>2</v>
      </c>
      <c r="L495" s="3">
        <f>LN(B495)</f>
        <v>-11.683888641250666</v>
      </c>
      <c r="M495" t="n">
        <v>1</v>
      </c>
      <c r="N495" t="n">
        <v>1</v>
      </c>
      <c r="O495" t="n">
        <v>1</v>
      </c>
      <c r="P495" t="n">
        <v>1.02</v>
      </c>
      <c r="Q495" t="n">
        <v>1.2</v>
      </c>
      <c r="R495" t="n">
        <v>1</v>
      </c>
      <c r="S495" t="n">
        <v>1.05</v>
      </c>
      <c r="T495">
        <f>LN(SQRT(EXP(
SQRT(
+POWER(LN(M495),2)
+POWER(LN(N495),2)
+POWER(LN(O495),2)
+POWER(LN(P495),2)
+POWER(LN(Q495),2)
+POWER(LN(R495),2)
+POWER(LN(S495),2)
)
)))</f>
        <v>9.4886477223156879E-2</v>
      </c>
    </row>
    <row r="496">
      <c r="A496" t="inlineStr">
        <is>
          <t>market for activated carbon, granular</t>
        </is>
      </c>
      <c r="B496">
        <f>unallocated!B165/I496*J496</f>
        <v>3.9663652229097259E-5</v>
      </c>
      <c r="C496" t="inlineStr">
        <is>
          <t>GLO</t>
        </is>
      </c>
      <c r="D496" t="inlineStr">
        <is>
          <t>kilogram</t>
        </is>
      </c>
      <c r="F496" t="inlineStr">
        <is>
          <t>technosphere</t>
        </is>
      </c>
      <c r="G496" t="inlineStr">
        <is>
          <t>activated carbon, granular</t>
        </is>
      </c>
      <c r="I496" t="n">
        <v>7860</v>
      </c>
      <c r="J496" s="11">
        <f>J492</f>
        <v>0.77939076630176107</v>
      </c>
      <c r="K496" t="n">
        <v>2</v>
      </c>
      <c r="L496" s="3">
        <f>LN(B496)</f>
        <v>-10.135075350633</v>
      </c>
      <c r="M496" t="n">
        <v>1</v>
      </c>
      <c r="N496" t="n">
        <v>1</v>
      </c>
      <c r="O496" t="n">
        <v>1</v>
      </c>
      <c r="P496" t="n">
        <v>1.02</v>
      </c>
      <c r="Q496" t="n">
        <v>1.2</v>
      </c>
      <c r="R496" t="n">
        <v>1</v>
      </c>
      <c r="S496" t="n">
        <v>1.05</v>
      </c>
      <c r="T496">
        <f>LN(SQRT(EXP(
SQRT(
+POWER(LN(M496),2)
+POWER(LN(N496),2)
+POWER(LN(O496),2)
+POWER(LN(P496),2)
+POWER(LN(Q496),2)
+POWER(LN(R496),2)
+POWER(LN(S496),2)
)
)))</f>
        <v>9.4886477223156879E-2</v>
      </c>
    </row>
    <row r="497">
      <c r="A497" t="inlineStr">
        <is>
          <t>market for ammonia, anhydrous, liquid</t>
        </is>
      </c>
      <c r="B497">
        <f>unallocated!B166/I497*J497</f>
        <v>9.7175947961288274E-5</v>
      </c>
      <c r="C497" t="inlineStr">
        <is>
          <t>RER</t>
        </is>
      </c>
      <c r="D497" t="inlineStr">
        <is>
          <t>kilogram</t>
        </is>
      </c>
      <c r="F497" t="inlineStr">
        <is>
          <t>technosphere</t>
        </is>
      </c>
      <c r="G497" t="inlineStr">
        <is>
          <t>ammonia, anhydrous, liquid</t>
        </is>
      </c>
      <c r="H497" t="inlineStr">
        <is>
          <t>100% liquid ammonia. In original publication, it is dilluated to 23.5% in water. We discount the original value by 75%.</t>
        </is>
      </c>
      <c r="I497" t="n">
        <v>7860</v>
      </c>
      <c r="J497" s="11">
        <f>J492</f>
        <v>0.77939076630176107</v>
      </c>
      <c r="K497" t="n">
        <v>2</v>
      </c>
      <c r="L497" s="3">
        <f>LN(B497)</f>
        <v>-9.2389873260763657</v>
      </c>
      <c r="M497" t="n">
        <v>1</v>
      </c>
      <c r="N497" t="n">
        <v>1</v>
      </c>
      <c r="O497" t="n">
        <v>1</v>
      </c>
      <c r="P497" t="n">
        <v>1.02</v>
      </c>
      <c r="Q497" t="n">
        <v>1.2</v>
      </c>
      <c r="R497" t="n">
        <v>1</v>
      </c>
      <c r="S497" t="n">
        <v>1.05</v>
      </c>
      <c r="T497">
        <f>LN(SQRT(EXP(
SQRT(
+POWER(LN(M497),2)
+POWER(LN(N497),2)
+POWER(LN(O497),2)
+POWER(LN(P497),2)
+POWER(LN(Q497),2)
+POWER(LN(R497),2)
+POWER(LN(S497),2)
)
)))</f>
        <v>9.4886477223156879E-2</v>
      </c>
    </row>
    <row r="498">
      <c r="A498" t="inlineStr">
        <is>
          <t>market for tap water</t>
        </is>
      </c>
      <c r="B498">
        <f>unallocated!B167/I498*J498</f>
        <v>2.9946057432968427E-4</v>
      </c>
      <c r="C498" t="inlineStr">
        <is>
          <t>Europe without Switzerland</t>
        </is>
      </c>
      <c r="D498" t="inlineStr">
        <is>
          <t>kilogram</t>
        </is>
      </c>
      <c r="F498" t="inlineStr">
        <is>
          <t>technosphere</t>
        </is>
      </c>
      <c r="G498" t="inlineStr">
        <is>
          <t>tap water</t>
        </is>
      </c>
      <c r="H498" t="inlineStr">
        <is>
          <t>Used to dilute the ammonia.</t>
        </is>
      </c>
      <c r="I498" t="n">
        <v>7860</v>
      </c>
      <c r="J498" s="11">
        <f>J492</f>
        <v>0.77939076630176107</v>
      </c>
      <c r="K498" t="n">
        <v>2</v>
      </c>
      <c r="L498" s="3">
        <f>LN(B498)</f>
        <v>-8.1135277873720675</v>
      </c>
      <c r="M498" t="n">
        <v>1</v>
      </c>
      <c r="N498" t="n">
        <v>1</v>
      </c>
      <c r="O498" t="n">
        <v>1</v>
      </c>
      <c r="P498" t="n">
        <v>1.02</v>
      </c>
      <c r="Q498" t="n">
        <v>1.2</v>
      </c>
      <c r="R498" t="n">
        <v>1</v>
      </c>
      <c r="S498" t="n">
        <v>1.05</v>
      </c>
      <c r="T498">
        <f>LN(SQRT(EXP(
SQRT(
+POWER(LN(M498),2)
+POWER(LN(N498),2)
+POWER(LN(O498),2)
+POWER(LN(P498),2)
+POWER(LN(Q498),2)
+POWER(LN(R498),2)
+POWER(LN(S498),2)
)
)))</f>
        <v>9.4886477223156879E-2</v>
      </c>
    </row>
    <row r="499">
      <c r="A499" t="inlineStr">
        <is>
          <t>market for calcium carbonate, precipitated</t>
        </is>
      </c>
      <c r="B499">
        <f>unallocated!B168/I499*J499</f>
        <v>6.9411391400920198E-4</v>
      </c>
      <c r="C499" t="inlineStr">
        <is>
          <t>RER</t>
        </is>
      </c>
      <c r="D499" t="inlineStr">
        <is>
          <t>kilogram</t>
        </is>
      </c>
      <c r="F499" t="inlineStr">
        <is>
          <t>technosphere</t>
        </is>
      </c>
      <c r="G499" t="inlineStr">
        <is>
          <t>calcium carbonate, precipitated</t>
        </is>
      </c>
      <c r="I499" t="n">
        <v>7860</v>
      </c>
      <c r="J499" s="11">
        <f>J492</f>
        <v>0.77939076630176107</v>
      </c>
      <c r="K499" t="n">
        <v>0</v>
      </c>
      <c r="L499" s="3" t="n"/>
    </row>
    <row r="500">
      <c r="A500" t="inlineStr">
        <is>
          <t>market for iron(III) chloride, without water, in 40% solution state</t>
        </is>
      </c>
      <c r="B500">
        <f>unallocated!B169/I500*J500</f>
        <v>4.9579565286371573E-6</v>
      </c>
      <c r="C500" t="inlineStr">
        <is>
          <t>GLO</t>
        </is>
      </c>
      <c r="D500" t="inlineStr">
        <is>
          <t>kilogram</t>
        </is>
      </c>
      <c r="F500" t="inlineStr">
        <is>
          <t>technosphere</t>
        </is>
      </c>
      <c r="G500" t="inlineStr">
        <is>
          <t>iron(III) chloride, without water, in 40% solution state</t>
        </is>
      </c>
      <c r="I500" t="n">
        <v>7860</v>
      </c>
      <c r="J500" s="11">
        <f>J492</f>
        <v>0.77939076630176107</v>
      </c>
      <c r="K500" t="n">
        <v>0</v>
      </c>
      <c r="L500" s="3" t="n"/>
    </row>
    <row r="501">
      <c r="A501" t="inlineStr">
        <is>
          <t>market for lime, hydrated, packed</t>
        </is>
      </c>
      <c r="B501">
        <f>unallocated!B170/I501*J501</f>
        <v>0</v>
      </c>
      <c r="C501" t="inlineStr">
        <is>
          <t>RER</t>
        </is>
      </c>
      <c r="D501" t="inlineStr">
        <is>
          <t>kilogram</t>
        </is>
      </c>
      <c r="F501" t="inlineStr">
        <is>
          <t>technosphere</t>
        </is>
      </c>
      <c r="G501" t="inlineStr">
        <is>
          <t>lime, hydrated, packed</t>
        </is>
      </c>
      <c r="I501" t="n">
        <v>7860</v>
      </c>
      <c r="J501" s="11">
        <f>J492</f>
        <v>0.77939076630176107</v>
      </c>
      <c r="K501" t="n">
        <v>0</v>
      </c>
      <c r="L501" s="3" t="n"/>
    </row>
    <row r="502">
      <c r="A502" t="inlineStr">
        <is>
          <t>market for sodium hydroxide, without water, in 50% solution state</t>
        </is>
      </c>
      <c r="B502">
        <f>unallocated!B171/I502*J502</f>
        <v>4.9579565286371566E-5</v>
      </c>
      <c r="C502" t="inlineStr">
        <is>
          <t>RER</t>
        </is>
      </c>
      <c r="D502" t="inlineStr">
        <is>
          <t>kilogram</t>
        </is>
      </c>
      <c r="F502" t="inlineStr">
        <is>
          <t>technosphere</t>
        </is>
      </c>
      <c r="G502" t="inlineStr">
        <is>
          <t>sodium hydroxide, without water, in 50% solution state</t>
        </is>
      </c>
      <c r="H502" t="inlineStr">
        <is>
          <t>50% liquid ammonia. In original publication, it is dilluated to 27% in water. We discount the original value by 50%.</t>
        </is>
      </c>
      <c r="I502" t="n">
        <v>7860</v>
      </c>
      <c r="J502" s="11">
        <f>J492</f>
        <v>0.77939076630176107</v>
      </c>
      <c r="K502" t="n">
        <v>0</v>
      </c>
      <c r="L502" s="3" t="n"/>
    </row>
    <row r="503">
      <c r="A503" t="inlineStr">
        <is>
          <t>market for monoethanolamine</t>
        </is>
      </c>
      <c r="B503">
        <f>unallocated!B172/I503*J503</f>
        <v>0</v>
      </c>
      <c r="C503" t="inlineStr">
        <is>
          <t>GLO</t>
        </is>
      </c>
      <c r="D503" t="inlineStr">
        <is>
          <t>kilogram</t>
        </is>
      </c>
      <c r="F503" t="inlineStr">
        <is>
          <t>technosphere</t>
        </is>
      </c>
      <c r="G503" t="inlineStr">
        <is>
          <t>monoethanolamine</t>
        </is>
      </c>
      <c r="I503" t="n">
        <v>7860</v>
      </c>
      <c r="J503" s="11">
        <f>J492</f>
        <v>0.77939076630176107</v>
      </c>
      <c r="K503" t="n">
        <v>0</v>
      </c>
      <c r="L503" s="3" t="n"/>
    </row>
    <row r="504">
      <c r="A504" t="inlineStr">
        <is>
          <t>municipal waste incineration facility construction</t>
        </is>
      </c>
      <c r="B504">
        <f>unallocated!B173/I504*J504</f>
        <v>2.4789782643185781E-11</v>
      </c>
      <c r="C504" t="inlineStr">
        <is>
          <t>CH</t>
        </is>
      </c>
      <c r="D504" t="inlineStr">
        <is>
          <t>unit</t>
        </is>
      </c>
      <c r="F504" t="inlineStr">
        <is>
          <t>technosphere</t>
        </is>
      </c>
      <c r="G504" t="inlineStr">
        <is>
          <t>municipal waste incineration facility</t>
        </is>
      </c>
      <c r="H504" t="inlineStr">
        <is>
          <t>Lifetime: 4'000'000 tons MSWI treated.</t>
        </is>
      </c>
      <c r="I504" t="n">
        <v>7860</v>
      </c>
      <c r="J504" s="11">
        <f>J492</f>
        <v>0.77939076630176107</v>
      </c>
      <c r="K504" t="n">
        <v>2</v>
      </c>
      <c r="L504" s="3">
        <f>LN(B504)</f>
        <v>-24.420589537843011</v>
      </c>
      <c r="M504" t="n">
        <v>1</v>
      </c>
      <c r="N504" t="n">
        <v>1</v>
      </c>
      <c r="O504" t="n">
        <v>1</v>
      </c>
      <c r="P504" t="n">
        <v>1.02</v>
      </c>
      <c r="Q504" t="n">
        <v>1.2</v>
      </c>
      <c r="R504" t="n">
        <v>1</v>
      </c>
      <c r="S504" t="n">
        <v>3</v>
      </c>
      <c r="T504">
        <f>LN(SQRT(EXP(
SQRT(
+POWER(LN(M504),2)
+POWER(LN(N504),2)
+POWER(LN(O504),2)
+POWER(LN(P504),2)
+POWER(LN(Q504),2)
+POWER(LN(R504),2)
+POWER(LN(S504),2)
)
)))</f>
        <v>0.5569071410325479</v>
      </c>
    </row>
    <row r="505">
      <c r="A505" t="inlineStr">
        <is>
          <t>Water, cooling, unspecified natural origin</t>
        </is>
      </c>
      <c r="B505">
        <f>unallocated!B174/I505*J505</f>
        <v>0</v>
      </c>
      <c r="D505" t="inlineStr">
        <is>
          <t>cubic meter</t>
        </is>
      </c>
      <c r="E505" t="inlineStr">
        <is>
          <t>natural resource::in water</t>
        </is>
      </c>
      <c r="F505" t="inlineStr">
        <is>
          <t>biosphere</t>
        </is>
      </c>
      <c r="I505" t="n">
        <v>7860</v>
      </c>
      <c r="J505" s="11">
        <f>J492</f>
        <v>0.77939076630176107</v>
      </c>
      <c r="K505" t="n">
        <v>0</v>
      </c>
      <c r="L505" s="3" t="n"/>
    </row>
    <row r="506">
      <c r="A506" t="inlineStr">
        <is>
          <t>Sulfur dioxide</t>
        </is>
      </c>
      <c r="B506">
        <f>unallocated!B175/I506*J506</f>
        <v>5.9495478343645882E-7</v>
      </c>
      <c r="D506" t="inlineStr">
        <is>
          <t>kilogram</t>
        </is>
      </c>
      <c r="E506" t="inlineStr">
        <is>
          <t>air::urban air close to ground</t>
        </is>
      </c>
      <c r="F506" t="inlineStr">
        <is>
          <t>biosphere</t>
        </is>
      </c>
      <c r="I506" t="n">
        <v>7860</v>
      </c>
      <c r="J506" s="11">
        <f>J492</f>
        <v>0.77939076630176107</v>
      </c>
      <c r="K506" t="n">
        <v>2</v>
      </c>
      <c r="L506" s="3">
        <f>LN(B506)</f>
        <v>-14.334780428512929</v>
      </c>
      <c r="M506" t="n">
        <v>1</v>
      </c>
      <c r="N506" t="n">
        <v>1</v>
      </c>
      <c r="O506" t="n">
        <v>1</v>
      </c>
      <c r="P506" t="n">
        <v>1.02</v>
      </c>
      <c r="Q506" t="n">
        <v>1.2</v>
      </c>
      <c r="R506" t="n">
        <v>1</v>
      </c>
      <c r="S506" t="n">
        <v>1.05</v>
      </c>
      <c r="T506">
        <f>LN(SQRT(EXP(
SQRT(
+POWER(LN(M506),2)
+POWER(LN(N506),2)
+POWER(LN(O506),2)
+POWER(LN(P506),2)
+POWER(LN(Q506),2)
+POWER(LN(R506),2)
+POWER(LN(S506),2)
)
)))</f>
        <v>9.4886477223156879E-2</v>
      </c>
    </row>
    <row r="507">
      <c r="A507" t="inlineStr">
        <is>
          <t>Hydrochloric acid</t>
        </is>
      </c>
      <c r="B507">
        <f>unallocated!B176/I507*J507</f>
        <v>2.9747739171822941E-7</v>
      </c>
      <c r="D507" t="inlineStr">
        <is>
          <t>kilogram</t>
        </is>
      </c>
      <c r="E507" t="inlineStr">
        <is>
          <t>air</t>
        </is>
      </c>
      <c r="F507" t="inlineStr">
        <is>
          <t>biosphere</t>
        </is>
      </c>
      <c r="I507" t="n">
        <v>7860</v>
      </c>
      <c r="J507" s="11">
        <f>J492</f>
        <v>0.77939076630176107</v>
      </c>
      <c r="K507" t="n">
        <v>2</v>
      </c>
      <c r="L507" s="3">
        <f>LN(B507)</f>
        <v>-15.027927609072872</v>
      </c>
      <c r="M507" t="n">
        <v>1</v>
      </c>
      <c r="N507" t="n">
        <v>1</v>
      </c>
      <c r="O507" t="n">
        <v>1</v>
      </c>
      <c r="P507" t="n">
        <v>1.02</v>
      </c>
      <c r="Q507" t="n">
        <v>1.2</v>
      </c>
      <c r="R507" t="n">
        <v>1</v>
      </c>
      <c r="S507" t="n">
        <v>1.5</v>
      </c>
      <c r="T507">
        <f>LN(SQRT(EXP(
SQRT(
+POWER(LN(M507),2)
+POWER(LN(N507),2)
+POWER(LN(O507),2)
+POWER(LN(P507),2)
+POWER(LN(Q507),2)
+POWER(LN(R507),2)
+POWER(LN(S507),2)
)
)))</f>
        <v>0.22250575723605889</v>
      </c>
    </row>
    <row r="508">
      <c r="A508" t="inlineStr">
        <is>
          <t>Nitrogen oxides</t>
        </is>
      </c>
      <c r="B508">
        <f>unallocated!B177/I508*J508</f>
        <v>6.7130731397747111E-5</v>
      </c>
      <c r="D508" t="inlineStr">
        <is>
          <t>kilogram</t>
        </is>
      </c>
      <c r="E508" t="inlineStr">
        <is>
          <t>air::urban air close to ground</t>
        </is>
      </c>
      <c r="F508" t="inlineStr">
        <is>
          <t>biosphere</t>
        </is>
      </c>
      <c r="I508" t="n">
        <v>7860</v>
      </c>
      <c r="J508" s="11">
        <f>J492</f>
        <v>0.77939076630176107</v>
      </c>
      <c r="K508" t="n">
        <v>2</v>
      </c>
      <c r="L508" s="3">
        <f>LN(B508)</f>
        <v>-9.6088686248287072</v>
      </c>
      <c r="M508" t="n">
        <v>1</v>
      </c>
      <c r="N508" t="n">
        <v>1</v>
      </c>
      <c r="O508" t="n">
        <v>1</v>
      </c>
      <c r="P508" t="n">
        <v>1.02</v>
      </c>
      <c r="Q508" t="n">
        <v>1.2</v>
      </c>
      <c r="R508" t="n">
        <v>1</v>
      </c>
      <c r="S508" t="n">
        <v>1.5</v>
      </c>
      <c r="T508">
        <f>LN(SQRT(EXP(
SQRT(
+POWER(LN(M508),2)
+POWER(LN(N508),2)
+POWER(LN(O508),2)
+POWER(LN(P508),2)
+POWER(LN(Q508),2)
+POWER(LN(R508),2)
+POWER(LN(S508),2)
)
)))</f>
        <v>0.22250575723605889</v>
      </c>
    </row>
    <row r="509">
      <c r="A509" t="inlineStr">
        <is>
          <t>Ammonia</t>
        </is>
      </c>
      <c r="B509">
        <f>unallocated!B178/I509*J509</f>
        <v>9.9159130572743141E-8</v>
      </c>
      <c r="D509" t="inlineStr">
        <is>
          <t>kilogram</t>
        </is>
      </c>
      <c r="E509" t="inlineStr">
        <is>
          <t>air::urban air close to ground</t>
        </is>
      </c>
      <c r="F509" t="inlineStr">
        <is>
          <t>biosphere</t>
        </is>
      </c>
      <c r="I509" t="n">
        <v>7860</v>
      </c>
      <c r="J509" s="11">
        <f>J492</f>
        <v>0.77939076630176107</v>
      </c>
      <c r="K509" t="n">
        <v>2</v>
      </c>
      <c r="L509" s="3">
        <f>LN(B509)</f>
        <v>-16.126539897740983</v>
      </c>
      <c r="M509" t="n">
        <v>1</v>
      </c>
      <c r="N509" t="n">
        <v>1</v>
      </c>
      <c r="O509" t="n">
        <v>1</v>
      </c>
      <c r="P509" t="n">
        <v>1.02</v>
      </c>
      <c r="Q509" t="n">
        <v>1.2</v>
      </c>
      <c r="R509" t="n">
        <v>1</v>
      </c>
      <c r="S509" t="n">
        <v>1.5</v>
      </c>
      <c r="T509">
        <f>LN(SQRT(EXP(
SQRT(
+POWER(LN(M509),2)
+POWER(LN(N509),2)
+POWER(LN(O509),2)
+POWER(LN(P509),2)
+POWER(LN(Q509),2)
+POWER(LN(R509),2)
+POWER(LN(S509),2)
)
)))</f>
        <v>0.22250575723605889</v>
      </c>
    </row>
    <row r="510">
      <c r="A510" t="inlineStr">
        <is>
          <t>Particulate Matter, &lt; 2.5 um</t>
        </is>
      </c>
      <c r="B510">
        <f>unallocated!B179/I510*J510</f>
        <v>5.9495478343645882E-7</v>
      </c>
      <c r="D510" t="inlineStr">
        <is>
          <t>kilogram</t>
        </is>
      </c>
      <c r="E510" t="inlineStr">
        <is>
          <t>air::urban air close to ground</t>
        </is>
      </c>
      <c r="F510" t="inlineStr">
        <is>
          <t>biosphere</t>
        </is>
      </c>
      <c r="I510" t="n">
        <v>7860</v>
      </c>
      <c r="J510" s="11">
        <f>J492</f>
        <v>0.77939076630176107</v>
      </c>
      <c r="K510" t="n">
        <v>2</v>
      </c>
      <c r="L510" s="3">
        <f>LN(B510)</f>
        <v>-14.334780428512929</v>
      </c>
      <c r="M510" t="n">
        <v>1</v>
      </c>
      <c r="N510" t="n">
        <v>1</v>
      </c>
      <c r="O510" t="n">
        <v>1</v>
      </c>
      <c r="P510" t="n">
        <v>1.02</v>
      </c>
      <c r="Q510" t="n">
        <v>1.2</v>
      </c>
      <c r="R510" t="n">
        <v>1</v>
      </c>
      <c r="S510" t="n">
        <v>3</v>
      </c>
      <c r="T510">
        <f>LN(SQRT(EXP(
SQRT(
+POWER(LN(M510),2)
+POWER(LN(N510),2)
+POWER(LN(O510),2)
+POWER(LN(P510),2)
+POWER(LN(Q510),2)
+POWER(LN(R510),2)
+POWER(LN(S510),2)
)
)))</f>
        <v>0.5569071410325479</v>
      </c>
    </row>
    <row r="511">
      <c r="A511" t="inlineStr">
        <is>
          <t>Mercury II</t>
        </is>
      </c>
      <c r="B511">
        <f>unallocated!B180/I511*J511</f>
        <v>5.9495478343645888E-10</v>
      </c>
      <c r="D511" t="inlineStr">
        <is>
          <t>kilogram</t>
        </is>
      </c>
      <c r="E511" t="inlineStr">
        <is>
          <t>air::urban air close to ground</t>
        </is>
      </c>
      <c r="F511" t="inlineStr">
        <is>
          <t>biosphere</t>
        </is>
      </c>
      <c r="I511" t="n">
        <v>7860</v>
      </c>
      <c r="J511" s="11">
        <f>J492</f>
        <v>0.77939076630176107</v>
      </c>
      <c r="K511" t="n">
        <v>2</v>
      </c>
      <c r="L511" s="3">
        <f>LN(B511)</f>
        <v>-21.242535707495065</v>
      </c>
      <c r="M511" t="n">
        <v>1</v>
      </c>
      <c r="N511" t="n">
        <v>1</v>
      </c>
      <c r="O511" t="n">
        <v>1</v>
      </c>
      <c r="P511" t="n">
        <v>1.02</v>
      </c>
      <c r="Q511" t="n">
        <v>1.2</v>
      </c>
      <c r="R511" t="n">
        <v>1</v>
      </c>
      <c r="S511" t="n">
        <v>5</v>
      </c>
      <c r="T511">
        <f>LN(SQRT(EXP(
SQRT(
+POWER(LN(M511),2)
+POWER(LN(N511),2)
+POWER(LN(O511),2)
+POWER(LN(P511),2)
+POWER(LN(Q511),2)
+POWER(LN(R511),2)
+POWER(LN(S511),2)
)
)))</f>
        <v>0.80992649174166365</v>
      </c>
    </row>
    <row r="512">
      <c r="A512" t="inlineStr">
        <is>
          <t>Lead II</t>
        </is>
      </c>
      <c r="B512">
        <f>unallocated!B181/I512*J512</f>
        <v>5.9495478343645888E-10</v>
      </c>
      <c r="D512" t="inlineStr">
        <is>
          <t>kilogram</t>
        </is>
      </c>
      <c r="E512" t="inlineStr">
        <is>
          <t>air::urban air close to ground</t>
        </is>
      </c>
      <c r="F512" t="inlineStr">
        <is>
          <t>biosphere</t>
        </is>
      </c>
      <c r="I512" t="n">
        <v>7860</v>
      </c>
      <c r="J512" s="11">
        <f>J492</f>
        <v>0.77939076630176107</v>
      </c>
      <c r="K512" t="n">
        <v>2</v>
      </c>
      <c r="L512" s="3">
        <f>LN(B512)</f>
        <v>-21.242535707495065</v>
      </c>
      <c r="M512" t="n">
        <v>1</v>
      </c>
      <c r="N512" t="n">
        <v>1</v>
      </c>
      <c r="O512" t="n">
        <v>1</v>
      </c>
      <c r="P512" t="n">
        <v>1.02</v>
      </c>
      <c r="Q512" t="n">
        <v>1.2</v>
      </c>
      <c r="R512" t="n">
        <v>1</v>
      </c>
      <c r="S512" t="n">
        <v>5</v>
      </c>
      <c r="T512">
        <f>LN(SQRT(EXP(
SQRT(
+POWER(LN(M512),2)
+POWER(LN(N512),2)
+POWER(LN(O512),2)
+POWER(LN(P512),2)
+POWER(LN(Q512),2)
+POWER(LN(R512),2)
+POWER(LN(S512),2)
)
)))</f>
        <v>0.80992649174166365</v>
      </c>
    </row>
    <row r="513">
      <c r="A513" t="inlineStr">
        <is>
          <t>Cadmium II</t>
        </is>
      </c>
      <c r="B513">
        <f>unallocated!B182/I513*J513</f>
        <v>2.9747739171822944E-10</v>
      </c>
      <c r="D513" t="inlineStr">
        <is>
          <t>kilogram</t>
        </is>
      </c>
      <c r="E513" t="inlineStr">
        <is>
          <t>air::urban air close to ground</t>
        </is>
      </c>
      <c r="F513" t="inlineStr">
        <is>
          <t>biosphere</t>
        </is>
      </c>
      <c r="I513" t="n">
        <v>7860</v>
      </c>
      <c r="J513" s="11">
        <f>J492</f>
        <v>0.77939076630176107</v>
      </c>
      <c r="K513" t="n">
        <v>2</v>
      </c>
      <c r="L513" s="3">
        <f>LN(B513)</f>
        <v>-21.935682888055009</v>
      </c>
      <c r="M513" t="n">
        <v>1</v>
      </c>
      <c r="N513" t="n">
        <v>1</v>
      </c>
      <c r="O513" t="n">
        <v>1</v>
      </c>
      <c r="P513" t="n">
        <v>1.02</v>
      </c>
      <c r="Q513" t="n">
        <v>1.2</v>
      </c>
      <c r="R513" t="n">
        <v>1</v>
      </c>
      <c r="S513" t="n">
        <v>5</v>
      </c>
      <c r="T513">
        <f>LN(SQRT(EXP(
SQRT(
+POWER(LN(M513),2)
+POWER(LN(N513),2)
+POWER(LN(O513),2)
+POWER(LN(P513),2)
+POWER(LN(Q513),2)
+POWER(LN(R513),2)
+POWER(LN(S513),2)
)
)))</f>
        <v>0.80992649174166365</v>
      </c>
    </row>
    <row r="514">
      <c r="A514" t="inlineStr">
        <is>
          <t>Arsenic ion</t>
        </is>
      </c>
      <c r="B514">
        <f>unallocated!B183/I514*J514</f>
        <v>2.9747739171822944E-10</v>
      </c>
      <c r="D514" t="inlineStr">
        <is>
          <t>kilogram</t>
        </is>
      </c>
      <c r="E514" t="inlineStr">
        <is>
          <t>air::urban air close to ground</t>
        </is>
      </c>
      <c r="F514" t="inlineStr">
        <is>
          <t>biosphere</t>
        </is>
      </c>
      <c r="I514" t="n">
        <v>7860</v>
      </c>
      <c r="J514" s="11">
        <f>J492</f>
        <v>0.77939076630176107</v>
      </c>
      <c r="K514" t="n">
        <v>2</v>
      </c>
      <c r="L514" s="3">
        <f>LN(B514)</f>
        <v>-21.935682888055009</v>
      </c>
      <c r="M514" t="n">
        <v>1</v>
      </c>
      <c r="N514" t="n">
        <v>1</v>
      </c>
      <c r="O514" t="n">
        <v>1</v>
      </c>
      <c r="P514" t="n">
        <v>1.02</v>
      </c>
      <c r="Q514" t="n">
        <v>1.2</v>
      </c>
      <c r="R514" t="n">
        <v>1</v>
      </c>
      <c r="S514" t="n">
        <v>5</v>
      </c>
      <c r="T514">
        <f>LN(SQRT(EXP(
SQRT(
+POWER(LN(M514),2)
+POWER(LN(N514),2)
+POWER(LN(O514),2)
+POWER(LN(P514),2)
+POWER(LN(Q514),2)
+POWER(LN(R514),2)
+POWER(LN(S514),2)
)
)))</f>
        <v>0.80992649174166365</v>
      </c>
    </row>
    <row r="515">
      <c r="A515" t="inlineStr">
        <is>
          <t>Dioxins, measured as 2,3,7,8-tetrachlorodibenzo-p-dioxin</t>
        </is>
      </c>
      <c r="B515">
        <f>unallocated!B184/I515*J515</f>
        <v>1.0907504363001746E-14</v>
      </c>
      <c r="D515" t="inlineStr">
        <is>
          <t>kilogram</t>
        </is>
      </c>
      <c r="E515" t="inlineStr">
        <is>
          <t>air::urban air close to ground</t>
        </is>
      </c>
      <c r="F515" t="inlineStr">
        <is>
          <t>biosphere</t>
        </is>
      </c>
      <c r="I515" t="n">
        <v>7860</v>
      </c>
      <c r="J515" s="11">
        <f>J492</f>
        <v>0.77939076630176107</v>
      </c>
      <c r="K515" t="n">
        <v>2</v>
      </c>
      <c r="L515" s="3">
        <f>LN(B515)</f>
        <v>-32.149325368894978</v>
      </c>
      <c r="M515" t="n">
        <v>1</v>
      </c>
      <c r="N515" t="n">
        <v>1</v>
      </c>
      <c r="O515" t="n">
        <v>1</v>
      </c>
      <c r="P515" t="n">
        <v>1.02</v>
      </c>
      <c r="Q515" t="n">
        <v>1.2</v>
      </c>
      <c r="R515" t="n">
        <v>1</v>
      </c>
      <c r="S515" t="n">
        <v>5</v>
      </c>
      <c r="T515">
        <f>LN(SQRT(EXP(
SQRT(
+POWER(LN(M515),2)
+POWER(LN(N515),2)
+POWER(LN(O515),2)
+POWER(LN(P515),2)
+POWER(LN(Q515),2)
+POWER(LN(R515),2)
+POWER(LN(S515),2)
)
)))</f>
        <v>0.80992649174166365</v>
      </c>
    </row>
    <row r="516">
      <c r="A516" t="inlineStr">
        <is>
          <t>Carbon dioxide, fossil</t>
        </is>
      </c>
      <c r="B516">
        <f>unallocated!B185/I516*J516</f>
        <v>3.7085514834205933E-2</v>
      </c>
      <c r="D516" t="inlineStr">
        <is>
          <t>kilogram</t>
        </is>
      </c>
      <c r="E516" t="inlineStr">
        <is>
          <t>air::urban air close to ground</t>
        </is>
      </c>
      <c r="F516" t="inlineStr">
        <is>
          <t>biosphere</t>
        </is>
      </c>
      <c r="I516" t="n">
        <v>7860</v>
      </c>
      <c r="J516" s="11">
        <f>J492</f>
        <v>0.77939076630176107</v>
      </c>
      <c r="K516" t="n">
        <v>2</v>
      </c>
      <c r="L516" s="3">
        <f>LN(B516)</f>
        <v>-3.2945288213443136</v>
      </c>
      <c r="M516" t="n">
        <v>1</v>
      </c>
      <c r="N516" t="n">
        <v>1</v>
      </c>
      <c r="O516" t="n">
        <v>1</v>
      </c>
      <c r="P516" t="n">
        <v>1.02</v>
      </c>
      <c r="Q516" t="n">
        <v>1.2</v>
      </c>
      <c r="R516" t="n">
        <v>1</v>
      </c>
      <c r="S516" t="n">
        <v>1.05</v>
      </c>
      <c r="T516">
        <f>LN(SQRT(EXP(
SQRT(
+POWER(LN(M516),2)
+POWER(LN(N516),2)
+POWER(LN(O516),2)
+POWER(LN(P516),2)
+POWER(LN(Q516),2)
+POWER(LN(R516),2)
+POWER(LN(S516),2)
)
)))</f>
        <v>9.4886477223156879E-2</v>
      </c>
    </row>
    <row r="517">
      <c r="A517" t="inlineStr">
        <is>
          <t>Carbon dioxide, non-fossil</t>
        </is>
      </c>
      <c r="B517">
        <f>unallocated!B186/I517*J517</f>
        <v>5.8900523560209424E-2</v>
      </c>
      <c r="D517" t="inlineStr">
        <is>
          <t>kilogram</t>
        </is>
      </c>
      <c r="E517" t="inlineStr">
        <is>
          <t>air::urban air close to ground</t>
        </is>
      </c>
      <c r="F517" t="inlineStr">
        <is>
          <t>biosphere</t>
        </is>
      </c>
      <c r="I517" t="n">
        <v>7860</v>
      </c>
      <c r="J517" s="11">
        <f>J492</f>
        <v>0.77939076630176107</v>
      </c>
      <c r="K517" t="n">
        <v>2</v>
      </c>
      <c r="L517" s="3">
        <f>LN(B517)</f>
        <v>-2.8319052993962006</v>
      </c>
      <c r="M517" t="n">
        <v>1</v>
      </c>
      <c r="N517" t="n">
        <v>1</v>
      </c>
      <c r="O517" t="n">
        <v>1</v>
      </c>
      <c r="P517" t="n">
        <v>1.02</v>
      </c>
      <c r="Q517" t="n">
        <v>1.2</v>
      </c>
      <c r="R517" t="n">
        <v>1</v>
      </c>
      <c r="S517" t="n">
        <v>1.05</v>
      </c>
      <c r="T517">
        <f>LN(SQRT(EXP(
SQRT(
+POWER(LN(M517),2)
+POWER(LN(N517),2)
+POWER(LN(O517),2)
+POWER(LN(P517),2)
+POWER(LN(Q517),2)
+POWER(LN(R517),2)
+POWER(LN(S517),2)
)
)))</f>
        <v>9.4886477223156879E-2</v>
      </c>
    </row>
    <row r="518"/>
    <row r="519">
      <c r="A519" s="1" t="inlineStr">
        <is>
          <t>Activity</t>
        </is>
      </c>
      <c r="B519" s="1" t="inlineStr">
        <is>
          <t>municipal waste incineration, at incineration plant, with semi-dry air pollution control, with flue gas condensation, with electricity recovery only, with carbon capture and storage, energy allocation</t>
        </is>
      </c>
    </row>
    <row r="520">
      <c r="A520" t="inlineStr">
        <is>
          <t>location</t>
        </is>
      </c>
      <c r="B520" t="inlineStr">
        <is>
          <t>RER</t>
        </is>
      </c>
    </row>
    <row r="521">
      <c r="A521" t="inlineStr">
        <is>
          <t>production amount</t>
        </is>
      </c>
      <c r="B521" t="n">
        <v>1</v>
      </c>
    </row>
    <row r="522">
      <c r="A522" s="2" t="inlineStr">
        <is>
          <t>source</t>
        </is>
      </c>
      <c r="B522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523">
      <c r="A523" t="inlineStr">
        <is>
          <t>reference product</t>
        </is>
      </c>
      <c r="B523" t="inlineStr">
        <is>
          <t>municipal solid waste</t>
        </is>
      </c>
    </row>
    <row r="524">
      <c r="A524" t="inlineStr">
        <is>
          <t>type</t>
        </is>
      </c>
      <c r="B524" t="inlineStr">
        <is>
          <t>process</t>
        </is>
      </c>
    </row>
    <row r="525">
      <c r="A525" t="inlineStr">
        <is>
          <t>unit</t>
        </is>
      </c>
      <c r="B525" t="inlineStr">
        <is>
          <t>kilogram</t>
        </is>
      </c>
    </row>
    <row r="526">
      <c r="A526" t="inlineStr">
        <is>
          <t>comment</t>
        </is>
      </c>
      <c r="B526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Yes. Electricity production per ton MSWI incinerated: 478 kWh.</t>
        </is>
      </c>
    </row>
    <row r="527">
      <c r="A527" s="1" t="inlineStr">
        <is>
          <t>Exchanges</t>
        </is>
      </c>
    </row>
    <row r="528">
      <c r="A528" s="7" t="inlineStr">
        <is>
          <t>name</t>
        </is>
      </c>
      <c r="B528" s="7" t="inlineStr">
        <is>
          <t>amount</t>
        </is>
      </c>
      <c r="C528" s="7" t="inlineStr">
        <is>
          <t>location</t>
        </is>
      </c>
      <c r="D528" s="7" t="inlineStr">
        <is>
          <t>unit</t>
        </is>
      </c>
      <c r="E528" s="7" t="inlineStr">
        <is>
          <t>categories</t>
        </is>
      </c>
      <c r="F528" s="7" t="inlineStr">
        <is>
          <t>type</t>
        </is>
      </c>
      <c r="G528" s="7" t="inlineStr">
        <is>
          <t>reference product</t>
        </is>
      </c>
      <c r="H528" s="7" t="inlineStr">
        <is>
          <t>comment</t>
        </is>
      </c>
      <c r="I528" s="7" t="inlineStr">
        <is>
          <t>normalization</t>
        </is>
      </c>
      <c r="J528" s="7" t="inlineStr">
        <is>
          <t>allocation</t>
        </is>
      </c>
      <c r="K528" s="7" t="inlineStr">
        <is>
          <t>uncertainty type</t>
        </is>
      </c>
      <c r="L528" s="7" t="inlineStr">
        <is>
          <t>loc</t>
        </is>
      </c>
      <c r="M528" s="1" t="inlineStr">
        <is>
          <t>u1</t>
        </is>
      </c>
      <c r="N528" s="1" t="inlineStr">
        <is>
          <t>u2</t>
        </is>
      </c>
      <c r="O528" s="1" t="inlineStr">
        <is>
          <t>u3</t>
        </is>
      </c>
      <c r="P528" s="1" t="inlineStr">
        <is>
          <t>u4</t>
        </is>
      </c>
      <c r="Q528" s="1" t="inlineStr">
        <is>
          <t>u5</t>
        </is>
      </c>
      <c r="R528" s="1" t="inlineStr">
        <is>
          <t>u6</t>
        </is>
      </c>
      <c r="S528" s="1" t="inlineStr">
        <is>
          <t>ub</t>
        </is>
      </c>
      <c r="T528" s="1" t="inlineStr">
        <is>
          <t>scale</t>
        </is>
      </c>
      <c r="U528" s="1" t="inlineStr">
        <is>
          <t>negative</t>
        </is>
      </c>
    </row>
    <row r="529">
      <c r="A529" t="inlineStr">
        <is>
          <t>municipal waste incineration, at incineration plant, with semi-dry air pollution control, with flue gas condensation, with electricity recovery only, with carbon capture and storage, energy allocation</t>
        </is>
      </c>
      <c r="B529" t="n">
        <v>1</v>
      </c>
      <c r="C529" t="inlineStr">
        <is>
          <t>RER</t>
        </is>
      </c>
      <c r="D529" t="inlineStr">
        <is>
          <t>kilogram</t>
        </is>
      </c>
      <c r="F529" t="inlineStr">
        <is>
          <t>production</t>
        </is>
      </c>
      <c r="G529" t="inlineStr">
        <is>
          <t>municipal solid waste</t>
        </is>
      </c>
      <c r="H529" t="inlineStr"/>
      <c r="I529" t="n">
        <v>1000</v>
      </c>
      <c r="J529" s="14">
        <f>INDEX('allocation keys'!$F$4:$H$28,MATCH('allocated (energy)'!$B$519,'allocation keys'!$B$4:$B$28,0),MATCH('allocated (energy)'!$B$523,'allocation keys'!$F$3:$H$3,0))</f>
        <v>0</v>
      </c>
      <c r="K529" t="n">
        <v>0</v>
      </c>
      <c r="M529" s="5" t="n"/>
      <c r="N529" s="5" t="n"/>
      <c r="O529" s="5" t="n"/>
      <c r="P529" s="5" t="n"/>
      <c r="Q529" s="5" t="n"/>
      <c r="R529" s="5" t="n"/>
    </row>
    <row r="530">
      <c r="A530" t="inlineStr">
        <is>
          <t>municipal waste incineration, at incineration plant, with semi-dry air pollution control, with flue gas condensation, with electricity recovery only, with carbon capture and storage, energy allocation</t>
        </is>
      </c>
      <c r="B530" s="6" t="n">
        <v>0</v>
      </c>
      <c r="C530" t="inlineStr">
        <is>
          <t>RER</t>
        </is>
      </c>
      <c r="D530" t="inlineStr">
        <is>
          <t>kilowatt hour</t>
        </is>
      </c>
      <c r="F530" t="inlineStr">
        <is>
          <t>technosphere</t>
        </is>
      </c>
      <c r="G530" t="inlineStr">
        <is>
          <t>electricity, medium voltage</t>
        </is>
      </c>
      <c r="H530" t="inlineStr"/>
      <c r="I530" t="n">
        <v>1000</v>
      </c>
      <c r="J530" s="11">
        <f>J529</f>
        <v>0</v>
      </c>
      <c r="K530" t="n">
        <v>0</v>
      </c>
      <c r="L530" s="3" t="n"/>
    </row>
    <row r="531">
      <c r="A531" t="inlineStr">
        <is>
          <t>market for diesel, low-sulfur</t>
        </is>
      </c>
      <c r="B531">
        <f>unallocated!B201/I531*J531</f>
        <v>0</v>
      </c>
      <c r="C531" t="inlineStr">
        <is>
          <t>Europe without Switzerland</t>
        </is>
      </c>
      <c r="D531" t="inlineStr">
        <is>
          <t>kilogram</t>
        </is>
      </c>
      <c r="F531" t="inlineStr">
        <is>
          <t>technosphere</t>
        </is>
      </c>
      <c r="G531" t="inlineStr">
        <is>
          <t>diesel, low-sulfur</t>
        </is>
      </c>
      <c r="H531" t="inlineStr">
        <is>
          <t>Diesel density: 0.85 kg/l</t>
        </is>
      </c>
      <c r="I531" t="n">
        <v>1000</v>
      </c>
      <c r="J531" s="11">
        <f>J529</f>
        <v>0</v>
      </c>
      <c r="K531" t="n">
        <v>0</v>
      </c>
      <c r="L531" s="3" t="n"/>
    </row>
    <row r="532">
      <c r="A532" t="inlineStr">
        <is>
          <t>market for activated carbon, granular</t>
        </is>
      </c>
      <c r="B532">
        <f>unallocated!B202/I532*J532</f>
        <v>0</v>
      </c>
      <c r="C532" t="inlineStr">
        <is>
          <t>GLO</t>
        </is>
      </c>
      <c r="D532" t="inlineStr">
        <is>
          <t>kilogram</t>
        </is>
      </c>
      <c r="F532" t="inlineStr">
        <is>
          <t>technosphere</t>
        </is>
      </c>
      <c r="G532" t="inlineStr">
        <is>
          <t>activated carbon, granular</t>
        </is>
      </c>
      <c r="I532" t="n">
        <v>1000</v>
      </c>
      <c r="J532" s="11">
        <f>J529</f>
        <v>0</v>
      </c>
      <c r="K532" t="n">
        <v>0</v>
      </c>
      <c r="L532" s="3" t="n"/>
    </row>
    <row r="533">
      <c r="A533" t="inlineStr">
        <is>
          <t>market for ammonia, anhydrous, liquid</t>
        </is>
      </c>
      <c r="B533">
        <f>unallocated!B203/I533*J533</f>
        <v>0</v>
      </c>
      <c r="C533" t="inlineStr">
        <is>
          <t>RER</t>
        </is>
      </c>
      <c r="D533" t="inlineStr">
        <is>
          <t>kilogram</t>
        </is>
      </c>
      <c r="F533" t="inlineStr">
        <is>
          <t>technosphere</t>
        </is>
      </c>
      <c r="G533" t="inlineStr">
        <is>
          <t>ammonia, anhydrous, liquid</t>
        </is>
      </c>
      <c r="H533" t="inlineStr">
        <is>
          <t>100% liquid ammonia. In original publication, it is dilluated to 23.5% in water. We discount the original value by 75%.</t>
        </is>
      </c>
      <c r="I533" t="n">
        <v>1000</v>
      </c>
      <c r="J533" s="11">
        <f>J529</f>
        <v>0</v>
      </c>
      <c r="K533" t="n">
        <v>0</v>
      </c>
      <c r="L533" s="3" t="n"/>
    </row>
    <row r="534">
      <c r="A534" t="inlineStr">
        <is>
          <t>market for tap water</t>
        </is>
      </c>
      <c r="B534">
        <f>unallocated!B204/I534*J534</f>
        <v>0</v>
      </c>
      <c r="C534" t="inlineStr">
        <is>
          <t>Europe without Switzerland</t>
        </is>
      </c>
      <c r="D534" t="inlineStr">
        <is>
          <t>kilogram</t>
        </is>
      </c>
      <c r="F534" t="inlineStr">
        <is>
          <t>technosphere</t>
        </is>
      </c>
      <c r="G534" t="inlineStr">
        <is>
          <t>tap water</t>
        </is>
      </c>
      <c r="H534" t="inlineStr">
        <is>
          <t>Used to dilute the ammonia.</t>
        </is>
      </c>
      <c r="I534" t="n">
        <v>1000</v>
      </c>
      <c r="J534" s="11">
        <f>J529</f>
        <v>0</v>
      </c>
      <c r="K534" t="n">
        <v>0</v>
      </c>
      <c r="L534" s="3" t="n"/>
    </row>
    <row r="535">
      <c r="A535" t="inlineStr">
        <is>
          <t>market for calcium carbonate, precipitated</t>
        </is>
      </c>
      <c r="B535">
        <f>unallocated!B205/I535*J535</f>
        <v>0</v>
      </c>
      <c r="C535" t="inlineStr">
        <is>
          <t>RER</t>
        </is>
      </c>
      <c r="D535" t="inlineStr">
        <is>
          <t>kilogram</t>
        </is>
      </c>
      <c r="F535" t="inlineStr">
        <is>
          <t>technosphere</t>
        </is>
      </c>
      <c r="G535" t="inlineStr">
        <is>
          <t>calcium carbonate, precipitated</t>
        </is>
      </c>
      <c r="I535" t="n">
        <v>1000</v>
      </c>
      <c r="J535" s="11">
        <f>J529</f>
        <v>0</v>
      </c>
      <c r="K535" t="n">
        <v>0</v>
      </c>
      <c r="L535" s="3" t="n"/>
    </row>
    <row r="536">
      <c r="A536" t="inlineStr">
        <is>
          <t>market for iron(III) chloride, without water, in 40% solution state</t>
        </is>
      </c>
      <c r="B536">
        <f>unallocated!B206/I536*J536</f>
        <v>0</v>
      </c>
      <c r="C536" t="inlineStr">
        <is>
          <t>GLO</t>
        </is>
      </c>
      <c r="D536" t="inlineStr">
        <is>
          <t>kilogram</t>
        </is>
      </c>
      <c r="F536" t="inlineStr">
        <is>
          <t>technosphere</t>
        </is>
      </c>
      <c r="G536" t="inlineStr">
        <is>
          <t>iron(III) chloride, without water, in 40% solution state</t>
        </is>
      </c>
      <c r="I536" t="n">
        <v>1000</v>
      </c>
      <c r="J536" s="11">
        <f>J529</f>
        <v>0</v>
      </c>
      <c r="K536" t="n">
        <v>0</v>
      </c>
      <c r="L536" s="3" t="n"/>
    </row>
    <row r="537">
      <c r="A537" t="inlineStr">
        <is>
          <t>market for lime, hydrated, packed</t>
        </is>
      </c>
      <c r="B537">
        <f>unallocated!B207/I537*J537</f>
        <v>0</v>
      </c>
      <c r="C537" t="inlineStr">
        <is>
          <t>RER</t>
        </is>
      </c>
      <c r="D537" t="inlineStr">
        <is>
          <t>kilogram</t>
        </is>
      </c>
      <c r="F537" t="inlineStr">
        <is>
          <t>technosphere</t>
        </is>
      </c>
      <c r="G537" t="inlineStr">
        <is>
          <t>lime, hydrated, packed</t>
        </is>
      </c>
      <c r="I537" t="n">
        <v>1000</v>
      </c>
      <c r="J537" s="11">
        <f>J529</f>
        <v>0</v>
      </c>
      <c r="K537" t="n">
        <v>0</v>
      </c>
      <c r="L537" s="3" t="n"/>
    </row>
    <row r="538">
      <c r="A538" t="inlineStr">
        <is>
          <t>market for sodium hydroxide, without water, in 50% solution state</t>
        </is>
      </c>
      <c r="B538">
        <f>unallocated!B208/I538*J538</f>
        <v>0</v>
      </c>
      <c r="C538" t="inlineStr">
        <is>
          <t>RER</t>
        </is>
      </c>
      <c r="D538" t="inlineStr">
        <is>
          <t>kilogram</t>
        </is>
      </c>
      <c r="F538" t="inlineStr">
        <is>
          <t>technosphere</t>
        </is>
      </c>
      <c r="G538" t="inlineStr">
        <is>
          <t>sodium hydroxide, without water, in 50% solution state</t>
        </is>
      </c>
      <c r="H538" t="inlineStr">
        <is>
          <t>50% liquid ammonia. In original publication, it is dilluated to 27% in water. We discount the original value by 50%.</t>
        </is>
      </c>
      <c r="I538" t="n">
        <v>1000</v>
      </c>
      <c r="J538" s="11">
        <f>J529</f>
        <v>0</v>
      </c>
      <c r="K538" t="n">
        <v>0</v>
      </c>
      <c r="L538" s="3" t="n"/>
    </row>
    <row r="539">
      <c r="A539" t="inlineStr">
        <is>
          <t>market for monoethanolamine</t>
        </is>
      </c>
      <c r="B539">
        <f>unallocated!B209/I539*J539</f>
        <v>0</v>
      </c>
      <c r="C539" t="inlineStr">
        <is>
          <t>GLO</t>
        </is>
      </c>
      <c r="D539" t="inlineStr">
        <is>
          <t>kilogram</t>
        </is>
      </c>
      <c r="F539" t="inlineStr">
        <is>
          <t>technosphere</t>
        </is>
      </c>
      <c r="G539" t="inlineStr">
        <is>
          <t>monoethanolamine</t>
        </is>
      </c>
      <c r="I539" t="n">
        <v>1000</v>
      </c>
      <c r="J539" s="11">
        <f>J529</f>
        <v>0</v>
      </c>
      <c r="K539" t="n">
        <v>0</v>
      </c>
      <c r="L539" s="3" t="n"/>
    </row>
    <row r="540">
      <c r="A540" t="inlineStr">
        <is>
          <t>municipal waste incineration facility construction</t>
        </is>
      </c>
      <c r="B540">
        <f>unallocated!B210/I540*J540</f>
        <v>0</v>
      </c>
      <c r="C540" t="inlineStr">
        <is>
          <t>CH</t>
        </is>
      </c>
      <c r="D540" t="inlineStr">
        <is>
          <t>unit</t>
        </is>
      </c>
      <c r="F540" t="inlineStr">
        <is>
          <t>technosphere</t>
        </is>
      </c>
      <c r="G540" t="inlineStr">
        <is>
          <t>municipal waste incineration facility</t>
        </is>
      </c>
      <c r="H540" t="inlineStr">
        <is>
          <t>Lifetime: 4'000'000 tons MSWI treated.</t>
        </is>
      </c>
      <c r="I540" t="n">
        <v>1000</v>
      </c>
      <c r="J540" s="11">
        <f>J529</f>
        <v>0</v>
      </c>
      <c r="K540" t="n">
        <v>0</v>
      </c>
      <c r="L540" s="3" t="n"/>
    </row>
    <row r="541">
      <c r="A541" t="inlineStr">
        <is>
          <t>carbon dioxide storage at wood burning power plant 20 MW post, pipeline 200km, storage 1000m</t>
        </is>
      </c>
      <c r="B541">
        <f>unallocated!B211/I541*J541</f>
        <v>0</v>
      </c>
      <c r="C541" t="inlineStr">
        <is>
          <t>RER</t>
        </is>
      </c>
      <c r="D541" t="inlineStr">
        <is>
          <t>kilogram</t>
        </is>
      </c>
      <c r="F541" t="inlineStr">
        <is>
          <t>technosphere</t>
        </is>
      </c>
      <c r="G541" t="inlineStr">
        <is>
          <t>carbon dioxide storage at wood burning power plant 20 MW post, pipeline 200km, storage 1000m</t>
        </is>
      </c>
      <c r="I541" t="n">
        <v>1000</v>
      </c>
      <c r="J541" s="11">
        <f>J529</f>
        <v>0</v>
      </c>
      <c r="K541" t="n">
        <v>0</v>
      </c>
      <c r="L541" s="3" t="n"/>
    </row>
    <row r="542">
      <c r="A542" t="inlineStr">
        <is>
          <t>Water, cooling, unspecified natural origin</t>
        </is>
      </c>
      <c r="B542">
        <f>unallocated!B212/I542*J542</f>
        <v>0</v>
      </c>
      <c r="D542" t="inlineStr">
        <is>
          <t>cubic meter</t>
        </is>
      </c>
      <c r="E542" t="inlineStr">
        <is>
          <t>natural resource::in water</t>
        </is>
      </c>
      <c r="F542" t="inlineStr">
        <is>
          <t>biosphere</t>
        </is>
      </c>
      <c r="I542" t="n">
        <v>1000</v>
      </c>
      <c r="J542" s="11">
        <f>J529</f>
        <v>0</v>
      </c>
      <c r="K542" t="n">
        <v>0</v>
      </c>
      <c r="L542" s="3" t="n"/>
    </row>
    <row r="543">
      <c r="A543" t="inlineStr">
        <is>
          <t>Sulfur dioxide</t>
        </is>
      </c>
      <c r="B543">
        <f>unallocated!B213/I543*J543</f>
        <v>0</v>
      </c>
      <c r="D543" t="inlineStr">
        <is>
          <t>kilogram</t>
        </is>
      </c>
      <c r="E543" t="inlineStr">
        <is>
          <t>air::urban air close to ground</t>
        </is>
      </c>
      <c r="F543" t="inlineStr">
        <is>
          <t>biosphere</t>
        </is>
      </c>
      <c r="I543" t="n">
        <v>1000</v>
      </c>
      <c r="J543" s="11">
        <f>J529</f>
        <v>0</v>
      </c>
      <c r="K543" t="n">
        <v>0</v>
      </c>
      <c r="L543" s="3" t="n"/>
    </row>
    <row r="544">
      <c r="A544" t="inlineStr">
        <is>
          <t>Hydrochloric acid</t>
        </is>
      </c>
      <c r="B544">
        <f>unallocated!B214/I544*J544</f>
        <v>0</v>
      </c>
      <c r="D544" t="inlineStr">
        <is>
          <t>kilogram</t>
        </is>
      </c>
      <c r="E544" t="inlineStr">
        <is>
          <t>air</t>
        </is>
      </c>
      <c r="F544" t="inlineStr">
        <is>
          <t>biosphere</t>
        </is>
      </c>
      <c r="I544" t="n">
        <v>1000</v>
      </c>
      <c r="J544" s="11">
        <f>J529</f>
        <v>0</v>
      </c>
      <c r="K544" t="n">
        <v>0</v>
      </c>
      <c r="L544" s="3" t="n"/>
    </row>
    <row r="545">
      <c r="A545" t="inlineStr">
        <is>
          <t>Nitrogen oxides</t>
        </is>
      </c>
      <c r="B545">
        <f>unallocated!B215/I545*J545</f>
        <v>0</v>
      </c>
      <c r="D545" t="inlineStr">
        <is>
          <t>kilogram</t>
        </is>
      </c>
      <c r="E545" t="inlineStr">
        <is>
          <t>air::urban air close to ground</t>
        </is>
      </c>
      <c r="F545" t="inlineStr">
        <is>
          <t>biosphere</t>
        </is>
      </c>
      <c r="I545" t="n">
        <v>1000</v>
      </c>
      <c r="J545" s="11">
        <f>J529</f>
        <v>0</v>
      </c>
      <c r="K545" t="n">
        <v>0</v>
      </c>
      <c r="L545" s="3" t="n"/>
    </row>
    <row r="546">
      <c r="A546" t="inlineStr">
        <is>
          <t>Ammonia</t>
        </is>
      </c>
      <c r="B546">
        <f>unallocated!B216/I546*J546</f>
        <v>0</v>
      </c>
      <c r="D546" t="inlineStr">
        <is>
          <t>kilogram</t>
        </is>
      </c>
      <c r="E546" t="inlineStr">
        <is>
          <t>air::urban air close to ground</t>
        </is>
      </c>
      <c r="F546" t="inlineStr">
        <is>
          <t>biosphere</t>
        </is>
      </c>
      <c r="I546" t="n">
        <v>1000</v>
      </c>
      <c r="J546" s="11">
        <f>J529</f>
        <v>0</v>
      </c>
      <c r="K546" t="n">
        <v>0</v>
      </c>
      <c r="L546" s="3" t="n"/>
    </row>
    <row r="547">
      <c r="A547" t="inlineStr">
        <is>
          <t>Particulate Matter, &lt; 2.5 um</t>
        </is>
      </c>
      <c r="B547">
        <f>unallocated!B217/I547*J547</f>
        <v>0</v>
      </c>
      <c r="D547" t="inlineStr">
        <is>
          <t>kilogram</t>
        </is>
      </c>
      <c r="E547" t="inlineStr">
        <is>
          <t>air::urban air close to ground</t>
        </is>
      </c>
      <c r="F547" t="inlineStr">
        <is>
          <t>biosphere</t>
        </is>
      </c>
      <c r="I547" t="n">
        <v>1000</v>
      </c>
      <c r="J547" s="11">
        <f>J529</f>
        <v>0</v>
      </c>
      <c r="K547" t="n">
        <v>0</v>
      </c>
      <c r="L547" s="3" t="n"/>
    </row>
    <row r="548">
      <c r="A548" t="inlineStr">
        <is>
          <t>Mercury II</t>
        </is>
      </c>
      <c r="B548">
        <f>unallocated!B218/I548*J548</f>
        <v>0</v>
      </c>
      <c r="D548" t="inlineStr">
        <is>
          <t>kilogram</t>
        </is>
      </c>
      <c r="E548" t="inlineStr">
        <is>
          <t>air::urban air close to ground</t>
        </is>
      </c>
      <c r="F548" t="inlineStr">
        <is>
          <t>biosphere</t>
        </is>
      </c>
      <c r="I548" t="n">
        <v>1000</v>
      </c>
      <c r="J548" s="11">
        <f>J529</f>
        <v>0</v>
      </c>
      <c r="K548" t="n">
        <v>0</v>
      </c>
      <c r="L548" s="3" t="n"/>
    </row>
    <row r="549">
      <c r="A549" t="inlineStr">
        <is>
          <t>Lead II</t>
        </is>
      </c>
      <c r="B549">
        <f>unallocated!B219/I549*J549</f>
        <v>0</v>
      </c>
      <c r="D549" t="inlineStr">
        <is>
          <t>kilogram</t>
        </is>
      </c>
      <c r="E549" t="inlineStr">
        <is>
          <t>air::urban air close to ground</t>
        </is>
      </c>
      <c r="F549" t="inlineStr">
        <is>
          <t>biosphere</t>
        </is>
      </c>
      <c r="I549" t="n">
        <v>1000</v>
      </c>
      <c r="J549" s="11">
        <f>J529</f>
        <v>0</v>
      </c>
      <c r="K549" t="n">
        <v>0</v>
      </c>
      <c r="L549" s="3" t="n"/>
    </row>
    <row r="550">
      <c r="A550" t="inlineStr">
        <is>
          <t>Cadmium II</t>
        </is>
      </c>
      <c r="B550">
        <f>unallocated!B220/I550*J550</f>
        <v>0</v>
      </c>
      <c r="D550" t="inlineStr">
        <is>
          <t>kilogram</t>
        </is>
      </c>
      <c r="E550" t="inlineStr">
        <is>
          <t>air::urban air close to ground</t>
        </is>
      </c>
      <c r="F550" t="inlineStr">
        <is>
          <t>biosphere</t>
        </is>
      </c>
      <c r="I550" t="n">
        <v>1000</v>
      </c>
      <c r="J550" s="11">
        <f>J529</f>
        <v>0</v>
      </c>
      <c r="K550" t="n">
        <v>0</v>
      </c>
      <c r="L550" s="3" t="n"/>
    </row>
    <row r="551">
      <c r="A551" t="inlineStr">
        <is>
          <t>Arsenic ion</t>
        </is>
      </c>
      <c r="B551">
        <f>unallocated!B221/I551*J551</f>
        <v>0</v>
      </c>
      <c r="D551" t="inlineStr">
        <is>
          <t>kilogram</t>
        </is>
      </c>
      <c r="E551" t="inlineStr">
        <is>
          <t>air::urban air close to ground</t>
        </is>
      </c>
      <c r="F551" t="inlineStr">
        <is>
          <t>biosphere</t>
        </is>
      </c>
      <c r="I551" t="n">
        <v>1000</v>
      </c>
      <c r="J551" s="11">
        <f>J529</f>
        <v>0</v>
      </c>
      <c r="K551" t="n">
        <v>0</v>
      </c>
      <c r="L551" s="3" t="n"/>
    </row>
    <row r="552">
      <c r="A552" t="inlineStr">
        <is>
          <t>Dioxins, measured as 2,3,7,8-tetrachlorodibenzo-p-dioxin</t>
        </is>
      </c>
      <c r="B552">
        <f>unallocated!B222/I552*J552</f>
        <v>0</v>
      </c>
      <c r="D552" t="inlineStr">
        <is>
          <t>kilogram</t>
        </is>
      </c>
      <c r="E552" t="inlineStr">
        <is>
          <t>air::urban air close to ground</t>
        </is>
      </c>
      <c r="F552" t="inlineStr">
        <is>
          <t>biosphere</t>
        </is>
      </c>
      <c r="I552" t="n">
        <v>1000</v>
      </c>
      <c r="J552" s="11">
        <f>J529</f>
        <v>0</v>
      </c>
      <c r="K552" t="n">
        <v>0</v>
      </c>
      <c r="L552" s="3" t="n"/>
    </row>
    <row r="553">
      <c r="A553" t="inlineStr">
        <is>
          <t>Carbon dioxide, fossil</t>
        </is>
      </c>
      <c r="B553">
        <f>unallocated!B223/I553*J553</f>
        <v>0</v>
      </c>
      <c r="D553" t="inlineStr">
        <is>
          <t>kilogram</t>
        </is>
      </c>
      <c r="E553" t="inlineStr">
        <is>
          <t>air::urban air close to ground</t>
        </is>
      </c>
      <c r="F553" t="inlineStr">
        <is>
          <t>biosphere</t>
        </is>
      </c>
      <c r="I553" t="n">
        <v>1000</v>
      </c>
      <c r="J553" s="11">
        <f>J529</f>
        <v>0</v>
      </c>
      <c r="K553" t="n">
        <v>0</v>
      </c>
      <c r="L553" s="3" t="n"/>
    </row>
    <row r="554">
      <c r="A554" t="inlineStr">
        <is>
          <t>Carbon dioxide, non-fossil</t>
        </is>
      </c>
      <c r="B554">
        <f>unallocated!B224/I554*J554</f>
        <v>0</v>
      </c>
      <c r="D554" t="inlineStr">
        <is>
          <t>kilogram</t>
        </is>
      </c>
      <c r="E554" t="inlineStr">
        <is>
          <t>air::urban air close to ground</t>
        </is>
      </c>
      <c r="F554" t="inlineStr">
        <is>
          <t>biosphere</t>
        </is>
      </c>
      <c r="I554" t="n">
        <v>1000</v>
      </c>
      <c r="J554">
        <f>J529</f>
        <v>0</v>
      </c>
      <c r="K554" t="n">
        <v>0</v>
      </c>
      <c r="L554" s="3" t="n"/>
    </row>
    <row r="555">
      <c r="A555" t="inlineStr">
        <is>
          <t>Carbon dioxide, in air</t>
        </is>
      </c>
      <c r="B555">
        <f>unallocated!B225/I555*J555</f>
        <v>0</v>
      </c>
      <c r="D555" t="inlineStr">
        <is>
          <t>kilogram</t>
        </is>
      </c>
      <c r="E555" t="inlineStr">
        <is>
          <t>natural resource::in air</t>
        </is>
      </c>
      <c r="F555" t="inlineStr">
        <is>
          <t>biosphere</t>
        </is>
      </c>
      <c r="H555" t="inlineStr">
        <is>
          <t>To reflect the permanent storage of non-fossil CO.</t>
        </is>
      </c>
      <c r="I555" t="n">
        <v>1000</v>
      </c>
      <c r="J555">
        <f>J529</f>
        <v>0</v>
      </c>
      <c r="K555" t="n">
        <v>0</v>
      </c>
      <c r="L555" s="3" t="n"/>
    </row>
    <row r="556"/>
    <row r="557">
      <c r="A557" s="1" t="inlineStr">
        <is>
          <t>Activity</t>
        </is>
      </c>
      <c r="B557" s="1" t="inlineStr">
        <is>
          <t>municipal waste incineration, at incineration plant, with semi-dry air pollution control, with flue gas condensation, with electricity recovery only, with carbon capture and storage, energy allocation</t>
        </is>
      </c>
    </row>
    <row r="558">
      <c r="A558" t="inlineStr">
        <is>
          <t>location</t>
        </is>
      </c>
      <c r="B558" t="inlineStr">
        <is>
          <t>RER</t>
        </is>
      </c>
    </row>
    <row r="559">
      <c r="A559" t="inlineStr">
        <is>
          <t>production amount</t>
        </is>
      </c>
      <c r="B559" t="n">
        <v>1</v>
      </c>
    </row>
    <row r="560">
      <c r="A560" s="2" t="inlineStr">
        <is>
          <t>source</t>
        </is>
      </c>
      <c r="B56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561">
      <c r="A561" t="inlineStr">
        <is>
          <t>reference product</t>
        </is>
      </c>
      <c r="B561" t="inlineStr">
        <is>
          <t>electricity, medium voltage</t>
        </is>
      </c>
    </row>
    <row r="562">
      <c r="A562" t="inlineStr">
        <is>
          <t>type</t>
        </is>
      </c>
      <c r="B562" t="inlineStr">
        <is>
          <t>process</t>
        </is>
      </c>
    </row>
    <row r="563">
      <c r="A563" t="inlineStr">
        <is>
          <t>unit</t>
        </is>
      </c>
      <c r="B563" t="inlineStr">
        <is>
          <t>kilowatt hour</t>
        </is>
      </c>
    </row>
    <row r="564">
      <c r="A564" t="inlineStr">
        <is>
          <t>comment</t>
        </is>
      </c>
      <c r="B56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Yes. Electricity production per ton MSWI incinerated: 478 kWh.</t>
        </is>
      </c>
    </row>
    <row r="565">
      <c r="A565" s="1" t="inlineStr">
        <is>
          <t>Exchanges</t>
        </is>
      </c>
    </row>
    <row r="566">
      <c r="A566" s="7" t="inlineStr">
        <is>
          <t>name</t>
        </is>
      </c>
      <c r="B566" s="7" t="inlineStr">
        <is>
          <t>amount</t>
        </is>
      </c>
      <c r="C566" s="7" t="inlineStr">
        <is>
          <t>location</t>
        </is>
      </c>
      <c r="D566" s="7" t="inlineStr">
        <is>
          <t>unit</t>
        </is>
      </c>
      <c r="E566" s="7" t="inlineStr">
        <is>
          <t>categories</t>
        </is>
      </c>
      <c r="F566" s="7" t="inlineStr">
        <is>
          <t>type</t>
        </is>
      </c>
      <c r="G566" s="7" t="inlineStr">
        <is>
          <t>reference product</t>
        </is>
      </c>
      <c r="H566" s="7" t="inlineStr">
        <is>
          <t>comment</t>
        </is>
      </c>
      <c r="I566" s="7" t="inlineStr">
        <is>
          <t>normalization</t>
        </is>
      </c>
      <c r="J566" s="7" t="inlineStr">
        <is>
          <t>allocation</t>
        </is>
      </c>
      <c r="K566" s="7" t="inlineStr">
        <is>
          <t>uncertainty type</t>
        </is>
      </c>
      <c r="L566" s="7" t="inlineStr">
        <is>
          <t>loc</t>
        </is>
      </c>
      <c r="M566" s="1" t="inlineStr">
        <is>
          <t>u1</t>
        </is>
      </c>
      <c r="N566" s="1" t="inlineStr">
        <is>
          <t>u2</t>
        </is>
      </c>
      <c r="O566" s="1" t="inlineStr">
        <is>
          <t>u3</t>
        </is>
      </c>
      <c r="P566" s="1" t="inlineStr">
        <is>
          <t>u4</t>
        </is>
      </c>
      <c r="Q566" s="1" t="inlineStr">
        <is>
          <t>u5</t>
        </is>
      </c>
      <c r="R566" s="1" t="inlineStr">
        <is>
          <t>u6</t>
        </is>
      </c>
      <c r="S566" s="1" t="inlineStr">
        <is>
          <t>ub</t>
        </is>
      </c>
      <c r="T566" s="1" t="inlineStr">
        <is>
          <t>scale</t>
        </is>
      </c>
      <c r="U566" s="1" t="inlineStr">
        <is>
          <t>negative</t>
        </is>
      </c>
    </row>
    <row r="567">
      <c r="A567" t="inlineStr">
        <is>
          <t>municipal waste incineration, at incineration plant, with semi-dry air pollution control, with flue gas condensation, with electricity recovery only, with carbon capture and storage, energy allocation</t>
        </is>
      </c>
      <c r="B567" t="n">
        <v>0</v>
      </c>
      <c r="C567" t="inlineStr">
        <is>
          <t>RER</t>
        </is>
      </c>
      <c r="D567" t="inlineStr">
        <is>
          <t>kilogram</t>
        </is>
      </c>
      <c r="F567" t="inlineStr">
        <is>
          <t>technosphere</t>
        </is>
      </c>
      <c r="G567" t="inlineStr">
        <is>
          <t>municipal solid waste</t>
        </is>
      </c>
      <c r="H567" t="inlineStr"/>
      <c r="I567" s="6" t="n">
        <v>478</v>
      </c>
      <c r="J567" s="14">
        <f>INDEX('allocation keys'!$F$4:$H$28,MATCH('allocated (energy)'!$B$557,'allocation keys'!$B$4:$B$28,0),MATCH('allocated (energy)'!$B$561,'allocation keys'!$F$3:$H$3,0))</f>
        <v>1</v>
      </c>
      <c r="K567" t="n">
        <v>0</v>
      </c>
      <c r="M567" s="5" t="n"/>
      <c r="N567" s="5" t="n"/>
      <c r="O567" s="5" t="n"/>
      <c r="P567" s="5" t="n"/>
      <c r="Q567" s="5" t="n"/>
      <c r="R567" s="5" t="n"/>
    </row>
    <row r="568">
      <c r="A568" t="inlineStr">
        <is>
          <t>municipal waste incineration, at incineration plant, with semi-dry air pollution control, with flue gas condensation, with electricity recovery only, with carbon capture and storage, energy allocation</t>
        </is>
      </c>
      <c r="B568" s="6" t="n">
        <v>1</v>
      </c>
      <c r="C568" t="inlineStr">
        <is>
          <t>RER</t>
        </is>
      </c>
      <c r="D568" t="inlineStr">
        <is>
          <t>kilowatt hour</t>
        </is>
      </c>
      <c r="F568" t="inlineStr">
        <is>
          <t>production</t>
        </is>
      </c>
      <c r="G568" t="inlineStr">
        <is>
          <t>electricity, medium voltage</t>
        </is>
      </c>
      <c r="H568" t="inlineStr"/>
      <c r="I568" s="6" t="n">
        <v>478</v>
      </c>
      <c r="J568" s="11">
        <f>J567</f>
        <v>1</v>
      </c>
      <c r="K568" t="n">
        <v>0</v>
      </c>
      <c r="L568" s="3" t="n"/>
    </row>
    <row r="569">
      <c r="A569" t="inlineStr">
        <is>
          <t>market for diesel, low-sulfur</t>
        </is>
      </c>
      <c r="B569">
        <f>unallocated!B201/I569*J569</f>
        <v>1.778242677824268E-4</v>
      </c>
      <c r="C569" t="inlineStr">
        <is>
          <t>Europe without Switzerland</t>
        </is>
      </c>
      <c r="D569" t="inlineStr">
        <is>
          <t>kilogram</t>
        </is>
      </c>
      <c r="F569" t="inlineStr">
        <is>
          <t>technosphere</t>
        </is>
      </c>
      <c r="G569" t="inlineStr">
        <is>
          <t>diesel, low-sulfur</t>
        </is>
      </c>
      <c r="H569" t="inlineStr">
        <is>
          <t>Diesel density: 0.85 kg/l</t>
        </is>
      </c>
      <c r="I569" s="6" t="n">
        <v>478</v>
      </c>
      <c r="J569" s="11">
        <f>J567</f>
        <v>1</v>
      </c>
      <c r="K569" t="n">
        <v>2</v>
      </c>
      <c r="L569" s="3">
        <f>LN(B569)</f>
        <v>-8.6347147549832766</v>
      </c>
      <c r="M569" t="n">
        <v>1</v>
      </c>
      <c r="N569" t="n">
        <v>1</v>
      </c>
      <c r="O569" t="n">
        <v>1</v>
      </c>
      <c r="P569" t="n">
        <v>1.02</v>
      </c>
      <c r="Q569" t="n">
        <v>1.2</v>
      </c>
      <c r="R569" t="n">
        <v>1</v>
      </c>
      <c r="S569" t="n">
        <v>1.05</v>
      </c>
      <c r="T569">
        <f>LN(SQRT(EXP(
SQRT(
+POWER(LN(M569),2)
+POWER(LN(N569),2)
+POWER(LN(O569),2)
+POWER(LN(P569),2)
+POWER(LN(Q569),2)
+POWER(LN(R569),2)
+POWER(LN(S569),2)
)
)))</f>
        <v>9.4886477223156879E-2</v>
      </c>
    </row>
    <row r="570">
      <c r="A570" t="inlineStr">
        <is>
          <t>market for activated carbon, granular</t>
        </is>
      </c>
      <c r="B570">
        <f>unallocated!B202/I570*J570</f>
        <v>8.3682008368200843E-4</v>
      </c>
      <c r="C570" t="inlineStr">
        <is>
          <t>GLO</t>
        </is>
      </c>
      <c r="D570" t="inlineStr">
        <is>
          <t>kilogram</t>
        </is>
      </c>
      <c r="F570" t="inlineStr">
        <is>
          <t>technosphere</t>
        </is>
      </c>
      <c r="G570" t="inlineStr">
        <is>
          <t>activated carbon, granular</t>
        </is>
      </c>
      <c r="I570" s="6" t="n">
        <v>478</v>
      </c>
      <c r="J570" s="11">
        <f>J567</f>
        <v>1</v>
      </c>
      <c r="K570" t="n">
        <v>2</v>
      </c>
      <c r="L570" s="3">
        <f>LN(B570)</f>
        <v>-7.0859014643656106</v>
      </c>
      <c r="M570" t="n">
        <v>1</v>
      </c>
      <c r="N570" t="n">
        <v>1</v>
      </c>
      <c r="O570" t="n">
        <v>1</v>
      </c>
      <c r="P570" t="n">
        <v>1.02</v>
      </c>
      <c r="Q570" t="n">
        <v>1.2</v>
      </c>
      <c r="R570" t="n">
        <v>1</v>
      </c>
      <c r="S570" t="n">
        <v>1.05</v>
      </c>
      <c r="T570">
        <f>LN(SQRT(EXP(
SQRT(
+POWER(LN(M570),2)
+POWER(LN(N570),2)
+POWER(LN(O570),2)
+POWER(LN(P570),2)
+POWER(LN(Q570),2)
+POWER(LN(R570),2)
+POWER(LN(S570),2)
)
)))</f>
        <v>9.4886477223156879E-2</v>
      </c>
    </row>
    <row r="571">
      <c r="A571" t="inlineStr">
        <is>
          <t>market for ammonia, anhydrous, liquid</t>
        </is>
      </c>
      <c r="B571">
        <f>unallocated!B203/I571*J571</f>
        <v>2.0502092050209203E-3</v>
      </c>
      <c r="C571" t="inlineStr">
        <is>
          <t>RER</t>
        </is>
      </c>
      <c r="D571" t="inlineStr">
        <is>
          <t>kilogram</t>
        </is>
      </c>
      <c r="F571" t="inlineStr">
        <is>
          <t>technosphere</t>
        </is>
      </c>
      <c r="G571" t="inlineStr">
        <is>
          <t>ammonia, anhydrous, liquid</t>
        </is>
      </c>
      <c r="H571" t="inlineStr">
        <is>
          <t>100% liquid ammonia. In original publication, it is dilluated to 23.5% in water. We discount the original value by 75%.</t>
        </is>
      </c>
      <c r="I571" s="6" t="n">
        <v>478</v>
      </c>
      <c r="J571" s="11">
        <f>J567</f>
        <v>1</v>
      </c>
      <c r="K571" t="n">
        <v>2</v>
      </c>
      <c r="L571" s="3">
        <f>LN(B571)</f>
        <v>-6.1898134398089759</v>
      </c>
      <c r="M571" t="n">
        <v>1</v>
      </c>
      <c r="N571" t="n">
        <v>1</v>
      </c>
      <c r="O571" t="n">
        <v>1</v>
      </c>
      <c r="P571" t="n">
        <v>1.02</v>
      </c>
      <c r="Q571" t="n">
        <v>1.2</v>
      </c>
      <c r="R571" t="n">
        <v>1</v>
      </c>
      <c r="S571" t="n">
        <v>1.05</v>
      </c>
      <c r="T571">
        <f>LN(SQRT(EXP(
SQRT(
+POWER(LN(M571),2)
+POWER(LN(N571),2)
+POWER(LN(O571),2)
+POWER(LN(P571),2)
+POWER(LN(Q571),2)
+POWER(LN(R571),2)
+POWER(LN(S571),2)
)
)))</f>
        <v>9.4886477223156879E-2</v>
      </c>
    </row>
    <row r="572">
      <c r="A572" t="inlineStr">
        <is>
          <t>market for tap water</t>
        </is>
      </c>
      <c r="B572">
        <f>unallocated!B204/I572*J572</f>
        <v>6.3179916317991636E-3</v>
      </c>
      <c r="C572" t="inlineStr">
        <is>
          <t>Europe without Switzerland</t>
        </is>
      </c>
      <c r="D572" t="inlineStr">
        <is>
          <t>kilogram</t>
        </is>
      </c>
      <c r="F572" t="inlineStr">
        <is>
          <t>technosphere</t>
        </is>
      </c>
      <c r="G572" t="inlineStr">
        <is>
          <t>tap water</t>
        </is>
      </c>
      <c r="H572" t="inlineStr">
        <is>
          <t>Used to dilute the ammonia.</t>
        </is>
      </c>
      <c r="I572" s="6" t="n">
        <v>478</v>
      </c>
      <c r="J572" s="11">
        <f>J567</f>
        <v>1</v>
      </c>
      <c r="K572" t="n">
        <v>2</v>
      </c>
      <c r="L572" s="3">
        <f>LN(B572)</f>
        <v>-5.0643539011046776</v>
      </c>
      <c r="M572" t="n">
        <v>1</v>
      </c>
      <c r="N572" t="n">
        <v>1</v>
      </c>
      <c r="O572" t="n">
        <v>1</v>
      </c>
      <c r="P572" t="n">
        <v>1.02</v>
      </c>
      <c r="Q572" t="n">
        <v>1.2</v>
      </c>
      <c r="R572" t="n">
        <v>1</v>
      </c>
      <c r="S572" t="n">
        <v>1.05</v>
      </c>
      <c r="T572">
        <f>LN(SQRT(EXP(
SQRT(
+POWER(LN(M572),2)
+POWER(LN(N572),2)
+POWER(LN(O572),2)
+POWER(LN(P572),2)
+POWER(LN(Q572),2)
+POWER(LN(R572),2)
+POWER(LN(S572),2)
)
)))</f>
        <v>9.4886477223156879E-2</v>
      </c>
    </row>
    <row r="573">
      <c r="A573" t="inlineStr">
        <is>
          <t>market for calcium carbonate, precipitated</t>
        </is>
      </c>
      <c r="B573">
        <f>unallocated!B205/I573*J573</f>
        <v>0</v>
      </c>
      <c r="C573" t="inlineStr">
        <is>
          <t>RER</t>
        </is>
      </c>
      <c r="D573" t="inlineStr">
        <is>
          <t>kilogram</t>
        </is>
      </c>
      <c r="F573" t="inlineStr">
        <is>
          <t>technosphere</t>
        </is>
      </c>
      <c r="G573" t="inlineStr">
        <is>
          <t>calcium carbonate, precipitated</t>
        </is>
      </c>
      <c r="I573" s="6" t="n">
        <v>478</v>
      </c>
      <c r="J573" s="11">
        <f>J567</f>
        <v>1</v>
      </c>
      <c r="K573" t="n">
        <v>0</v>
      </c>
      <c r="L573" s="3" t="n"/>
    </row>
    <row r="574">
      <c r="A574" t="inlineStr">
        <is>
          <t>market for iron(III) chloride, without water, in 40% solution state</t>
        </is>
      </c>
      <c r="B574">
        <f>unallocated!B206/I574*J574</f>
        <v>0</v>
      </c>
      <c r="C574" t="inlineStr">
        <is>
          <t>GLO</t>
        </is>
      </c>
      <c r="D574" t="inlineStr">
        <is>
          <t>kilogram</t>
        </is>
      </c>
      <c r="F574" t="inlineStr">
        <is>
          <t>technosphere</t>
        </is>
      </c>
      <c r="G574" t="inlineStr">
        <is>
          <t>iron(III) chloride, without water, in 40% solution state</t>
        </is>
      </c>
      <c r="I574" s="6" t="n">
        <v>478</v>
      </c>
      <c r="J574" s="11">
        <f>J567</f>
        <v>1</v>
      </c>
      <c r="K574" t="n">
        <v>0</v>
      </c>
      <c r="L574" s="3" t="n"/>
    </row>
    <row r="575">
      <c r="A575" t="inlineStr">
        <is>
          <t>market for lime, hydrated, packed</t>
        </is>
      </c>
      <c r="B575">
        <f>unallocated!B207/I575*J575</f>
        <v>2.0920502092050208E-2</v>
      </c>
      <c r="C575" t="inlineStr">
        <is>
          <t>RER</t>
        </is>
      </c>
      <c r="D575" t="inlineStr">
        <is>
          <t>kilogram</t>
        </is>
      </c>
      <c r="F575" t="inlineStr">
        <is>
          <t>technosphere</t>
        </is>
      </c>
      <c r="G575" t="inlineStr">
        <is>
          <t>lime, hydrated, packed</t>
        </is>
      </c>
      <c r="I575" s="6" t="n">
        <v>478</v>
      </c>
      <c r="J575" s="11">
        <f>J567</f>
        <v>1</v>
      </c>
      <c r="K575" t="n">
        <v>2</v>
      </c>
      <c r="L575" s="3">
        <f>LN(B575)</f>
        <v>-3.8670256394974105</v>
      </c>
      <c r="M575" t="n">
        <v>1</v>
      </c>
      <c r="N575" t="n">
        <v>1</v>
      </c>
      <c r="O575" t="n">
        <v>1</v>
      </c>
      <c r="P575" t="n">
        <v>1.02</v>
      </c>
      <c r="Q575" t="n">
        <v>1.2</v>
      </c>
      <c r="R575" t="n">
        <v>1</v>
      </c>
      <c r="S575" t="n">
        <v>1.05</v>
      </c>
      <c r="T575">
        <f>LN(SQRT(EXP(
SQRT(
+POWER(LN(M575),2)
+POWER(LN(N575),2)
+POWER(LN(O575),2)
+POWER(LN(P575),2)
+POWER(LN(Q575),2)
+POWER(LN(R575),2)
+POWER(LN(S575),2)
)
)))</f>
        <v>9.4886477223156879E-2</v>
      </c>
    </row>
    <row r="576">
      <c r="A576" t="inlineStr">
        <is>
          <t>market for sodium hydroxide, without water, in 50% solution state</t>
        </is>
      </c>
      <c r="B576">
        <f>unallocated!B208/I576*J576</f>
        <v>1.0460251046025104E-3</v>
      </c>
      <c r="C576" t="inlineStr">
        <is>
          <t>RER</t>
        </is>
      </c>
      <c r="D576" t="inlineStr">
        <is>
          <t>kilogram</t>
        </is>
      </c>
      <c r="F576" t="inlineStr">
        <is>
          <t>technosphere</t>
        </is>
      </c>
      <c r="G576" t="inlineStr">
        <is>
          <t>sodium hydroxide, without water, in 50% solution state</t>
        </is>
      </c>
      <c r="H576" t="inlineStr">
        <is>
          <t>50% liquid ammonia. In original publication, it is dilluated to 27% in water. We discount the original value by 50%.</t>
        </is>
      </c>
      <c r="I576" s="6" t="n">
        <v>478</v>
      </c>
      <c r="J576" s="11">
        <f>J567</f>
        <v>1</v>
      </c>
      <c r="K576" t="n">
        <v>0</v>
      </c>
      <c r="L576" s="3" t="n"/>
    </row>
    <row r="577">
      <c r="A577" t="inlineStr">
        <is>
          <t>market for monoethanolamine</t>
        </is>
      </c>
      <c r="B577">
        <f>unallocated!B209/I577*J577</f>
        <v>8.368200836820083E-3</v>
      </c>
      <c r="C577" t="inlineStr">
        <is>
          <t>GLO</t>
        </is>
      </c>
      <c r="D577" t="inlineStr">
        <is>
          <t>kilogram</t>
        </is>
      </c>
      <c r="F577" t="inlineStr">
        <is>
          <t>technosphere</t>
        </is>
      </c>
      <c r="G577" t="inlineStr">
        <is>
          <t>monoethanolamine</t>
        </is>
      </c>
      <c r="I577" s="6" t="n">
        <v>478</v>
      </c>
      <c r="J577" s="11">
        <f>J567</f>
        <v>1</v>
      </c>
      <c r="K577" t="n">
        <v>0</v>
      </c>
      <c r="L577" s="3" t="n"/>
    </row>
    <row r="578">
      <c r="A578" t="inlineStr">
        <is>
          <t>municipal waste incineration facility construction</t>
        </is>
      </c>
      <c r="B578">
        <f>unallocated!B210/I578*J578</f>
        <v>5.2301255230125516E-10</v>
      </c>
      <c r="C578" t="inlineStr">
        <is>
          <t>CH</t>
        </is>
      </c>
      <c r="D578" t="inlineStr">
        <is>
          <t>unit</t>
        </is>
      </c>
      <c r="F578" t="inlineStr">
        <is>
          <t>technosphere</t>
        </is>
      </c>
      <c r="G578" t="inlineStr">
        <is>
          <t>municipal waste incineration facility</t>
        </is>
      </c>
      <c r="H578" t="inlineStr">
        <is>
          <t>Lifetime: 4'000'000 tons MSWI treated.</t>
        </is>
      </c>
      <c r="I578" s="6" t="n">
        <v>478</v>
      </c>
      <c r="J578" s="11">
        <f>J567</f>
        <v>1</v>
      </c>
      <c r="K578" t="n">
        <v>2</v>
      </c>
      <c r="L578" s="3">
        <f>LN(B578)</f>
        <v>-21.371415651575621</v>
      </c>
      <c r="M578" t="n">
        <v>1</v>
      </c>
      <c r="N578" t="n">
        <v>1</v>
      </c>
      <c r="O578" t="n">
        <v>1</v>
      </c>
      <c r="P578" t="n">
        <v>1.02</v>
      </c>
      <c r="Q578" t="n">
        <v>1.2</v>
      </c>
      <c r="R578" t="n">
        <v>1</v>
      </c>
      <c r="S578" t="n">
        <v>3</v>
      </c>
      <c r="T578">
        <f>LN(SQRT(EXP(
SQRT(
+POWER(LN(M578),2)
+POWER(LN(N578),2)
+POWER(LN(O578),2)
+POWER(LN(P578),2)
+POWER(LN(Q578),2)
+POWER(LN(R578),2)
+POWER(LN(S578),2)
)
)))</f>
        <v>0.5569071410325479</v>
      </c>
    </row>
    <row r="579">
      <c r="A579" t="inlineStr">
        <is>
          <t>carbon dioxide storage at wood burning power plant 20 MW post, pipeline 200km, storage 1000m</t>
        </is>
      </c>
      <c r="B579">
        <f>unallocated!B211/I579*J579</f>
        <v>1.7217573221757323</v>
      </c>
      <c r="C579" t="inlineStr">
        <is>
          <t>RER</t>
        </is>
      </c>
      <c r="D579" t="inlineStr">
        <is>
          <t>kilogram</t>
        </is>
      </c>
      <c r="F579" t="inlineStr">
        <is>
          <t>technosphere</t>
        </is>
      </c>
      <c r="G579" t="inlineStr">
        <is>
          <t>carbon dioxide storage at wood burning power plant 20 MW post, pipeline 200km, storage 1000m</t>
        </is>
      </c>
      <c r="I579" s="6" t="n">
        <v>478</v>
      </c>
      <c r="J579" s="11">
        <f>J567</f>
        <v>1</v>
      </c>
      <c r="K579" t="n">
        <v>2</v>
      </c>
      <c r="L579" s="3">
        <f>LN(B579)</f>
        <v>0.54334546818561391</v>
      </c>
      <c r="M579" t="n">
        <v>1</v>
      </c>
      <c r="N579" t="n">
        <v>1</v>
      </c>
      <c r="O579" t="n">
        <v>1</v>
      </c>
      <c r="P579" t="n">
        <v>1.02</v>
      </c>
      <c r="Q579" t="n">
        <v>1.2</v>
      </c>
      <c r="R579" t="n">
        <v>1</v>
      </c>
      <c r="S579" t="n">
        <v>3</v>
      </c>
      <c r="T579">
        <f>LN(SQRT(EXP(
SQRT(
+POWER(LN(M579),2)
+POWER(LN(N579),2)
+POWER(LN(O579),2)
+POWER(LN(P579),2)
+POWER(LN(Q579),2)
+POWER(LN(R579),2)
+POWER(LN(S579),2)
)
)))</f>
        <v>0.5569071410325479</v>
      </c>
    </row>
    <row r="580">
      <c r="A580" t="inlineStr">
        <is>
          <t>Water, cooling, unspecified natural origin</t>
        </is>
      </c>
      <c r="B580">
        <f>unallocated!B212/I580*J580</f>
        <v>0</v>
      </c>
      <c r="D580" t="inlineStr">
        <is>
          <t>cubic meter</t>
        </is>
      </c>
      <c r="E580" t="inlineStr">
        <is>
          <t>natural resource::in water</t>
        </is>
      </c>
      <c r="F580" t="inlineStr">
        <is>
          <t>biosphere</t>
        </is>
      </c>
      <c r="I580" s="6" t="n">
        <v>478</v>
      </c>
      <c r="J580" s="11">
        <f>J567</f>
        <v>1</v>
      </c>
      <c r="K580" t="n">
        <v>0</v>
      </c>
      <c r="L580" s="3" t="n"/>
    </row>
    <row r="581">
      <c r="A581" t="inlineStr">
        <is>
          <t>Sulfur dioxide</t>
        </is>
      </c>
      <c r="B581">
        <f>unallocated!B213/I581*J581</f>
        <v>1.2552301255230125E-5</v>
      </c>
      <c r="D581" t="inlineStr">
        <is>
          <t>kilogram</t>
        </is>
      </c>
      <c r="E581" t="inlineStr">
        <is>
          <t>air::urban air close to ground</t>
        </is>
      </c>
      <c r="F581" t="inlineStr">
        <is>
          <t>biosphere</t>
        </is>
      </c>
      <c r="I581" s="6" t="n">
        <v>478</v>
      </c>
      <c r="J581" s="11">
        <f>J567</f>
        <v>1</v>
      </c>
      <c r="K581" t="n">
        <v>2</v>
      </c>
      <c r="L581" s="3">
        <f>LN(B581)</f>
        <v>-11.285606542245539</v>
      </c>
      <c r="M581" t="n">
        <v>1</v>
      </c>
      <c r="N581" t="n">
        <v>1</v>
      </c>
      <c r="O581" t="n">
        <v>1</v>
      </c>
      <c r="P581" t="n">
        <v>1.02</v>
      </c>
      <c r="Q581" t="n">
        <v>1.2</v>
      </c>
      <c r="R581" t="n">
        <v>1</v>
      </c>
      <c r="S581" t="n">
        <v>1.05</v>
      </c>
      <c r="T581">
        <f>LN(SQRT(EXP(
SQRT(
+POWER(LN(M581),2)
+POWER(LN(N581),2)
+POWER(LN(O581),2)
+POWER(LN(P581),2)
+POWER(LN(Q581),2)
+POWER(LN(R581),2)
+POWER(LN(S581),2)
)
)))</f>
        <v>9.4886477223156879E-2</v>
      </c>
    </row>
    <row r="582">
      <c r="A582" t="inlineStr">
        <is>
          <t>Hydrochloric acid</t>
        </is>
      </c>
      <c r="B582">
        <f>unallocated!B214/I582*J582</f>
        <v>6.2761506276150627E-6</v>
      </c>
      <c r="D582" t="inlineStr">
        <is>
          <t>kilogram</t>
        </is>
      </c>
      <c r="E582" t="inlineStr">
        <is>
          <t>air</t>
        </is>
      </c>
      <c r="F582" t="inlineStr">
        <is>
          <t>biosphere</t>
        </is>
      </c>
      <c r="I582" s="6" t="n">
        <v>478</v>
      </c>
      <c r="J582" s="11">
        <f>J567</f>
        <v>1</v>
      </c>
      <c r="K582" t="n">
        <v>2</v>
      </c>
      <c r="L582" s="3">
        <f>LN(B582)</f>
        <v>-11.978753722805484</v>
      </c>
      <c r="M582" t="n">
        <v>1</v>
      </c>
      <c r="N582" t="n">
        <v>1</v>
      </c>
      <c r="O582" t="n">
        <v>1</v>
      </c>
      <c r="P582" t="n">
        <v>1.02</v>
      </c>
      <c r="Q582" t="n">
        <v>1.2</v>
      </c>
      <c r="R582" t="n">
        <v>1</v>
      </c>
      <c r="S582" t="n">
        <v>1.5</v>
      </c>
      <c r="T582">
        <f>LN(SQRT(EXP(
SQRT(
+POWER(LN(M582),2)
+POWER(LN(N582),2)
+POWER(LN(O582),2)
+POWER(LN(P582),2)
+POWER(LN(Q582),2)
+POWER(LN(R582),2)
+POWER(LN(S582),2)
)
)))</f>
        <v>0.22250575723605889</v>
      </c>
    </row>
    <row r="583">
      <c r="A583" t="inlineStr">
        <is>
          <t>Nitrogen oxides</t>
        </is>
      </c>
      <c r="B583">
        <f>unallocated!B215/I583*J583</f>
        <v>1.4163179916317993E-3</v>
      </c>
      <c r="D583" t="inlineStr">
        <is>
          <t>kilogram</t>
        </is>
      </c>
      <c r="E583" t="inlineStr">
        <is>
          <t>air::urban air close to ground</t>
        </is>
      </c>
      <c r="F583" t="inlineStr">
        <is>
          <t>biosphere</t>
        </is>
      </c>
      <c r="I583" s="6" t="n">
        <v>478</v>
      </c>
      <c r="J583" s="11">
        <f>J567</f>
        <v>1</v>
      </c>
      <c r="K583" t="n">
        <v>2</v>
      </c>
      <c r="L583" s="3">
        <f>LN(B583)</f>
        <v>-6.5596947385613182</v>
      </c>
      <c r="M583" t="n">
        <v>1</v>
      </c>
      <c r="N583" t="n">
        <v>1</v>
      </c>
      <c r="O583" t="n">
        <v>1</v>
      </c>
      <c r="P583" t="n">
        <v>1.02</v>
      </c>
      <c r="Q583" t="n">
        <v>1.2</v>
      </c>
      <c r="R583" t="n">
        <v>1</v>
      </c>
      <c r="S583" t="n">
        <v>1.5</v>
      </c>
      <c r="T583">
        <f>LN(SQRT(EXP(
SQRT(
+POWER(LN(M583),2)
+POWER(LN(N583),2)
+POWER(LN(O583),2)
+POWER(LN(P583),2)
+POWER(LN(Q583),2)
+POWER(LN(R583),2)
+POWER(LN(S583),2)
)
)))</f>
        <v>0.22250575723605889</v>
      </c>
    </row>
    <row r="584">
      <c r="A584" t="inlineStr">
        <is>
          <t>Ammonia</t>
        </is>
      </c>
      <c r="B584">
        <f>unallocated!B216/I584*J584</f>
        <v>4.1841004184100421E-5</v>
      </c>
      <c r="D584" t="inlineStr">
        <is>
          <t>kilogram</t>
        </is>
      </c>
      <c r="E584" t="inlineStr">
        <is>
          <t>air::urban air close to ground</t>
        </is>
      </c>
      <c r="F584" t="inlineStr">
        <is>
          <t>biosphere</t>
        </is>
      </c>
      <c r="I584" s="6" t="n">
        <v>478</v>
      </c>
      <c r="J584" s="11">
        <f>J567</f>
        <v>1</v>
      </c>
      <c r="K584" t="n">
        <v>2</v>
      </c>
      <c r="L584" s="3">
        <f>LN(B584)</f>
        <v>-10.081633737919603</v>
      </c>
      <c r="M584" t="n">
        <v>1</v>
      </c>
      <c r="N584" t="n">
        <v>1</v>
      </c>
      <c r="O584" t="n">
        <v>1</v>
      </c>
      <c r="P584" t="n">
        <v>1.02</v>
      </c>
      <c r="Q584" t="n">
        <v>1.2</v>
      </c>
      <c r="R584" t="n">
        <v>1</v>
      </c>
      <c r="S584" t="n">
        <v>1.5</v>
      </c>
      <c r="T584">
        <f>LN(SQRT(EXP(
SQRT(
+POWER(LN(M584),2)
+POWER(LN(N584),2)
+POWER(LN(O584),2)
+POWER(LN(P584),2)
+POWER(LN(Q584),2)
+POWER(LN(R584),2)
+POWER(LN(S584),2)
)
)))</f>
        <v>0.22250575723605889</v>
      </c>
    </row>
    <row r="585">
      <c r="A585" t="inlineStr">
        <is>
          <t>Particulate Matter, &lt; 2.5 um</t>
        </is>
      </c>
      <c r="B585">
        <f>unallocated!B217/I585*J585</f>
        <v>1.2552301255230125E-5</v>
      </c>
      <c r="D585" t="inlineStr">
        <is>
          <t>kilogram</t>
        </is>
      </c>
      <c r="E585" t="inlineStr">
        <is>
          <t>air::urban air close to ground</t>
        </is>
      </c>
      <c r="F585" t="inlineStr">
        <is>
          <t>biosphere</t>
        </is>
      </c>
      <c r="I585" s="6" t="n">
        <v>478</v>
      </c>
      <c r="J585" s="11">
        <f>J567</f>
        <v>1</v>
      </c>
      <c r="K585" t="n">
        <v>2</v>
      </c>
      <c r="L585" s="3">
        <f>LN(B585)</f>
        <v>-11.285606542245539</v>
      </c>
      <c r="M585" t="n">
        <v>1</v>
      </c>
      <c r="N585" t="n">
        <v>1</v>
      </c>
      <c r="O585" t="n">
        <v>1</v>
      </c>
      <c r="P585" t="n">
        <v>1.02</v>
      </c>
      <c r="Q585" t="n">
        <v>1.2</v>
      </c>
      <c r="R585" t="n">
        <v>1</v>
      </c>
      <c r="S585" t="n">
        <v>3</v>
      </c>
      <c r="T585">
        <f>LN(SQRT(EXP(
SQRT(
+POWER(LN(M585),2)
+POWER(LN(N585),2)
+POWER(LN(O585),2)
+POWER(LN(P585),2)
+POWER(LN(Q585),2)
+POWER(LN(R585),2)
+POWER(LN(S585),2)
)
)))</f>
        <v>0.5569071410325479</v>
      </c>
    </row>
    <row r="586">
      <c r="A586" t="inlineStr">
        <is>
          <t>Mercury II</t>
        </is>
      </c>
      <c r="B586">
        <f>unallocated!B218/I586*J586</f>
        <v>1.2552301255230125E-8</v>
      </c>
      <c r="D586" t="inlineStr">
        <is>
          <t>kilogram</t>
        </is>
      </c>
      <c r="E586" t="inlineStr">
        <is>
          <t>air::urban air close to ground</t>
        </is>
      </c>
      <c r="F586" t="inlineStr">
        <is>
          <t>biosphere</t>
        </is>
      </c>
      <c r="I586" s="6" t="n">
        <v>478</v>
      </c>
      <c r="J586" s="11">
        <f>J567</f>
        <v>1</v>
      </c>
      <c r="K586" t="n">
        <v>2</v>
      </c>
      <c r="L586" s="3">
        <f>LN(B586)</f>
        <v>-18.193361821227676</v>
      </c>
      <c r="M586" t="n">
        <v>1</v>
      </c>
      <c r="N586" t="n">
        <v>1</v>
      </c>
      <c r="O586" t="n">
        <v>1</v>
      </c>
      <c r="P586" t="n">
        <v>1.02</v>
      </c>
      <c r="Q586" t="n">
        <v>1.2</v>
      </c>
      <c r="R586" t="n">
        <v>1</v>
      </c>
      <c r="S586" t="n">
        <v>5</v>
      </c>
      <c r="T586">
        <f>LN(SQRT(EXP(
SQRT(
+POWER(LN(M586),2)
+POWER(LN(N586),2)
+POWER(LN(O586),2)
+POWER(LN(P586),2)
+POWER(LN(Q586),2)
+POWER(LN(R586),2)
+POWER(LN(S586),2)
)
)))</f>
        <v>0.80992649174166365</v>
      </c>
    </row>
    <row r="587">
      <c r="A587" t="inlineStr">
        <is>
          <t>Lead II</t>
        </is>
      </c>
      <c r="B587">
        <f>unallocated!B219/I587*J587</f>
        <v>1.2552301255230125E-8</v>
      </c>
      <c r="D587" t="inlineStr">
        <is>
          <t>kilogram</t>
        </is>
      </c>
      <c r="E587" t="inlineStr">
        <is>
          <t>air::urban air close to ground</t>
        </is>
      </c>
      <c r="F587" t="inlineStr">
        <is>
          <t>biosphere</t>
        </is>
      </c>
      <c r="I587" s="6" t="n">
        <v>478</v>
      </c>
      <c r="J587" s="11">
        <f>J567</f>
        <v>1</v>
      </c>
      <c r="K587" t="n">
        <v>2</v>
      </c>
      <c r="L587" s="3">
        <f>LN(B587)</f>
        <v>-18.193361821227676</v>
      </c>
      <c r="M587" t="n">
        <v>1</v>
      </c>
      <c r="N587" t="n">
        <v>1</v>
      </c>
      <c r="O587" t="n">
        <v>1</v>
      </c>
      <c r="P587" t="n">
        <v>1.02</v>
      </c>
      <c r="Q587" t="n">
        <v>1.2</v>
      </c>
      <c r="R587" t="n">
        <v>1</v>
      </c>
      <c r="S587" t="n">
        <v>5</v>
      </c>
      <c r="T587">
        <f>LN(SQRT(EXP(
SQRT(
+POWER(LN(M587),2)
+POWER(LN(N587),2)
+POWER(LN(O587),2)
+POWER(LN(P587),2)
+POWER(LN(Q587),2)
+POWER(LN(R587),2)
+POWER(LN(S587),2)
)
)))</f>
        <v>0.80992649174166365</v>
      </c>
    </row>
    <row r="588">
      <c r="A588" t="inlineStr">
        <is>
          <t>Cadmium II</t>
        </is>
      </c>
      <c r="B588">
        <f>unallocated!B220/I588*J588</f>
        <v>6.2761506276150627E-9</v>
      </c>
      <c r="D588" t="inlineStr">
        <is>
          <t>kilogram</t>
        </is>
      </c>
      <c r="E588" t="inlineStr">
        <is>
          <t>air::urban air close to ground</t>
        </is>
      </c>
      <c r="F588" t="inlineStr">
        <is>
          <t>biosphere</t>
        </is>
      </c>
      <c r="I588" s="6" t="n">
        <v>478</v>
      </c>
      <c r="J588" s="11">
        <f>J567</f>
        <v>1</v>
      </c>
      <c r="K588" t="n">
        <v>2</v>
      </c>
      <c r="L588" s="3">
        <f>LN(B588)</f>
        <v>-18.886509001787619</v>
      </c>
      <c r="M588" t="n">
        <v>1</v>
      </c>
      <c r="N588" t="n">
        <v>1</v>
      </c>
      <c r="O588" t="n">
        <v>1</v>
      </c>
      <c r="P588" t="n">
        <v>1.02</v>
      </c>
      <c r="Q588" t="n">
        <v>1.2</v>
      </c>
      <c r="R588" t="n">
        <v>1</v>
      </c>
      <c r="S588" t="n">
        <v>5</v>
      </c>
      <c r="T588">
        <f>LN(SQRT(EXP(
SQRT(
+POWER(LN(M588),2)
+POWER(LN(N588),2)
+POWER(LN(O588),2)
+POWER(LN(P588),2)
+POWER(LN(Q588),2)
+POWER(LN(R588),2)
+POWER(LN(S588),2)
)
)))</f>
        <v>0.80992649174166365</v>
      </c>
    </row>
    <row r="589">
      <c r="A589" t="inlineStr">
        <is>
          <t>Arsenic ion</t>
        </is>
      </c>
      <c r="B589">
        <f>unallocated!B221/I589*J589</f>
        <v>6.2761506276150627E-9</v>
      </c>
      <c r="D589" t="inlineStr">
        <is>
          <t>kilogram</t>
        </is>
      </c>
      <c r="E589" t="inlineStr">
        <is>
          <t>air::urban air close to ground</t>
        </is>
      </c>
      <c r="F589" t="inlineStr">
        <is>
          <t>biosphere</t>
        </is>
      </c>
      <c r="I589" s="6" t="n">
        <v>478</v>
      </c>
      <c r="J589" s="11">
        <f>J567</f>
        <v>1</v>
      </c>
      <c r="K589" t="n">
        <v>2</v>
      </c>
      <c r="L589" s="3">
        <f>LN(B589)</f>
        <v>-18.886509001787619</v>
      </c>
      <c r="M589" t="n">
        <v>1</v>
      </c>
      <c r="N589" t="n">
        <v>1</v>
      </c>
      <c r="O589" t="n">
        <v>1</v>
      </c>
      <c r="P589" t="n">
        <v>1.02</v>
      </c>
      <c r="Q589" t="n">
        <v>1.2</v>
      </c>
      <c r="R589" t="n">
        <v>1</v>
      </c>
      <c r="S589" t="n">
        <v>5</v>
      </c>
      <c r="T589">
        <f>LN(SQRT(EXP(
SQRT(
+POWER(LN(M589),2)
+POWER(LN(N589),2)
+POWER(LN(O589),2)
+POWER(LN(P589),2)
+POWER(LN(Q589),2)
+POWER(LN(R589),2)
+POWER(LN(S589),2)
)
)))</f>
        <v>0.80992649174166365</v>
      </c>
    </row>
    <row r="590">
      <c r="A590" t="inlineStr">
        <is>
          <t>Dioxins, measured as 2,3,7,8-tetrachlorodibenzo-p-dioxin</t>
        </is>
      </c>
      <c r="B590">
        <f>unallocated!B222/I590*J590</f>
        <v>2.3012552301255231E-13</v>
      </c>
      <c r="D590" t="inlineStr">
        <is>
          <t>kilogram</t>
        </is>
      </c>
      <c r="E590" t="inlineStr">
        <is>
          <t>air::urban air close to ground</t>
        </is>
      </c>
      <c r="F590" t="inlineStr">
        <is>
          <t>biosphere</t>
        </is>
      </c>
      <c r="I590" s="6" t="n">
        <v>478</v>
      </c>
      <c r="J590" s="11">
        <f>J567</f>
        <v>1</v>
      </c>
      <c r="K590" t="n">
        <v>2</v>
      </c>
      <c r="L590" s="3">
        <f>LN(B590)</f>
        <v>-29.100151482627588</v>
      </c>
      <c r="M590" t="n">
        <v>1</v>
      </c>
      <c r="N590" t="n">
        <v>1</v>
      </c>
      <c r="O590" t="n">
        <v>1</v>
      </c>
      <c r="P590" t="n">
        <v>1.02</v>
      </c>
      <c r="Q590" t="n">
        <v>1.2</v>
      </c>
      <c r="R590" t="n">
        <v>1</v>
      </c>
      <c r="S590" t="n">
        <v>5</v>
      </c>
      <c r="T590">
        <f>LN(SQRT(EXP(
SQRT(
+POWER(LN(M590),2)
+POWER(LN(N590),2)
+POWER(LN(O590),2)
+POWER(LN(P590),2)
+POWER(LN(Q590),2)
+POWER(LN(R590),2)
+POWER(LN(S590),2)
)
)))</f>
        <v>0.80992649174166365</v>
      </c>
    </row>
    <row r="591">
      <c r="A591" t="inlineStr">
        <is>
          <t>Carbon dioxide, fossil</t>
        </is>
      </c>
      <c r="B591">
        <f>unallocated!B223/I591*J591</f>
        <v>0.11715481171548117</v>
      </c>
      <c r="D591" t="inlineStr">
        <is>
          <t>kilogram</t>
        </is>
      </c>
      <c r="E591" t="inlineStr">
        <is>
          <t>air::urban air close to ground</t>
        </is>
      </c>
      <c r="F591" t="inlineStr">
        <is>
          <t>biosphere</t>
        </is>
      </c>
      <c r="I591" s="6" t="n">
        <v>478</v>
      </c>
      <c r="J591" s="11">
        <f>J567</f>
        <v>1</v>
      </c>
      <c r="K591" t="n">
        <v>2</v>
      </c>
      <c r="L591" s="3">
        <f>LN(B591)</f>
        <v>-2.1442590417563068</v>
      </c>
      <c r="M591" t="n">
        <v>1</v>
      </c>
      <c r="N591" t="n">
        <v>1</v>
      </c>
      <c r="O591" t="n">
        <v>1</v>
      </c>
      <c r="P591" t="n">
        <v>1.02</v>
      </c>
      <c r="Q591" t="n">
        <v>1.2</v>
      </c>
      <c r="R591" t="n">
        <v>1</v>
      </c>
      <c r="S591" t="n">
        <v>1.05</v>
      </c>
      <c r="T591">
        <f>LN(SQRT(EXP(
SQRT(
+POWER(LN(M591),2)
+POWER(LN(N591),2)
+POWER(LN(O591),2)
+POWER(LN(P591),2)
+POWER(LN(Q591),2)
+POWER(LN(R591),2)
+POWER(LN(S591),2)
)
)))</f>
        <v>9.4886477223156879E-2</v>
      </c>
    </row>
    <row r="592">
      <c r="A592" t="inlineStr">
        <is>
          <t>Carbon dioxide, non-fossil</t>
        </is>
      </c>
      <c r="B592">
        <f>unallocated!B224/I592*J592</f>
        <v>0.18619246861924685</v>
      </c>
      <c r="D592" t="inlineStr">
        <is>
          <t>kilogram</t>
        </is>
      </c>
      <c r="E592" t="inlineStr">
        <is>
          <t>air::urban air close to ground</t>
        </is>
      </c>
      <c r="F592" t="inlineStr">
        <is>
          <t>biosphere</t>
        </is>
      </c>
      <c r="I592" s="6" t="n">
        <v>478</v>
      </c>
      <c r="J592" s="14">
        <f>J567</f>
        <v>1</v>
      </c>
      <c r="K592" t="n">
        <v>2</v>
      </c>
      <c r="L592" s="3">
        <f>LN(B592)</f>
        <v>-1.6809743627593161</v>
      </c>
      <c r="M592" t="n">
        <v>1</v>
      </c>
      <c r="N592" t="n">
        <v>1</v>
      </c>
      <c r="O592" t="n">
        <v>1</v>
      </c>
      <c r="P592" t="n">
        <v>1.02</v>
      </c>
      <c r="Q592" t="n">
        <v>1.2</v>
      </c>
      <c r="R592" t="n">
        <v>1</v>
      </c>
      <c r="S592" t="n">
        <v>1.05</v>
      </c>
      <c r="T592">
        <f>LN(SQRT(EXP(
SQRT(
+POWER(LN(M592),2)
+POWER(LN(N592),2)
+POWER(LN(O592),2)
+POWER(LN(P592),2)
+POWER(LN(Q592),2)
+POWER(LN(R592),2)
+POWER(LN(S592),2)
)
)))</f>
        <v>9.4886477223156879E-2</v>
      </c>
    </row>
    <row r="593">
      <c r="A593" t="inlineStr">
        <is>
          <t>Carbon dioxide, in air</t>
        </is>
      </c>
      <c r="B593">
        <f>unallocated!B225/I593*J593</f>
        <v>1.0564853556485356</v>
      </c>
      <c r="D593" t="inlineStr">
        <is>
          <t>kilogram</t>
        </is>
      </c>
      <c r="E593" t="inlineStr">
        <is>
          <t>natural resource::in air</t>
        </is>
      </c>
      <c r="F593" t="inlineStr">
        <is>
          <t>biosphere</t>
        </is>
      </c>
      <c r="H593" t="inlineStr">
        <is>
          <t>To reflect the permanent storage of non-fossil CO.</t>
        </is>
      </c>
      <c r="I593" s="6" t="n">
        <v>478</v>
      </c>
      <c r="J593" s="14">
        <f>J567</f>
        <v>1</v>
      </c>
      <c r="K593" t="n">
        <v>2</v>
      </c>
      <c r="L593" s="3">
        <f>LN(B593)</f>
        <v>5.4947696783903911E-2</v>
      </c>
      <c r="M593" t="n">
        <v>1</v>
      </c>
      <c r="N593" t="n">
        <v>1</v>
      </c>
      <c r="O593" t="n">
        <v>1</v>
      </c>
      <c r="P593" t="n">
        <v>1.02</v>
      </c>
      <c r="Q593" t="n">
        <v>1.2</v>
      </c>
      <c r="R593" t="n">
        <v>1</v>
      </c>
      <c r="S593" t="n">
        <v>1.05</v>
      </c>
      <c r="T593">
        <f>LN(SQRT(EXP(
SQRT(
+POWER(LN(M593),2)
+POWER(LN(N593),2)
+POWER(LN(O593),2)
+POWER(LN(P593),2)
+POWER(LN(Q593),2)
+POWER(LN(R593),2)
+POWER(LN(S593),2)
)
)))</f>
        <v>9.4886477223156879E-2</v>
      </c>
    </row>
    <row r="594"/>
    <row r="595">
      <c r="A595" s="1" t="inlineStr">
        <is>
          <t>Activity</t>
        </is>
      </c>
      <c r="B595" s="1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</row>
    <row r="596">
      <c r="A596" t="inlineStr">
        <is>
          <t>location</t>
        </is>
      </c>
      <c r="B596" t="inlineStr">
        <is>
          <t>RER</t>
        </is>
      </c>
    </row>
    <row r="597">
      <c r="A597" t="inlineStr">
        <is>
          <t>production amount</t>
        </is>
      </c>
      <c r="B597" t="n">
        <v>1</v>
      </c>
    </row>
    <row r="598">
      <c r="A598" s="2" t="inlineStr">
        <is>
          <t>source</t>
        </is>
      </c>
      <c r="B598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599">
      <c r="A599" t="inlineStr">
        <is>
          <t>reference product</t>
        </is>
      </c>
      <c r="B599" t="inlineStr">
        <is>
          <t>municipal solid waste</t>
        </is>
      </c>
    </row>
    <row r="600">
      <c r="A600" t="inlineStr">
        <is>
          <t>type</t>
        </is>
      </c>
      <c r="B600" t="inlineStr">
        <is>
          <t>process</t>
        </is>
      </c>
    </row>
    <row r="601">
      <c r="A601" t="inlineStr">
        <is>
          <t>unit</t>
        </is>
      </c>
      <c r="B601" t="inlineStr">
        <is>
          <t>kilogram</t>
        </is>
      </c>
    </row>
    <row r="602">
      <c r="A602" t="inlineStr">
        <is>
          <t>comment</t>
        </is>
      </c>
      <c r="B602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Yes. Electricity production per ton MSWI incinerated: 312 kWh. Heat production per ton MSWI incinerated: 7'400 MJ.</t>
        </is>
      </c>
    </row>
    <row r="603">
      <c r="A603" s="1" t="inlineStr">
        <is>
          <t>Exchanges</t>
        </is>
      </c>
    </row>
    <row r="604">
      <c r="A604" s="7" t="inlineStr">
        <is>
          <t>name</t>
        </is>
      </c>
      <c r="B604" s="7" t="inlineStr">
        <is>
          <t>amount</t>
        </is>
      </c>
      <c r="C604" s="7" t="inlineStr">
        <is>
          <t>location</t>
        </is>
      </c>
      <c r="D604" s="7" t="inlineStr">
        <is>
          <t>unit</t>
        </is>
      </c>
      <c r="E604" s="7" t="inlineStr">
        <is>
          <t>categories</t>
        </is>
      </c>
      <c r="F604" s="7" t="inlineStr">
        <is>
          <t>type</t>
        </is>
      </c>
      <c r="G604" s="7" t="inlineStr">
        <is>
          <t>reference product</t>
        </is>
      </c>
      <c r="H604" s="7" t="inlineStr">
        <is>
          <t>comment</t>
        </is>
      </c>
      <c r="I604" s="7" t="inlineStr">
        <is>
          <t>normalization</t>
        </is>
      </c>
      <c r="J604" s="7" t="inlineStr">
        <is>
          <t>allocation</t>
        </is>
      </c>
      <c r="K604" s="7" t="inlineStr">
        <is>
          <t>uncertainty type</t>
        </is>
      </c>
      <c r="L604" s="7" t="inlineStr">
        <is>
          <t>loc</t>
        </is>
      </c>
      <c r="M604" s="1" t="inlineStr">
        <is>
          <t>u1</t>
        </is>
      </c>
      <c r="N604" s="1" t="inlineStr">
        <is>
          <t>u2</t>
        </is>
      </c>
      <c r="O604" s="1" t="inlineStr">
        <is>
          <t>u3</t>
        </is>
      </c>
      <c r="P604" s="1" t="inlineStr">
        <is>
          <t>u4</t>
        </is>
      </c>
      <c r="Q604" s="1" t="inlineStr">
        <is>
          <t>u5</t>
        </is>
      </c>
      <c r="R604" s="1" t="inlineStr">
        <is>
          <t>u6</t>
        </is>
      </c>
      <c r="S604" s="1" t="inlineStr">
        <is>
          <t>ub</t>
        </is>
      </c>
      <c r="T604" s="1" t="inlineStr">
        <is>
          <t>scale</t>
        </is>
      </c>
      <c r="U604" s="1" t="inlineStr">
        <is>
          <t>negative</t>
        </is>
      </c>
    </row>
    <row r="605">
      <c r="A605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B605" t="n">
        <v>1</v>
      </c>
      <c r="C605" t="inlineStr">
        <is>
          <t>RER</t>
        </is>
      </c>
      <c r="D605" t="inlineStr">
        <is>
          <t>kilogram</t>
        </is>
      </c>
      <c r="F605" t="inlineStr">
        <is>
          <t>production</t>
        </is>
      </c>
      <c r="G605" t="inlineStr">
        <is>
          <t>municipal solid waste</t>
        </is>
      </c>
      <c r="H605" t="inlineStr"/>
      <c r="I605" t="n">
        <v>1000</v>
      </c>
      <c r="J605" s="14">
        <f>INDEX('allocation keys'!$F$4:$H$28,MATCH('allocated (energy)'!$B$595,'allocation keys'!$B$4:$B$28,0),MATCH('allocated (energy)'!$B$599,'allocation keys'!$F$3:$H$3,0))</f>
        <v>0</v>
      </c>
      <c r="K605" t="n">
        <v>0</v>
      </c>
      <c r="M605" s="5" t="n"/>
      <c r="N605" s="5" t="n"/>
      <c r="O605" s="5" t="n"/>
      <c r="P605" s="5" t="n"/>
      <c r="Q605" s="5" t="n"/>
      <c r="R605" s="5" t="n"/>
    </row>
    <row r="606">
      <c r="A606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B606" s="6" t="n">
        <v>0</v>
      </c>
      <c r="C606" t="inlineStr">
        <is>
          <t>RER</t>
        </is>
      </c>
      <c r="D606" t="inlineStr">
        <is>
          <t>kilowatt hour</t>
        </is>
      </c>
      <c r="F606" t="inlineStr">
        <is>
          <t>technosphere</t>
        </is>
      </c>
      <c r="G606" t="inlineStr">
        <is>
          <t>electricity, medium voltage</t>
        </is>
      </c>
      <c r="H606" t="inlineStr"/>
      <c r="I606" t="n">
        <v>1000</v>
      </c>
      <c r="J606" s="11">
        <f>J605</f>
        <v>0</v>
      </c>
      <c r="K606" t="n">
        <v>0</v>
      </c>
      <c r="L606" s="3" t="n"/>
    </row>
    <row r="607">
      <c r="A607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B607" t="n">
        <v>0</v>
      </c>
      <c r="C607" t="inlineStr">
        <is>
          <t>RER</t>
        </is>
      </c>
      <c r="D607" t="inlineStr">
        <is>
          <t>megajoule</t>
        </is>
      </c>
      <c r="F607" t="inlineStr">
        <is>
          <t>technosphere</t>
        </is>
      </c>
      <c r="G607" t="inlineStr">
        <is>
          <t>heat, district or industrial, other than natural gas</t>
        </is>
      </c>
      <c r="H607" t="inlineStr"/>
      <c r="I607" t="n">
        <v>1000</v>
      </c>
      <c r="J607" s="11">
        <f>J605</f>
        <v>0</v>
      </c>
      <c r="K607" t="n">
        <v>0</v>
      </c>
      <c r="L607" s="3" t="n"/>
    </row>
    <row r="608">
      <c r="A608" t="inlineStr">
        <is>
          <t>market for diesel, low-sulfur</t>
        </is>
      </c>
      <c r="B608">
        <f>unallocated!B240/I608*J608</f>
        <v>0</v>
      </c>
      <c r="C608" t="inlineStr">
        <is>
          <t>Europe without Switzerland</t>
        </is>
      </c>
      <c r="D608" t="inlineStr">
        <is>
          <t>kilogram</t>
        </is>
      </c>
      <c r="F608" t="inlineStr">
        <is>
          <t>technosphere</t>
        </is>
      </c>
      <c r="G608" t="inlineStr">
        <is>
          <t>diesel, low-sulfur</t>
        </is>
      </c>
      <c r="H608" t="inlineStr">
        <is>
          <t>Diesel density: 0.85 kg/l</t>
        </is>
      </c>
      <c r="I608" t="n">
        <v>1000</v>
      </c>
      <c r="J608" s="11">
        <f>J605</f>
        <v>0</v>
      </c>
      <c r="K608" t="n">
        <v>0</v>
      </c>
      <c r="L608" s="3" t="n"/>
    </row>
    <row r="609">
      <c r="A609" t="inlineStr">
        <is>
          <t>market for activated carbon, granular</t>
        </is>
      </c>
      <c r="B609">
        <f>unallocated!B241/I609*J609</f>
        <v>0</v>
      </c>
      <c r="C609" t="inlineStr">
        <is>
          <t>GLO</t>
        </is>
      </c>
      <c r="D609" t="inlineStr">
        <is>
          <t>kilogram</t>
        </is>
      </c>
      <c r="F609" t="inlineStr">
        <is>
          <t>technosphere</t>
        </is>
      </c>
      <c r="G609" t="inlineStr">
        <is>
          <t>activated carbon, granular</t>
        </is>
      </c>
      <c r="I609" t="n">
        <v>1000</v>
      </c>
      <c r="J609" s="11">
        <f>J605</f>
        <v>0</v>
      </c>
      <c r="K609" t="n">
        <v>0</v>
      </c>
      <c r="L609" s="3" t="n"/>
    </row>
    <row r="610">
      <c r="A610" t="inlineStr">
        <is>
          <t>market for ammonia, anhydrous, liquid</t>
        </is>
      </c>
      <c r="B610">
        <f>unallocated!B242/I610*J610</f>
        <v>0</v>
      </c>
      <c r="C610" t="inlineStr">
        <is>
          <t>RER</t>
        </is>
      </c>
      <c r="D610" t="inlineStr">
        <is>
          <t>kilogram</t>
        </is>
      </c>
      <c r="F610" t="inlineStr">
        <is>
          <t>technosphere</t>
        </is>
      </c>
      <c r="G610" t="inlineStr">
        <is>
          <t>ammonia, anhydrous, liquid</t>
        </is>
      </c>
      <c r="H610" t="inlineStr">
        <is>
          <t>100% liquid ammonia. In original publication, it is dilluated to 23.5% in water. We discount the original value by 75%.</t>
        </is>
      </c>
      <c r="I610" t="n">
        <v>1000</v>
      </c>
      <c r="J610" s="11">
        <f>J605</f>
        <v>0</v>
      </c>
      <c r="K610" t="n">
        <v>0</v>
      </c>
      <c r="L610" s="3" t="n"/>
    </row>
    <row r="611">
      <c r="A611" t="inlineStr">
        <is>
          <t>market for tap water</t>
        </is>
      </c>
      <c r="B611">
        <f>unallocated!B243/I611*J611</f>
        <v>0</v>
      </c>
      <c r="C611" t="inlineStr">
        <is>
          <t>Europe without Switzerland</t>
        </is>
      </c>
      <c r="D611" t="inlineStr">
        <is>
          <t>kilogram</t>
        </is>
      </c>
      <c r="F611" t="inlineStr">
        <is>
          <t>technosphere</t>
        </is>
      </c>
      <c r="G611" t="inlineStr">
        <is>
          <t>tap water</t>
        </is>
      </c>
      <c r="H611" t="inlineStr">
        <is>
          <t>Used to dilute the ammonia.</t>
        </is>
      </c>
      <c r="I611" t="n">
        <v>1000</v>
      </c>
      <c r="J611" s="11">
        <f>J605</f>
        <v>0</v>
      </c>
      <c r="K611" t="n">
        <v>0</v>
      </c>
      <c r="L611" s="3" t="n"/>
    </row>
    <row r="612">
      <c r="A612" t="inlineStr">
        <is>
          <t>market for calcium carbonate, precipitated</t>
        </is>
      </c>
      <c r="B612">
        <f>unallocated!B244/I612*J612</f>
        <v>0</v>
      </c>
      <c r="C612" t="inlineStr">
        <is>
          <t>RER</t>
        </is>
      </c>
      <c r="D612" t="inlineStr">
        <is>
          <t>kilogram</t>
        </is>
      </c>
      <c r="F612" t="inlineStr">
        <is>
          <t>technosphere</t>
        </is>
      </c>
      <c r="G612" t="inlineStr">
        <is>
          <t>calcium carbonate, precipitated</t>
        </is>
      </c>
      <c r="I612" t="n">
        <v>1000</v>
      </c>
      <c r="J612" s="11">
        <f>J605</f>
        <v>0</v>
      </c>
      <c r="K612" t="n">
        <v>0</v>
      </c>
      <c r="L612" s="3" t="n"/>
    </row>
    <row r="613">
      <c r="A613" t="inlineStr">
        <is>
          <t>market for iron(III) chloride, without water, in 40% solution state</t>
        </is>
      </c>
      <c r="B613">
        <f>unallocated!B245/I613*J613</f>
        <v>0</v>
      </c>
      <c r="C613" t="inlineStr">
        <is>
          <t>GLO</t>
        </is>
      </c>
      <c r="D613" t="inlineStr">
        <is>
          <t>kilogram</t>
        </is>
      </c>
      <c r="F613" t="inlineStr">
        <is>
          <t>technosphere</t>
        </is>
      </c>
      <c r="G613" t="inlineStr">
        <is>
          <t>iron(III) chloride, without water, in 40% solution state</t>
        </is>
      </c>
      <c r="I613" t="n">
        <v>1000</v>
      </c>
      <c r="J613" s="11">
        <f>J605</f>
        <v>0</v>
      </c>
      <c r="K613" t="n">
        <v>0</v>
      </c>
      <c r="L613" s="3" t="n"/>
    </row>
    <row r="614">
      <c r="A614" t="inlineStr">
        <is>
          <t>market for lime, hydrated, packed</t>
        </is>
      </c>
      <c r="B614">
        <f>unallocated!B246/I614*J614</f>
        <v>0</v>
      </c>
      <c r="C614" t="inlineStr">
        <is>
          <t>RER</t>
        </is>
      </c>
      <c r="D614" t="inlineStr">
        <is>
          <t>kilogram</t>
        </is>
      </c>
      <c r="F614" t="inlineStr">
        <is>
          <t>technosphere</t>
        </is>
      </c>
      <c r="G614" t="inlineStr">
        <is>
          <t>lime, hydrated, packed</t>
        </is>
      </c>
      <c r="I614" t="n">
        <v>1000</v>
      </c>
      <c r="J614" s="11">
        <f>J605</f>
        <v>0</v>
      </c>
      <c r="K614" t="n">
        <v>0</v>
      </c>
      <c r="L614" s="3" t="n"/>
    </row>
    <row r="615">
      <c r="A615" t="inlineStr">
        <is>
          <t>market for sodium hydroxide, without water, in 50% solution state</t>
        </is>
      </c>
      <c r="B615">
        <f>unallocated!B247/I615*J615</f>
        <v>0</v>
      </c>
      <c r="C615" t="inlineStr">
        <is>
          <t>RER</t>
        </is>
      </c>
      <c r="D615" t="inlineStr">
        <is>
          <t>kilogram</t>
        </is>
      </c>
      <c r="F615" t="inlineStr">
        <is>
          <t>technosphere</t>
        </is>
      </c>
      <c r="G615" t="inlineStr">
        <is>
          <t>sodium hydroxide, without water, in 50% solution state</t>
        </is>
      </c>
      <c r="H615" t="inlineStr">
        <is>
          <t>50% liquid ammonia. In original publication, it is dilluated to 27% in water. We discount the original value by 50%.</t>
        </is>
      </c>
      <c r="I615" t="n">
        <v>1000</v>
      </c>
      <c r="J615" s="11">
        <f>J605</f>
        <v>0</v>
      </c>
      <c r="K615" t="n">
        <v>0</v>
      </c>
      <c r="L615" s="3" t="n"/>
    </row>
    <row r="616">
      <c r="A616" t="inlineStr">
        <is>
          <t>market for monoethanolamine</t>
        </is>
      </c>
      <c r="B616">
        <f>unallocated!B248/I616*J616</f>
        <v>0</v>
      </c>
      <c r="C616" t="inlineStr">
        <is>
          <t>GLO</t>
        </is>
      </c>
      <c r="D616" t="inlineStr">
        <is>
          <t>kilogram</t>
        </is>
      </c>
      <c r="F616" t="inlineStr">
        <is>
          <t>technosphere</t>
        </is>
      </c>
      <c r="G616" t="inlineStr">
        <is>
          <t>monoethanolamine</t>
        </is>
      </c>
      <c r="I616" t="n">
        <v>1000</v>
      </c>
      <c r="J616" s="11">
        <f>J605</f>
        <v>0</v>
      </c>
      <c r="K616" t="n">
        <v>0</v>
      </c>
      <c r="L616" s="3" t="n"/>
    </row>
    <row r="617">
      <c r="A617" t="inlineStr">
        <is>
          <t>municipal waste incineration facility construction</t>
        </is>
      </c>
      <c r="B617">
        <f>unallocated!B249/I617*J617</f>
        <v>0</v>
      </c>
      <c r="C617" t="inlineStr">
        <is>
          <t>CH</t>
        </is>
      </c>
      <c r="D617" t="inlineStr">
        <is>
          <t>unit</t>
        </is>
      </c>
      <c r="F617" t="inlineStr">
        <is>
          <t>technosphere</t>
        </is>
      </c>
      <c r="G617" t="inlineStr">
        <is>
          <t>municipal waste incineration facility</t>
        </is>
      </c>
      <c r="H617" t="inlineStr">
        <is>
          <t>Lifetime: 4'000'000 tons MSWI treated.</t>
        </is>
      </c>
      <c r="I617" t="n">
        <v>1000</v>
      </c>
      <c r="J617" s="11">
        <f>J605</f>
        <v>0</v>
      </c>
      <c r="K617" t="n">
        <v>0</v>
      </c>
      <c r="L617" s="3" t="n"/>
    </row>
    <row r="618">
      <c r="A618" t="inlineStr">
        <is>
          <t>carbon dioxide storage at wood burning power plant 20 MW post, pipeline 200km, storage 1000m</t>
        </is>
      </c>
      <c r="B618">
        <f>unallocated!B250/I618*J618</f>
        <v>0</v>
      </c>
      <c r="C618" t="inlineStr">
        <is>
          <t>RER</t>
        </is>
      </c>
      <c r="D618" t="inlineStr">
        <is>
          <t>kilogram</t>
        </is>
      </c>
      <c r="F618" t="inlineStr">
        <is>
          <t>technosphere</t>
        </is>
      </c>
      <c r="G618" t="inlineStr">
        <is>
          <t>carbon dioxide storage at wood burning power plant 20 MW post, pipeline 200km, storage 1000m</t>
        </is>
      </c>
      <c r="I618" t="n">
        <v>1000</v>
      </c>
      <c r="J618" s="11">
        <f>J605</f>
        <v>0</v>
      </c>
      <c r="K618" t="n">
        <v>0</v>
      </c>
      <c r="L618" s="3" t="n"/>
    </row>
    <row r="619">
      <c r="A619" t="inlineStr">
        <is>
          <t>Water, cooling, unspecified natural origin</t>
        </is>
      </c>
      <c r="B619">
        <f>unallocated!B251/I619*J619</f>
        <v>0</v>
      </c>
      <c r="D619" t="inlineStr">
        <is>
          <t>cubic meter</t>
        </is>
      </c>
      <c r="E619" t="inlineStr">
        <is>
          <t>natural resource::in water</t>
        </is>
      </c>
      <c r="F619" t="inlineStr">
        <is>
          <t>biosphere</t>
        </is>
      </c>
      <c r="I619" t="n">
        <v>1000</v>
      </c>
      <c r="J619" s="11">
        <f>J605</f>
        <v>0</v>
      </c>
      <c r="K619" t="n">
        <v>0</v>
      </c>
      <c r="L619" s="3" t="n"/>
    </row>
    <row r="620">
      <c r="A620" t="inlineStr">
        <is>
          <t>Sulfur dioxide</t>
        </is>
      </c>
      <c r="B620">
        <f>unallocated!B252/I620*J620</f>
        <v>0</v>
      </c>
      <c r="D620" t="inlineStr">
        <is>
          <t>kilogram</t>
        </is>
      </c>
      <c r="E620" t="inlineStr">
        <is>
          <t>air::urban air close to ground</t>
        </is>
      </c>
      <c r="F620" t="inlineStr">
        <is>
          <t>biosphere</t>
        </is>
      </c>
      <c r="I620" t="n">
        <v>1000</v>
      </c>
      <c r="J620" s="11">
        <f>J605</f>
        <v>0</v>
      </c>
      <c r="K620" t="n">
        <v>0</v>
      </c>
      <c r="L620" s="3" t="n"/>
    </row>
    <row r="621">
      <c r="A621" t="inlineStr">
        <is>
          <t>Hydrochloric acid</t>
        </is>
      </c>
      <c r="B621">
        <f>unallocated!B253/I621*J621</f>
        <v>0</v>
      </c>
      <c r="D621" t="inlineStr">
        <is>
          <t>kilogram</t>
        </is>
      </c>
      <c r="E621" t="inlineStr">
        <is>
          <t>air</t>
        </is>
      </c>
      <c r="F621" t="inlineStr">
        <is>
          <t>biosphere</t>
        </is>
      </c>
      <c r="I621" t="n">
        <v>1000</v>
      </c>
      <c r="J621" s="11">
        <f>J605</f>
        <v>0</v>
      </c>
      <c r="K621" t="n">
        <v>0</v>
      </c>
      <c r="L621" s="3" t="n"/>
    </row>
    <row r="622">
      <c r="A622" t="inlineStr">
        <is>
          <t>Nitrogen oxides</t>
        </is>
      </c>
      <c r="B622">
        <f>unallocated!B254/I622*J622</f>
        <v>0</v>
      </c>
      <c r="D622" t="inlineStr">
        <is>
          <t>kilogram</t>
        </is>
      </c>
      <c r="E622" t="inlineStr">
        <is>
          <t>air::urban air close to ground</t>
        </is>
      </c>
      <c r="F622" t="inlineStr">
        <is>
          <t>biosphere</t>
        </is>
      </c>
      <c r="I622" t="n">
        <v>1000</v>
      </c>
      <c r="J622" s="11">
        <f>J605</f>
        <v>0</v>
      </c>
      <c r="K622" t="n">
        <v>0</v>
      </c>
      <c r="L622" s="3" t="n"/>
    </row>
    <row r="623">
      <c r="A623" t="inlineStr">
        <is>
          <t>Ammonia</t>
        </is>
      </c>
      <c r="B623">
        <f>unallocated!B255/I623*J623</f>
        <v>0</v>
      </c>
      <c r="D623" t="inlineStr">
        <is>
          <t>kilogram</t>
        </is>
      </c>
      <c r="E623" t="inlineStr">
        <is>
          <t>air::urban air close to ground</t>
        </is>
      </c>
      <c r="F623" t="inlineStr">
        <is>
          <t>biosphere</t>
        </is>
      </c>
      <c r="I623" t="n">
        <v>1000</v>
      </c>
      <c r="J623" s="11">
        <f>J605</f>
        <v>0</v>
      </c>
      <c r="K623" t="n">
        <v>0</v>
      </c>
      <c r="L623" s="3" t="n"/>
    </row>
    <row r="624">
      <c r="A624" t="inlineStr">
        <is>
          <t>Particulate Matter, &lt; 2.5 um</t>
        </is>
      </c>
      <c r="B624">
        <f>unallocated!B256/I624*J624</f>
        <v>0</v>
      </c>
      <c r="D624" t="inlineStr">
        <is>
          <t>kilogram</t>
        </is>
      </c>
      <c r="E624" t="inlineStr">
        <is>
          <t>air::urban air close to ground</t>
        </is>
      </c>
      <c r="F624" t="inlineStr">
        <is>
          <t>biosphere</t>
        </is>
      </c>
      <c r="I624" t="n">
        <v>1000</v>
      </c>
      <c r="J624" s="11">
        <f>J605</f>
        <v>0</v>
      </c>
      <c r="K624" t="n">
        <v>0</v>
      </c>
      <c r="L624" s="3" t="n"/>
    </row>
    <row r="625">
      <c r="A625" t="inlineStr">
        <is>
          <t>Mercury II</t>
        </is>
      </c>
      <c r="B625">
        <f>unallocated!B257/I625*J625</f>
        <v>0</v>
      </c>
      <c r="D625" t="inlineStr">
        <is>
          <t>kilogram</t>
        </is>
      </c>
      <c r="E625" t="inlineStr">
        <is>
          <t>air::urban air close to ground</t>
        </is>
      </c>
      <c r="F625" t="inlineStr">
        <is>
          <t>biosphere</t>
        </is>
      </c>
      <c r="I625" t="n">
        <v>1000</v>
      </c>
      <c r="J625" s="11">
        <f>J605</f>
        <v>0</v>
      </c>
      <c r="K625" t="n">
        <v>0</v>
      </c>
      <c r="L625" s="3" t="n"/>
    </row>
    <row r="626">
      <c r="A626" t="inlineStr">
        <is>
          <t>Lead II</t>
        </is>
      </c>
      <c r="B626">
        <f>unallocated!B258/I626*J626</f>
        <v>0</v>
      </c>
      <c r="D626" t="inlineStr">
        <is>
          <t>kilogram</t>
        </is>
      </c>
      <c r="E626" t="inlineStr">
        <is>
          <t>air::urban air close to ground</t>
        </is>
      </c>
      <c r="F626" t="inlineStr">
        <is>
          <t>biosphere</t>
        </is>
      </c>
      <c r="I626" t="n">
        <v>1000</v>
      </c>
      <c r="J626" s="11">
        <f>J605</f>
        <v>0</v>
      </c>
      <c r="K626" t="n">
        <v>0</v>
      </c>
      <c r="L626" s="3" t="n"/>
    </row>
    <row r="627">
      <c r="A627" t="inlineStr">
        <is>
          <t>Cadmium II</t>
        </is>
      </c>
      <c r="B627">
        <f>unallocated!B259/I627*J627</f>
        <v>0</v>
      </c>
      <c r="D627" t="inlineStr">
        <is>
          <t>kilogram</t>
        </is>
      </c>
      <c r="E627" t="inlineStr">
        <is>
          <t>air::urban air close to ground</t>
        </is>
      </c>
      <c r="F627" t="inlineStr">
        <is>
          <t>biosphere</t>
        </is>
      </c>
      <c r="I627" t="n">
        <v>1000</v>
      </c>
      <c r="J627" s="11">
        <f>J605</f>
        <v>0</v>
      </c>
      <c r="K627" t="n">
        <v>0</v>
      </c>
      <c r="L627" s="3" t="n"/>
    </row>
    <row r="628">
      <c r="A628" t="inlineStr">
        <is>
          <t>Arsenic ion</t>
        </is>
      </c>
      <c r="B628">
        <f>unallocated!B260/I628*J628</f>
        <v>0</v>
      </c>
      <c r="D628" t="inlineStr">
        <is>
          <t>kilogram</t>
        </is>
      </c>
      <c r="E628" t="inlineStr">
        <is>
          <t>air::urban air close to ground</t>
        </is>
      </c>
      <c r="F628" t="inlineStr">
        <is>
          <t>biosphere</t>
        </is>
      </c>
      <c r="I628" t="n">
        <v>1000</v>
      </c>
      <c r="J628" s="11">
        <f>J605</f>
        <v>0</v>
      </c>
      <c r="K628" t="n">
        <v>0</v>
      </c>
      <c r="L628" s="3" t="n"/>
    </row>
    <row r="629">
      <c r="A629" t="inlineStr">
        <is>
          <t>Dioxins, measured as 2,3,7,8-tetrachlorodibenzo-p-dioxin</t>
        </is>
      </c>
      <c r="B629">
        <f>unallocated!B261/I629*J629</f>
        <v>0</v>
      </c>
      <c r="D629" t="inlineStr">
        <is>
          <t>kilogram</t>
        </is>
      </c>
      <c r="E629" t="inlineStr">
        <is>
          <t>air::urban air close to ground</t>
        </is>
      </c>
      <c r="F629" t="inlineStr">
        <is>
          <t>biosphere</t>
        </is>
      </c>
      <c r="I629" t="n">
        <v>1000</v>
      </c>
      <c r="J629" s="11">
        <f>J605</f>
        <v>0</v>
      </c>
      <c r="K629" t="n">
        <v>0</v>
      </c>
      <c r="L629" s="3" t="n"/>
    </row>
    <row r="630">
      <c r="A630" t="inlineStr">
        <is>
          <t>Carbon dioxide, fossil</t>
        </is>
      </c>
      <c r="B630">
        <f>unallocated!B262/I630*J630</f>
        <v>0</v>
      </c>
      <c r="D630" t="inlineStr">
        <is>
          <t>kilogram</t>
        </is>
      </c>
      <c r="E630" t="inlineStr">
        <is>
          <t>air::urban air close to ground</t>
        </is>
      </c>
      <c r="F630" t="inlineStr">
        <is>
          <t>biosphere</t>
        </is>
      </c>
      <c r="I630" t="n">
        <v>1000</v>
      </c>
      <c r="J630" s="11">
        <f>J605</f>
        <v>0</v>
      </c>
      <c r="K630" t="n">
        <v>0</v>
      </c>
      <c r="L630" s="3" t="n"/>
    </row>
    <row r="631">
      <c r="A631" t="inlineStr">
        <is>
          <t>Carbon dioxide, non-fossil</t>
        </is>
      </c>
      <c r="B631">
        <f>unallocated!B263/I631*J631</f>
        <v>0</v>
      </c>
      <c r="D631" t="inlineStr">
        <is>
          <t>kilogram</t>
        </is>
      </c>
      <c r="E631" t="inlineStr">
        <is>
          <t>air::urban air close to ground</t>
        </is>
      </c>
      <c r="F631" t="inlineStr">
        <is>
          <t>biosphere</t>
        </is>
      </c>
      <c r="I631" t="n">
        <v>1000</v>
      </c>
      <c r="J631" s="14">
        <f>J605</f>
        <v>0</v>
      </c>
      <c r="K631" t="n">
        <v>0</v>
      </c>
      <c r="L631" s="3" t="n"/>
    </row>
    <row r="632">
      <c r="A632" t="inlineStr">
        <is>
          <t>Carbon dioxide, in air</t>
        </is>
      </c>
      <c r="B632">
        <f>unallocated!B264/I632*J632</f>
        <v>0</v>
      </c>
      <c r="D632" t="inlineStr">
        <is>
          <t>kilogram</t>
        </is>
      </c>
      <c r="E632" t="inlineStr">
        <is>
          <t>natural resource::in air</t>
        </is>
      </c>
      <c r="F632" t="inlineStr">
        <is>
          <t>biosphere</t>
        </is>
      </c>
      <c r="H632" t="inlineStr">
        <is>
          <t>To reflect the permanent storage of non-fossil CO.</t>
        </is>
      </c>
      <c r="I632" t="n">
        <v>1000</v>
      </c>
      <c r="J632" s="14">
        <f>J605</f>
        <v>0</v>
      </c>
      <c r="K632" t="n">
        <v>0</v>
      </c>
      <c r="L632" s="3" t="n"/>
    </row>
    <row r="633"/>
    <row r="634">
      <c r="A634" s="1" t="inlineStr">
        <is>
          <t>Activity</t>
        </is>
      </c>
      <c r="B634" s="1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</row>
    <row r="635">
      <c r="A635" t="inlineStr">
        <is>
          <t>location</t>
        </is>
      </c>
      <c r="B635" t="inlineStr">
        <is>
          <t>RER</t>
        </is>
      </c>
    </row>
    <row r="636">
      <c r="A636" t="inlineStr">
        <is>
          <t>production amount</t>
        </is>
      </c>
      <c r="B636" t="n">
        <v>1</v>
      </c>
    </row>
    <row r="637">
      <c r="A637" s="2" t="inlineStr">
        <is>
          <t>source</t>
        </is>
      </c>
      <c r="B637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638">
      <c r="A638" t="inlineStr">
        <is>
          <t>reference product</t>
        </is>
      </c>
      <c r="B638" t="inlineStr">
        <is>
          <t>electricity, medium voltage</t>
        </is>
      </c>
    </row>
    <row r="639">
      <c r="A639" t="inlineStr">
        <is>
          <t>type</t>
        </is>
      </c>
      <c r="B639" t="inlineStr">
        <is>
          <t>process</t>
        </is>
      </c>
    </row>
    <row r="640">
      <c r="A640" t="inlineStr">
        <is>
          <t>unit</t>
        </is>
      </c>
      <c r="B640" t="inlineStr">
        <is>
          <t>kilowatt hour</t>
        </is>
      </c>
    </row>
    <row r="641">
      <c r="A641" t="inlineStr">
        <is>
          <t>comment</t>
        </is>
      </c>
      <c r="B641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Yes. Electricity production per ton MSWI incinerated: 312 kWh. Heat production per ton MSWI incinerated: 7'400 MJ.</t>
        </is>
      </c>
    </row>
    <row r="642">
      <c r="A642" s="1" t="inlineStr">
        <is>
          <t>Exchanges</t>
        </is>
      </c>
    </row>
    <row r="643">
      <c r="A643" s="7" t="inlineStr">
        <is>
          <t>name</t>
        </is>
      </c>
      <c r="B643" s="7" t="inlineStr">
        <is>
          <t>amount</t>
        </is>
      </c>
      <c r="C643" s="7" t="inlineStr">
        <is>
          <t>location</t>
        </is>
      </c>
      <c r="D643" s="7" t="inlineStr">
        <is>
          <t>unit</t>
        </is>
      </c>
      <c r="E643" s="7" t="inlineStr">
        <is>
          <t>categories</t>
        </is>
      </c>
      <c r="F643" s="7" t="inlineStr">
        <is>
          <t>type</t>
        </is>
      </c>
      <c r="G643" s="7" t="inlineStr">
        <is>
          <t>reference product</t>
        </is>
      </c>
      <c r="H643" s="7" t="inlineStr">
        <is>
          <t>comment</t>
        </is>
      </c>
      <c r="I643" s="7" t="inlineStr">
        <is>
          <t>normalization</t>
        </is>
      </c>
      <c r="J643" s="7" t="inlineStr">
        <is>
          <t>allocation</t>
        </is>
      </c>
      <c r="K643" s="7" t="inlineStr">
        <is>
          <t>uncertainty type</t>
        </is>
      </c>
      <c r="L643" s="7" t="inlineStr">
        <is>
          <t>loc</t>
        </is>
      </c>
      <c r="M643" s="1" t="inlineStr">
        <is>
          <t>u1</t>
        </is>
      </c>
      <c r="N643" s="1" t="inlineStr">
        <is>
          <t>u2</t>
        </is>
      </c>
      <c r="O643" s="1" t="inlineStr">
        <is>
          <t>u3</t>
        </is>
      </c>
      <c r="P643" s="1" t="inlineStr">
        <is>
          <t>u4</t>
        </is>
      </c>
      <c r="Q643" s="1" t="inlineStr">
        <is>
          <t>u5</t>
        </is>
      </c>
      <c r="R643" s="1" t="inlineStr">
        <is>
          <t>u6</t>
        </is>
      </c>
      <c r="S643" s="1" t="inlineStr">
        <is>
          <t>ub</t>
        </is>
      </c>
      <c r="T643" s="1" t="inlineStr">
        <is>
          <t>scale</t>
        </is>
      </c>
      <c r="U643" s="1" t="inlineStr">
        <is>
          <t>negative</t>
        </is>
      </c>
    </row>
    <row r="644">
      <c r="A644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B644" t="n">
        <v>0</v>
      </c>
      <c r="C644" t="inlineStr">
        <is>
          <t>RER</t>
        </is>
      </c>
      <c r="D644" t="inlineStr">
        <is>
          <t>kilogram</t>
        </is>
      </c>
      <c r="F644" t="inlineStr">
        <is>
          <t>technosphere</t>
        </is>
      </c>
      <c r="G644" t="inlineStr">
        <is>
          <t>municipal solid waste</t>
        </is>
      </c>
      <c r="H644" t="inlineStr"/>
      <c r="I644" s="6" t="n">
        <v>312</v>
      </c>
      <c r="J644" s="14">
        <f>INDEX('allocation keys'!$F$4:$H$28,MATCH('allocated (energy)'!$B$634,'allocation keys'!$B$4:$B$28,0),MATCH('allocated (energy)'!$B$638,'allocation keys'!$F$3:$H$3,0))</f>
        <v>0.13178149051999249</v>
      </c>
      <c r="K644" t="n">
        <v>0</v>
      </c>
      <c r="M644" s="5" t="n"/>
      <c r="N644" s="5" t="n"/>
      <c r="O644" s="5" t="n"/>
      <c r="P644" s="5" t="n"/>
      <c r="Q644" s="5" t="n"/>
      <c r="R644" s="5" t="n"/>
    </row>
    <row r="645">
      <c r="A645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B645" s="6" t="n">
        <v>1</v>
      </c>
      <c r="C645" t="inlineStr">
        <is>
          <t>RER</t>
        </is>
      </c>
      <c r="D645" t="inlineStr">
        <is>
          <t>kilowatt hour</t>
        </is>
      </c>
      <c r="F645" t="inlineStr">
        <is>
          <t>production</t>
        </is>
      </c>
      <c r="G645" t="inlineStr">
        <is>
          <t>electricity, medium voltage</t>
        </is>
      </c>
      <c r="H645" t="inlineStr"/>
      <c r="I645" s="6" t="n">
        <v>312</v>
      </c>
      <c r="J645" s="11">
        <f>J644</f>
        <v>0.13178149051999249</v>
      </c>
      <c r="K645" t="n">
        <v>0</v>
      </c>
      <c r="L645" s="3" t="n"/>
    </row>
    <row r="646">
      <c r="A646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B646" t="n">
        <v>0</v>
      </c>
      <c r="C646" t="inlineStr">
        <is>
          <t>RER</t>
        </is>
      </c>
      <c r="D646" t="inlineStr">
        <is>
          <t>megajoule</t>
        </is>
      </c>
      <c r="F646" t="inlineStr">
        <is>
          <t>technosphere</t>
        </is>
      </c>
      <c r="G646" t="inlineStr">
        <is>
          <t>heat, district or industrial, other than natural gas</t>
        </is>
      </c>
      <c r="H646" t="inlineStr"/>
      <c r="I646" s="6" t="n">
        <v>312</v>
      </c>
      <c r="J646" s="11">
        <f>J644</f>
        <v>0.13178149051999249</v>
      </c>
      <c r="K646" t="n">
        <v>0</v>
      </c>
      <c r="L646" s="3" t="n"/>
    </row>
    <row r="647">
      <c r="A647" t="inlineStr">
        <is>
          <t>market for diesel, low-sulfur</t>
        </is>
      </c>
      <c r="B647">
        <f>unallocated!B240/I647*J647</f>
        <v>3.5902008635254373E-5</v>
      </c>
      <c r="C647" t="inlineStr">
        <is>
          <t>Europe without Switzerland</t>
        </is>
      </c>
      <c r="D647" t="inlineStr">
        <is>
          <t>kilogram</t>
        </is>
      </c>
      <c r="F647" t="inlineStr">
        <is>
          <t>technosphere</t>
        </is>
      </c>
      <c r="G647" t="inlineStr">
        <is>
          <t>diesel, low-sulfur</t>
        </is>
      </c>
      <c r="H647" t="inlineStr">
        <is>
          <t>Diesel density: 0.85 kg/l</t>
        </is>
      </c>
      <c r="I647" s="6" t="n">
        <v>312</v>
      </c>
      <c r="J647" s="11">
        <f>J644</f>
        <v>0.13178149051999249</v>
      </c>
      <c r="K647" t="n">
        <v>2</v>
      </c>
      <c r="L647" s="3">
        <f>LN(B647)</f>
        <v>-10.23471731319249</v>
      </c>
      <c r="M647" t="n">
        <v>1</v>
      </c>
      <c r="N647" t="n">
        <v>1</v>
      </c>
      <c r="O647" t="n">
        <v>1</v>
      </c>
      <c r="P647" t="n">
        <v>1.02</v>
      </c>
      <c r="Q647" t="n">
        <v>1.2</v>
      </c>
      <c r="R647" t="n">
        <v>1</v>
      </c>
      <c r="S647" t="n">
        <v>1.05</v>
      </c>
      <c r="T647">
        <f>LN(SQRT(EXP(
SQRT(
+POWER(LN(M647),2)
+POWER(LN(N647),2)
+POWER(LN(O647),2)
+POWER(LN(P647),2)
+POWER(LN(Q647),2)
+POWER(LN(R647),2)
+POWER(LN(S647),2)
)
)))</f>
        <v>9.4886477223156879E-2</v>
      </c>
    </row>
    <row r="648">
      <c r="A648" t="inlineStr">
        <is>
          <t>market for activated carbon, granular</t>
        </is>
      </c>
      <c r="B648">
        <f>unallocated!B241/I648*J648</f>
        <v>1.6895062887178525E-4</v>
      </c>
      <c r="C648" t="inlineStr">
        <is>
          <t>GLO</t>
        </is>
      </c>
      <c r="D648" t="inlineStr">
        <is>
          <t>kilogram</t>
        </is>
      </c>
      <c r="F648" t="inlineStr">
        <is>
          <t>technosphere</t>
        </is>
      </c>
      <c r="G648" t="inlineStr">
        <is>
          <t>activated carbon, granular</t>
        </is>
      </c>
      <c r="I648" s="6" t="n">
        <v>312</v>
      </c>
      <c r="J648" s="11">
        <f>J644</f>
        <v>0.13178149051999249</v>
      </c>
      <c r="K648" t="n">
        <v>2</v>
      </c>
      <c r="L648" s="3">
        <f>LN(B648)</f>
        <v>-8.6859040225748245</v>
      </c>
      <c r="M648" t="n">
        <v>1</v>
      </c>
      <c r="N648" t="n">
        <v>1</v>
      </c>
      <c r="O648" t="n">
        <v>1</v>
      </c>
      <c r="P648" t="n">
        <v>1.02</v>
      </c>
      <c r="Q648" t="n">
        <v>1.2</v>
      </c>
      <c r="R648" t="n">
        <v>1</v>
      </c>
      <c r="S648" t="n">
        <v>1.05</v>
      </c>
      <c r="T648">
        <f>LN(SQRT(EXP(
SQRT(
+POWER(LN(M648),2)
+POWER(LN(N648),2)
+POWER(LN(O648),2)
+POWER(LN(P648),2)
+POWER(LN(Q648),2)
+POWER(LN(R648),2)
+POWER(LN(S648),2)
)
)))</f>
        <v>9.4886477223156879E-2</v>
      </c>
    </row>
    <row r="649">
      <c r="A649" t="inlineStr">
        <is>
          <t>market for ammonia, anhydrous, liquid</t>
        </is>
      </c>
      <c r="B649">
        <f>unallocated!B242/I649*J649</f>
        <v>4.1392904073587388E-4</v>
      </c>
      <c r="C649" t="inlineStr">
        <is>
          <t>RER</t>
        </is>
      </c>
      <c r="D649" t="inlineStr">
        <is>
          <t>kilogram</t>
        </is>
      </c>
      <c r="F649" t="inlineStr">
        <is>
          <t>technosphere</t>
        </is>
      </c>
      <c r="G649" t="inlineStr">
        <is>
          <t>ammonia, anhydrous, liquid</t>
        </is>
      </c>
      <c r="H649" t="inlineStr">
        <is>
          <t>100% liquid ammonia. In original publication, it is dilluated to 23.5% in water. We discount the original value by 75%.</t>
        </is>
      </c>
      <c r="I649" s="6" t="n">
        <v>312</v>
      </c>
      <c r="J649" s="11">
        <f>J644</f>
        <v>0.13178149051999249</v>
      </c>
      <c r="K649" t="n">
        <v>2</v>
      </c>
      <c r="L649" s="3">
        <f>LN(B649)</f>
        <v>-7.7898159980181898</v>
      </c>
      <c r="M649" t="n">
        <v>1</v>
      </c>
      <c r="N649" t="n">
        <v>1</v>
      </c>
      <c r="O649" t="n">
        <v>1</v>
      </c>
      <c r="P649" t="n">
        <v>1.02</v>
      </c>
      <c r="Q649" t="n">
        <v>1.2</v>
      </c>
      <c r="R649" t="n">
        <v>1</v>
      </c>
      <c r="S649" t="n">
        <v>1.05</v>
      </c>
      <c r="T649">
        <f>LN(SQRT(EXP(
SQRT(
+POWER(LN(M649),2)
+POWER(LN(N649),2)
+POWER(LN(O649),2)
+POWER(LN(P649),2)
+POWER(LN(Q649),2)
+POWER(LN(R649),2)
+POWER(LN(S649),2)
)
)))</f>
        <v>9.4886477223156879E-2</v>
      </c>
    </row>
    <row r="650">
      <c r="A650" t="inlineStr">
        <is>
          <t>market for tap water</t>
        </is>
      </c>
      <c r="B650">
        <f>unallocated!B243/I650*J650</f>
        <v>1.2755772479819787E-3</v>
      </c>
      <c r="C650" t="inlineStr">
        <is>
          <t>Europe without Switzerland</t>
        </is>
      </c>
      <c r="D650" t="inlineStr">
        <is>
          <t>kilogram</t>
        </is>
      </c>
      <c r="F650" t="inlineStr">
        <is>
          <t>technosphere</t>
        </is>
      </c>
      <c r="G650" t="inlineStr">
        <is>
          <t>tap water</t>
        </is>
      </c>
      <c r="H650" t="inlineStr">
        <is>
          <t>Used to dilute the ammonia.</t>
        </is>
      </c>
      <c r="I650" s="6" t="n">
        <v>312</v>
      </c>
      <c r="J650" s="11">
        <f>J644</f>
        <v>0.13178149051999249</v>
      </c>
      <c r="K650" t="n">
        <v>2</v>
      </c>
      <c r="L650" s="3">
        <f>LN(B650)</f>
        <v>-6.6643564593138924</v>
      </c>
      <c r="M650" t="n">
        <v>1</v>
      </c>
      <c r="N650" t="n">
        <v>1</v>
      </c>
      <c r="O650" t="n">
        <v>1</v>
      </c>
      <c r="P650" t="n">
        <v>1.02</v>
      </c>
      <c r="Q650" t="n">
        <v>1.2</v>
      </c>
      <c r="R650" t="n">
        <v>1</v>
      </c>
      <c r="S650" t="n">
        <v>1.05</v>
      </c>
      <c r="T650">
        <f>LN(SQRT(EXP(
SQRT(
+POWER(LN(M650),2)
+POWER(LN(N650),2)
+POWER(LN(O650),2)
+POWER(LN(P650),2)
+POWER(LN(Q650),2)
+POWER(LN(R650),2)
+POWER(LN(S650),2)
)
)))</f>
        <v>9.4886477223156879E-2</v>
      </c>
    </row>
    <row r="651">
      <c r="A651" t="inlineStr">
        <is>
          <t>market for calcium carbonate, precipitated</t>
        </is>
      </c>
      <c r="B651">
        <f>unallocated!B244/I651*J651</f>
        <v>0</v>
      </c>
      <c r="C651" t="inlineStr">
        <is>
          <t>RER</t>
        </is>
      </c>
      <c r="D651" t="inlineStr">
        <is>
          <t>kilogram</t>
        </is>
      </c>
      <c r="F651" t="inlineStr">
        <is>
          <t>technosphere</t>
        </is>
      </c>
      <c r="G651" t="inlineStr">
        <is>
          <t>calcium carbonate, precipitated</t>
        </is>
      </c>
      <c r="I651" s="6" t="n">
        <v>312</v>
      </c>
      <c r="J651" s="11">
        <f>J644</f>
        <v>0.13178149051999249</v>
      </c>
      <c r="K651" t="n">
        <v>0</v>
      </c>
      <c r="L651" s="3" t="n"/>
    </row>
    <row r="652">
      <c r="A652" t="inlineStr">
        <is>
          <t>market for iron(III) chloride, without water, in 40% solution state</t>
        </is>
      </c>
      <c r="B652">
        <f>unallocated!B245/I652*J652</f>
        <v>0</v>
      </c>
      <c r="C652" t="inlineStr">
        <is>
          <t>GLO</t>
        </is>
      </c>
      <c r="D652" t="inlineStr">
        <is>
          <t>kilogram</t>
        </is>
      </c>
      <c r="F652" t="inlineStr">
        <is>
          <t>technosphere</t>
        </is>
      </c>
      <c r="G652" t="inlineStr">
        <is>
          <t>iron(III) chloride, without water, in 40% solution state</t>
        </is>
      </c>
      <c r="I652" s="6" t="n">
        <v>312</v>
      </c>
      <c r="J652" s="11">
        <f>J644</f>
        <v>0.13178149051999249</v>
      </c>
      <c r="K652" t="n">
        <v>0</v>
      </c>
      <c r="L652" s="3" t="n"/>
    </row>
    <row r="653">
      <c r="A653" t="inlineStr">
        <is>
          <t>market for lime, hydrated, packed</t>
        </is>
      </c>
      <c r="B653">
        <f>unallocated!B246/I653*J653</f>
        <v>4.223765721794631E-3</v>
      </c>
      <c r="C653" t="inlineStr">
        <is>
          <t>RER</t>
        </is>
      </c>
      <c r="D653" t="inlineStr">
        <is>
          <t>kilogram</t>
        </is>
      </c>
      <c r="F653" t="inlineStr">
        <is>
          <t>technosphere</t>
        </is>
      </c>
      <c r="G653" t="inlineStr">
        <is>
          <t>lime, hydrated, packed</t>
        </is>
      </c>
      <c r="I653" s="6" t="n">
        <v>312</v>
      </c>
      <c r="J653" s="11">
        <f>J644</f>
        <v>0.13178149051999249</v>
      </c>
      <c r="K653" t="n">
        <v>2</v>
      </c>
      <c r="L653" s="3">
        <f>LN(B653)</f>
        <v>-5.4670281977066244</v>
      </c>
      <c r="M653" t="n">
        <v>1</v>
      </c>
      <c r="N653" t="n">
        <v>1</v>
      </c>
      <c r="O653" t="n">
        <v>1</v>
      </c>
      <c r="P653" t="n">
        <v>1.02</v>
      </c>
      <c r="Q653" t="n">
        <v>1.2</v>
      </c>
      <c r="R653" t="n">
        <v>1</v>
      </c>
      <c r="S653" t="n">
        <v>1.05</v>
      </c>
      <c r="T653">
        <f>LN(SQRT(EXP(
SQRT(
+POWER(LN(M653),2)
+POWER(LN(N653),2)
+POWER(LN(O653),2)
+POWER(LN(P653),2)
+POWER(LN(Q653),2)
+POWER(LN(R653),2)
+POWER(LN(S653),2)
)
)))</f>
        <v>9.4886477223156879E-2</v>
      </c>
    </row>
    <row r="654">
      <c r="A654" t="inlineStr">
        <is>
          <t>market for sodium hydroxide, without water, in 50% solution state</t>
        </is>
      </c>
      <c r="B654">
        <f>unallocated!B247/I654*J654</f>
        <v>1.0559414304486578E-4</v>
      </c>
      <c r="C654" t="inlineStr">
        <is>
          <t>RER</t>
        </is>
      </c>
      <c r="D654" t="inlineStr">
        <is>
          <t>kilogram</t>
        </is>
      </c>
      <c r="F654" t="inlineStr">
        <is>
          <t>technosphere</t>
        </is>
      </c>
      <c r="G654" t="inlineStr">
        <is>
          <t>sodium hydroxide, without water, in 50% solution state</t>
        </is>
      </c>
      <c r="H654" t="inlineStr">
        <is>
          <t>50% liquid ammonia. In original publication, it is dilluated to 27% in water. We discount the original value by 50%.</t>
        </is>
      </c>
      <c r="I654" s="6" t="n">
        <v>312</v>
      </c>
      <c r="J654" s="11">
        <f>J644</f>
        <v>0.13178149051999249</v>
      </c>
      <c r="K654" t="n">
        <v>0</v>
      </c>
      <c r="L654" s="3" t="n"/>
    </row>
    <row r="655">
      <c r="A655" t="inlineStr">
        <is>
          <t>market for monoethanolamine</t>
        </is>
      </c>
      <c r="B655">
        <f>unallocated!B248/I655*J655</f>
        <v>1.6895062887178525E-3</v>
      </c>
      <c r="C655" t="inlineStr">
        <is>
          <t>GLO</t>
        </is>
      </c>
      <c r="D655" t="inlineStr">
        <is>
          <t>kilogram</t>
        </is>
      </c>
      <c r="F655" t="inlineStr">
        <is>
          <t>technosphere</t>
        </is>
      </c>
      <c r="G655" t="inlineStr">
        <is>
          <t>monoethanolamine</t>
        </is>
      </c>
      <c r="I655" s="6" t="n">
        <v>312</v>
      </c>
      <c r="J655" s="11">
        <f>J644</f>
        <v>0.13178149051999249</v>
      </c>
      <c r="K655" t="n">
        <v>0</v>
      </c>
      <c r="L655" s="3" t="n"/>
    </row>
    <row r="656">
      <c r="A656" t="inlineStr">
        <is>
          <t>municipal waste incineration facility construction</t>
        </is>
      </c>
      <c r="B656">
        <f>unallocated!B249/I656*J656</f>
        <v>1.0559414304486577E-10</v>
      </c>
      <c r="C656" t="inlineStr">
        <is>
          <t>CH</t>
        </is>
      </c>
      <c r="D656" t="inlineStr">
        <is>
          <t>unit</t>
        </is>
      </c>
      <c r="F656" t="inlineStr">
        <is>
          <t>technosphere</t>
        </is>
      </c>
      <c r="G656" t="inlineStr">
        <is>
          <t>municipal waste incineration facility</t>
        </is>
      </c>
      <c r="H656" t="inlineStr">
        <is>
          <t>Lifetime: 4'000'000 tons MSWI treated.</t>
        </is>
      </c>
      <c r="I656" s="6" t="n">
        <v>312</v>
      </c>
      <c r="J656" s="11">
        <f>J644</f>
        <v>0.13178149051999249</v>
      </c>
      <c r="K656" t="n">
        <v>2</v>
      </c>
      <c r="L656" s="3">
        <f>LN(B656)</f>
        <v>-22.971418209784837</v>
      </c>
      <c r="M656" t="n">
        <v>1</v>
      </c>
      <c r="N656" t="n">
        <v>1</v>
      </c>
      <c r="O656" t="n">
        <v>1</v>
      </c>
      <c r="P656" t="n">
        <v>1.02</v>
      </c>
      <c r="Q656" t="n">
        <v>1.2</v>
      </c>
      <c r="R656" t="n">
        <v>1</v>
      </c>
      <c r="S656" t="n">
        <v>3</v>
      </c>
      <c r="T656">
        <f>LN(SQRT(EXP(
SQRT(
+POWER(LN(M656),2)
+POWER(LN(N656),2)
+POWER(LN(O656),2)
+POWER(LN(P656),2)
+POWER(LN(Q656),2)
+POWER(LN(R656),2)
+POWER(LN(S656),2)
)
)))</f>
        <v>0.5569071410325479</v>
      </c>
    </row>
    <row r="657">
      <c r="A657" t="inlineStr">
        <is>
          <t>carbon dioxide storage at wood burning power plant 20 MW post, pipeline 200km, storage 1000m</t>
        </is>
      </c>
      <c r="B657">
        <f>unallocated!B250/I657*J657</f>
        <v>0.34761591890369814</v>
      </c>
      <c r="C657" t="inlineStr">
        <is>
          <t>RER</t>
        </is>
      </c>
      <c r="D657" t="inlineStr">
        <is>
          <t>kilogram</t>
        </is>
      </c>
      <c r="F657" t="inlineStr">
        <is>
          <t>technosphere</t>
        </is>
      </c>
      <c r="G657" t="inlineStr">
        <is>
          <t>carbon dioxide storage at wood burning power plant 20 MW post, pipeline 200km, storage 1000m</t>
        </is>
      </c>
      <c r="I657" s="6" t="n">
        <v>312</v>
      </c>
      <c r="J657" s="11">
        <f>J644</f>
        <v>0.13178149051999249</v>
      </c>
      <c r="K657" t="n">
        <v>2</v>
      </c>
      <c r="L657" s="3">
        <f>LN(B657)</f>
        <v>-1.0566570900236005</v>
      </c>
      <c r="M657" t="n">
        <v>1</v>
      </c>
      <c r="N657" t="n">
        <v>1</v>
      </c>
      <c r="O657" t="n">
        <v>1</v>
      </c>
      <c r="P657" t="n">
        <v>1.02</v>
      </c>
      <c r="Q657" t="n">
        <v>1.2</v>
      </c>
      <c r="R657" t="n">
        <v>1</v>
      </c>
      <c r="S657" t="n">
        <v>3</v>
      </c>
      <c r="T657">
        <f>LN(SQRT(EXP(
SQRT(
+POWER(LN(M657),2)
+POWER(LN(N657),2)
+POWER(LN(O657),2)
+POWER(LN(P657),2)
+POWER(LN(Q657),2)
+POWER(LN(R657),2)
+POWER(LN(S657),2)
)
)))</f>
        <v>0.5569071410325479</v>
      </c>
    </row>
    <row r="658">
      <c r="A658" t="inlineStr">
        <is>
          <t>Water, cooling, unspecified natural origin</t>
        </is>
      </c>
      <c r="B658">
        <f>unallocated!B251/I658*J658</f>
        <v>0</v>
      </c>
      <c r="D658" t="inlineStr">
        <is>
          <t>cubic meter</t>
        </is>
      </c>
      <c r="E658" t="inlineStr">
        <is>
          <t>natural resource::in water</t>
        </is>
      </c>
      <c r="F658" t="inlineStr">
        <is>
          <t>biosphere</t>
        </is>
      </c>
      <c r="I658" s="6" t="n">
        <v>312</v>
      </c>
      <c r="J658" s="11">
        <f>J644</f>
        <v>0.13178149051999249</v>
      </c>
      <c r="K658" t="n">
        <v>0</v>
      </c>
      <c r="L658" s="3" t="n"/>
    </row>
    <row r="659">
      <c r="A659" t="inlineStr">
        <is>
          <t>Sulfur dioxide</t>
        </is>
      </c>
      <c r="B659">
        <f>unallocated!B252/I659*J659</f>
        <v>2.534259433076779E-6</v>
      </c>
      <c r="D659" t="inlineStr">
        <is>
          <t>kilogram</t>
        </is>
      </c>
      <c r="E659" t="inlineStr">
        <is>
          <t>air::urban air close to ground</t>
        </is>
      </c>
      <c r="F659" t="inlineStr">
        <is>
          <t>biosphere</t>
        </is>
      </c>
      <c r="I659" s="6" t="n">
        <v>312</v>
      </c>
      <c r="J659" s="11">
        <f>J644</f>
        <v>0.13178149051999249</v>
      </c>
      <c r="K659" t="n">
        <v>2</v>
      </c>
      <c r="L659" s="3">
        <f>LN(B659)</f>
        <v>-12.885609100454753</v>
      </c>
      <c r="M659" t="n">
        <v>1</v>
      </c>
      <c r="N659" t="n">
        <v>1</v>
      </c>
      <c r="O659" t="n">
        <v>1</v>
      </c>
      <c r="P659" t="n">
        <v>1.02</v>
      </c>
      <c r="Q659" t="n">
        <v>1.2</v>
      </c>
      <c r="R659" t="n">
        <v>1</v>
      </c>
      <c r="S659" t="n">
        <v>1.05</v>
      </c>
      <c r="T659">
        <f>LN(SQRT(EXP(
SQRT(
+POWER(LN(M659),2)
+POWER(LN(N659),2)
+POWER(LN(O659),2)
+POWER(LN(P659),2)
+POWER(LN(Q659),2)
+POWER(LN(R659),2)
+POWER(LN(S659),2)
)
)))</f>
        <v>9.4886477223156879E-2</v>
      </c>
    </row>
    <row r="660">
      <c r="A660" t="inlineStr">
        <is>
          <t>Hydrochloric acid</t>
        </is>
      </c>
      <c r="B660">
        <f>unallocated!B253/I660*J660</f>
        <v>1.2671297165383895E-6</v>
      </c>
      <c r="D660" t="inlineStr">
        <is>
          <t>kilogram</t>
        </is>
      </c>
      <c r="E660" t="inlineStr">
        <is>
          <t>air</t>
        </is>
      </c>
      <c r="F660" t="inlineStr">
        <is>
          <t>biosphere</t>
        </is>
      </c>
      <c r="I660" s="6" t="n">
        <v>312</v>
      </c>
      <c r="J660" s="11">
        <f>J644</f>
        <v>0.13178149051999249</v>
      </c>
      <c r="K660" t="n">
        <v>2</v>
      </c>
      <c r="L660" s="3">
        <f>LN(B660)</f>
        <v>-13.578756281014698</v>
      </c>
      <c r="M660" t="n">
        <v>1</v>
      </c>
      <c r="N660" t="n">
        <v>1</v>
      </c>
      <c r="O660" t="n">
        <v>1</v>
      </c>
      <c r="P660" t="n">
        <v>1.02</v>
      </c>
      <c r="Q660" t="n">
        <v>1.2</v>
      </c>
      <c r="R660" t="n">
        <v>1</v>
      </c>
      <c r="S660" t="n">
        <v>1.5</v>
      </c>
      <c r="T660">
        <f>LN(SQRT(EXP(
SQRT(
+POWER(LN(M660),2)
+POWER(LN(N660),2)
+POWER(LN(O660),2)
+POWER(LN(P660),2)
+POWER(LN(Q660),2)
+POWER(LN(R660),2)
+POWER(LN(S660),2)
)
)))</f>
        <v>0.22250575723605889</v>
      </c>
    </row>
    <row r="661">
      <c r="A661" t="inlineStr">
        <is>
          <t>Nitrogen oxides</t>
        </is>
      </c>
      <c r="B661">
        <f>unallocated!B254/I661*J661</f>
        <v>2.8594893936549653E-4</v>
      </c>
      <c r="D661" t="inlineStr">
        <is>
          <t>kilogram</t>
        </is>
      </c>
      <c r="E661" t="inlineStr">
        <is>
          <t>air::urban air close to ground</t>
        </is>
      </c>
      <c r="F661" t="inlineStr">
        <is>
          <t>biosphere</t>
        </is>
      </c>
      <c r="I661" s="6" t="n">
        <v>312</v>
      </c>
      <c r="J661" s="11">
        <f>J644</f>
        <v>0.13178149051999249</v>
      </c>
      <c r="K661" t="n">
        <v>2</v>
      </c>
      <c r="L661" s="3">
        <f>LN(B661)</f>
        <v>-8.159697296770533</v>
      </c>
      <c r="M661" t="n">
        <v>1</v>
      </c>
      <c r="N661" t="n">
        <v>1</v>
      </c>
      <c r="O661" t="n">
        <v>1</v>
      </c>
      <c r="P661" t="n">
        <v>1.02</v>
      </c>
      <c r="Q661" t="n">
        <v>1.2</v>
      </c>
      <c r="R661" t="n">
        <v>1</v>
      </c>
      <c r="S661" t="n">
        <v>1.5</v>
      </c>
      <c r="T661">
        <f>LN(SQRT(EXP(
SQRT(
+POWER(LN(M661),2)
+POWER(LN(N661),2)
+POWER(LN(O661),2)
+POWER(LN(P661),2)
+POWER(LN(Q661),2)
+POWER(LN(R661),2)
+POWER(LN(S661),2)
)
)))</f>
        <v>0.22250575723605889</v>
      </c>
    </row>
    <row r="662">
      <c r="A662" t="inlineStr">
        <is>
          <t>Ammonia</t>
        </is>
      </c>
      <c r="B662">
        <f>unallocated!B255/I662*J662</f>
        <v>8.447531443589262E-6</v>
      </c>
      <c r="D662" t="inlineStr">
        <is>
          <t>kilogram</t>
        </is>
      </c>
      <c r="E662" t="inlineStr">
        <is>
          <t>air::urban air close to ground</t>
        </is>
      </c>
      <c r="F662" t="inlineStr">
        <is>
          <t>biosphere</t>
        </is>
      </c>
      <c r="I662" s="6" t="n">
        <v>312</v>
      </c>
      <c r="J662" s="11">
        <f>J644</f>
        <v>0.13178149051999249</v>
      </c>
      <c r="K662" t="n">
        <v>2</v>
      </c>
      <c r="L662" s="3">
        <f>LN(B662)</f>
        <v>-11.681636296128817</v>
      </c>
      <c r="M662" t="n">
        <v>1</v>
      </c>
      <c r="N662" t="n">
        <v>1</v>
      </c>
      <c r="O662" t="n">
        <v>1</v>
      </c>
      <c r="P662" t="n">
        <v>1.02</v>
      </c>
      <c r="Q662" t="n">
        <v>1.2</v>
      </c>
      <c r="R662" t="n">
        <v>1</v>
      </c>
      <c r="S662" t="n">
        <v>1.5</v>
      </c>
      <c r="T662">
        <f>LN(SQRT(EXP(
SQRT(
+POWER(LN(M662),2)
+POWER(LN(N662),2)
+POWER(LN(O662),2)
+POWER(LN(P662),2)
+POWER(LN(Q662),2)
+POWER(LN(R662),2)
+POWER(LN(S662),2)
)
)))</f>
        <v>0.22250575723605889</v>
      </c>
    </row>
    <row r="663">
      <c r="A663" t="inlineStr">
        <is>
          <t>Particulate Matter, &lt; 2.5 um</t>
        </is>
      </c>
      <c r="B663">
        <f>unallocated!B256/I663*J663</f>
        <v>2.534259433076779E-6</v>
      </c>
      <c r="D663" t="inlineStr">
        <is>
          <t>kilogram</t>
        </is>
      </c>
      <c r="E663" t="inlineStr">
        <is>
          <t>air::urban air close to ground</t>
        </is>
      </c>
      <c r="F663" t="inlineStr">
        <is>
          <t>biosphere</t>
        </is>
      </c>
      <c r="I663" s="6" t="n">
        <v>312</v>
      </c>
      <c r="J663" s="11">
        <f>J644</f>
        <v>0.13178149051999249</v>
      </c>
      <c r="K663" t="n">
        <v>2</v>
      </c>
      <c r="L663" s="3">
        <f>LN(B663)</f>
        <v>-12.885609100454753</v>
      </c>
      <c r="M663" t="n">
        <v>1</v>
      </c>
      <c r="N663" t="n">
        <v>1</v>
      </c>
      <c r="O663" t="n">
        <v>1</v>
      </c>
      <c r="P663" t="n">
        <v>1.02</v>
      </c>
      <c r="Q663" t="n">
        <v>1.2</v>
      </c>
      <c r="R663" t="n">
        <v>1</v>
      </c>
      <c r="S663" t="n">
        <v>3</v>
      </c>
      <c r="T663">
        <f>LN(SQRT(EXP(
SQRT(
+POWER(LN(M663),2)
+POWER(LN(N663),2)
+POWER(LN(O663),2)
+POWER(LN(P663),2)
+POWER(LN(Q663),2)
+POWER(LN(R663),2)
+POWER(LN(S663),2)
)
)))</f>
        <v>0.5569071410325479</v>
      </c>
    </row>
    <row r="664">
      <c r="A664" t="inlineStr">
        <is>
          <t>Mercury II</t>
        </is>
      </c>
      <c r="B664">
        <f>unallocated!B257/I664*J664</f>
        <v>2.5342594330767786E-9</v>
      </c>
      <c r="D664" t="inlineStr">
        <is>
          <t>kilogram</t>
        </is>
      </c>
      <c r="E664" t="inlineStr">
        <is>
          <t>air::urban air close to ground</t>
        </is>
      </c>
      <c r="F664" t="inlineStr">
        <is>
          <t>biosphere</t>
        </is>
      </c>
      <c r="I664" s="6" t="n">
        <v>312</v>
      </c>
      <c r="J664" s="11">
        <f>J644</f>
        <v>0.13178149051999249</v>
      </c>
      <c r="K664" t="n">
        <v>2</v>
      </c>
      <c r="L664" s="3">
        <f>LN(B664)</f>
        <v>-19.793364379436891</v>
      </c>
      <c r="M664" t="n">
        <v>1</v>
      </c>
      <c r="N664" t="n">
        <v>1</v>
      </c>
      <c r="O664" t="n">
        <v>1</v>
      </c>
      <c r="P664" t="n">
        <v>1.02</v>
      </c>
      <c r="Q664" t="n">
        <v>1.2</v>
      </c>
      <c r="R664" t="n">
        <v>1</v>
      </c>
      <c r="S664" t="n">
        <v>5</v>
      </c>
      <c r="T664">
        <f>LN(SQRT(EXP(
SQRT(
+POWER(LN(M664),2)
+POWER(LN(N664),2)
+POWER(LN(O664),2)
+POWER(LN(P664),2)
+POWER(LN(Q664),2)
+POWER(LN(R664),2)
+POWER(LN(S664),2)
)
)))</f>
        <v>0.80992649174166365</v>
      </c>
    </row>
    <row r="665">
      <c r="A665" t="inlineStr">
        <is>
          <t>Lead II</t>
        </is>
      </c>
      <c r="B665">
        <f>unallocated!B258/I665*J665</f>
        <v>2.5342594330767786E-9</v>
      </c>
      <c r="D665" t="inlineStr">
        <is>
          <t>kilogram</t>
        </is>
      </c>
      <c r="E665" t="inlineStr">
        <is>
          <t>air::urban air close to ground</t>
        </is>
      </c>
      <c r="F665" t="inlineStr">
        <is>
          <t>biosphere</t>
        </is>
      </c>
      <c r="I665" s="6" t="n">
        <v>312</v>
      </c>
      <c r="J665" s="11">
        <f>J644</f>
        <v>0.13178149051999249</v>
      </c>
      <c r="K665" t="n">
        <v>2</v>
      </c>
      <c r="L665" s="3">
        <f>LN(B665)</f>
        <v>-19.793364379436891</v>
      </c>
      <c r="M665" t="n">
        <v>1</v>
      </c>
      <c r="N665" t="n">
        <v>1</v>
      </c>
      <c r="O665" t="n">
        <v>1</v>
      </c>
      <c r="P665" t="n">
        <v>1.02</v>
      </c>
      <c r="Q665" t="n">
        <v>1.2</v>
      </c>
      <c r="R665" t="n">
        <v>1</v>
      </c>
      <c r="S665" t="n">
        <v>5</v>
      </c>
      <c r="T665">
        <f>LN(SQRT(EXP(
SQRT(
+POWER(LN(M665),2)
+POWER(LN(N665),2)
+POWER(LN(O665),2)
+POWER(LN(P665),2)
+POWER(LN(Q665),2)
+POWER(LN(R665),2)
+POWER(LN(S665),2)
)
)))</f>
        <v>0.80992649174166365</v>
      </c>
    </row>
    <row r="666">
      <c r="A666" t="inlineStr">
        <is>
          <t>Cadmium II</t>
        </is>
      </c>
      <c r="B666">
        <f>unallocated!B259/I666*J666</f>
        <v>1.2671297165383893E-9</v>
      </c>
      <c r="D666" t="inlineStr">
        <is>
          <t>kilogram</t>
        </is>
      </c>
      <c r="E666" t="inlineStr">
        <is>
          <t>air::urban air close to ground</t>
        </is>
      </c>
      <c r="F666" t="inlineStr">
        <is>
          <t>biosphere</t>
        </is>
      </c>
      <c r="I666" s="6" t="n">
        <v>312</v>
      </c>
      <c r="J666" s="11">
        <f>J644</f>
        <v>0.13178149051999249</v>
      </c>
      <c r="K666" t="n">
        <v>2</v>
      </c>
      <c r="L666" s="3">
        <f>LN(B666)</f>
        <v>-20.486511559996835</v>
      </c>
      <c r="M666" t="n">
        <v>1</v>
      </c>
      <c r="N666" t="n">
        <v>1</v>
      </c>
      <c r="O666" t="n">
        <v>1</v>
      </c>
      <c r="P666" t="n">
        <v>1.02</v>
      </c>
      <c r="Q666" t="n">
        <v>1.2</v>
      </c>
      <c r="R666" t="n">
        <v>1</v>
      </c>
      <c r="S666" t="n">
        <v>5</v>
      </c>
      <c r="T666">
        <f>LN(SQRT(EXP(
SQRT(
+POWER(LN(M666),2)
+POWER(LN(N666),2)
+POWER(LN(O666),2)
+POWER(LN(P666),2)
+POWER(LN(Q666),2)
+POWER(LN(R666),2)
+POWER(LN(S666),2)
)
)))</f>
        <v>0.80992649174166365</v>
      </c>
    </row>
    <row r="667">
      <c r="A667" t="inlineStr">
        <is>
          <t>Arsenic ion</t>
        </is>
      </c>
      <c r="B667">
        <f>unallocated!B260/I667*J667</f>
        <v>1.2671297165383893E-9</v>
      </c>
      <c r="D667" t="inlineStr">
        <is>
          <t>kilogram</t>
        </is>
      </c>
      <c r="E667" t="inlineStr">
        <is>
          <t>air::urban air close to ground</t>
        </is>
      </c>
      <c r="F667" t="inlineStr">
        <is>
          <t>biosphere</t>
        </is>
      </c>
      <c r="I667" s="6" t="n">
        <v>312</v>
      </c>
      <c r="J667" s="11">
        <f>J644</f>
        <v>0.13178149051999249</v>
      </c>
      <c r="K667" t="n">
        <v>2</v>
      </c>
      <c r="L667" s="3">
        <f>LN(B667)</f>
        <v>-20.486511559996835</v>
      </c>
      <c r="M667" t="n">
        <v>1</v>
      </c>
      <c r="N667" t="n">
        <v>1</v>
      </c>
      <c r="O667" t="n">
        <v>1</v>
      </c>
      <c r="P667" t="n">
        <v>1.02</v>
      </c>
      <c r="Q667" t="n">
        <v>1.2</v>
      </c>
      <c r="R667" t="n">
        <v>1</v>
      </c>
      <c r="S667" t="n">
        <v>5</v>
      </c>
      <c r="T667">
        <f>LN(SQRT(EXP(
SQRT(
+POWER(LN(M667),2)
+POWER(LN(N667),2)
+POWER(LN(O667),2)
+POWER(LN(P667),2)
+POWER(LN(Q667),2)
+POWER(LN(R667),2)
+POWER(LN(S667),2)
)
)))</f>
        <v>0.80992649174166365</v>
      </c>
    </row>
    <row r="668">
      <c r="A668" t="inlineStr">
        <is>
          <t>Dioxins, measured as 2,3,7,8-tetrachlorodibenzo-p-dioxin</t>
        </is>
      </c>
      <c r="B668">
        <f>unallocated!B261/I668*J668</f>
        <v>4.6461422939740949E-14</v>
      </c>
      <c r="D668" t="inlineStr">
        <is>
          <t>kilogram</t>
        </is>
      </c>
      <c r="E668" t="inlineStr">
        <is>
          <t>air::urban air close to ground</t>
        </is>
      </c>
      <c r="F668" t="inlineStr">
        <is>
          <t>biosphere</t>
        </is>
      </c>
      <c r="I668" s="6" t="n">
        <v>312</v>
      </c>
      <c r="J668" s="11">
        <f>J644</f>
        <v>0.13178149051999249</v>
      </c>
      <c r="K668" t="n">
        <v>2</v>
      </c>
      <c r="L668" s="3">
        <f>LN(B668)</f>
        <v>-30.700154040836804</v>
      </c>
      <c r="M668" t="n">
        <v>1</v>
      </c>
      <c r="N668" t="n">
        <v>1</v>
      </c>
      <c r="O668" t="n">
        <v>1</v>
      </c>
      <c r="P668" t="n">
        <v>1.02</v>
      </c>
      <c r="Q668" t="n">
        <v>1.2</v>
      </c>
      <c r="R668" t="n">
        <v>1</v>
      </c>
      <c r="S668" t="n">
        <v>5</v>
      </c>
      <c r="T668">
        <f>LN(SQRT(EXP(
SQRT(
+POWER(LN(M668),2)
+POWER(LN(N668),2)
+POWER(LN(O668),2)
+POWER(LN(P668),2)
+POWER(LN(Q668),2)
+POWER(LN(R668),2)
+POWER(LN(S668),2)
)
)))</f>
        <v>0.80992649174166365</v>
      </c>
    </row>
    <row r="669">
      <c r="A669" t="inlineStr">
        <is>
          <t>Carbon dioxide, fossil</t>
        </is>
      </c>
      <c r="B669">
        <f>unallocated!B262/I669*J669</f>
        <v>2.3653088042049936E-2</v>
      </c>
      <c r="D669" t="inlineStr">
        <is>
          <t>kilogram</t>
        </is>
      </c>
      <c r="E669" t="inlineStr">
        <is>
          <t>air::urban air close to ground</t>
        </is>
      </c>
      <c r="F669" t="inlineStr">
        <is>
          <t>biosphere</t>
        </is>
      </c>
      <c r="I669" s="6" t="n">
        <v>312</v>
      </c>
      <c r="J669" s="11">
        <f>J644</f>
        <v>0.13178149051999249</v>
      </c>
      <c r="K669" t="n">
        <v>2</v>
      </c>
      <c r="L669" s="3">
        <f>LN(B669)</f>
        <v>-3.7442615999655211</v>
      </c>
      <c r="M669" t="n">
        <v>1</v>
      </c>
      <c r="N669" t="n">
        <v>1</v>
      </c>
      <c r="O669" t="n">
        <v>1</v>
      </c>
      <c r="P669" t="n">
        <v>1.02</v>
      </c>
      <c r="Q669" t="n">
        <v>1.2</v>
      </c>
      <c r="R669" t="n">
        <v>1</v>
      </c>
      <c r="S669" t="n">
        <v>1.05</v>
      </c>
      <c r="T669">
        <f>LN(SQRT(EXP(
SQRT(
+POWER(LN(M669),2)
+POWER(LN(N669),2)
+POWER(LN(O669),2)
+POWER(LN(P669),2)
+POWER(LN(Q669),2)
+POWER(LN(R669),2)
+POWER(LN(S669),2)
)
)))</f>
        <v>9.4886477223156879E-2</v>
      </c>
    </row>
    <row r="670">
      <c r="A670" t="inlineStr">
        <is>
          <t>Carbon dioxide, non-fossil</t>
        </is>
      </c>
      <c r="B670">
        <f>unallocated!B263/I670*J670</f>
        <v>3.7591514923972218E-2</v>
      </c>
      <c r="D670" t="inlineStr">
        <is>
          <t>kilogram</t>
        </is>
      </c>
      <c r="E670" t="inlineStr">
        <is>
          <t>air::urban air close to ground</t>
        </is>
      </c>
      <c r="F670" t="inlineStr">
        <is>
          <t>biosphere</t>
        </is>
      </c>
      <c r="I670" s="6" t="n">
        <v>312</v>
      </c>
      <c r="J670" s="14">
        <f>J644</f>
        <v>0.13178149051999249</v>
      </c>
      <c r="K670" t="n">
        <v>2</v>
      </c>
      <c r="L670" s="3">
        <f>LN(B670)</f>
        <v>-3.2809769209685307</v>
      </c>
      <c r="M670" t="n">
        <v>1</v>
      </c>
      <c r="N670" t="n">
        <v>1</v>
      </c>
      <c r="O670" t="n">
        <v>1</v>
      </c>
      <c r="P670" t="n">
        <v>1.02</v>
      </c>
      <c r="Q670" t="n">
        <v>1.2</v>
      </c>
      <c r="R670" t="n">
        <v>1</v>
      </c>
      <c r="S670" t="n">
        <v>1.05</v>
      </c>
      <c r="T670">
        <f>LN(SQRT(EXP(
SQRT(
+POWER(LN(M670),2)
+POWER(LN(N670),2)
+POWER(LN(O670),2)
+POWER(LN(P670),2)
+POWER(LN(Q670),2)
+POWER(LN(R670),2)
+POWER(LN(S670),2)
)
)))</f>
        <v>9.4886477223156879E-2</v>
      </c>
    </row>
    <row r="671">
      <c r="A671" t="inlineStr">
        <is>
          <t>Carbon dioxide, in air</t>
        </is>
      </c>
      <c r="B671">
        <f>unallocated!B264/I671*J671</f>
        <v>0.21330016895062889</v>
      </c>
      <c r="D671" t="inlineStr">
        <is>
          <t>kilogram</t>
        </is>
      </c>
      <c r="E671" t="inlineStr">
        <is>
          <t>natural resource::in air</t>
        </is>
      </c>
      <c r="F671" t="inlineStr">
        <is>
          <t>biosphere</t>
        </is>
      </c>
      <c r="H671" t="inlineStr">
        <is>
          <t>To reflect the permanent storage of non-fossil CO.</t>
        </is>
      </c>
      <c r="I671" s="6" t="n">
        <v>312</v>
      </c>
      <c r="J671" s="14">
        <f>J644</f>
        <v>0.13178149051999249</v>
      </c>
      <c r="K671" t="n">
        <v>2</v>
      </c>
      <c r="L671" s="3">
        <f>LN(B671)</f>
        <v>-1.5450548614253103</v>
      </c>
      <c r="M671" t="n">
        <v>1</v>
      </c>
      <c r="N671" t="n">
        <v>1</v>
      </c>
      <c r="O671" t="n">
        <v>1</v>
      </c>
      <c r="P671" t="n">
        <v>1.02</v>
      </c>
      <c r="Q671" t="n">
        <v>1.2</v>
      </c>
      <c r="R671" t="n">
        <v>1</v>
      </c>
      <c r="S671" t="n">
        <v>1.05</v>
      </c>
      <c r="T671">
        <f>LN(SQRT(EXP(
SQRT(
+POWER(LN(M671),2)
+POWER(LN(N671),2)
+POWER(LN(O671),2)
+POWER(LN(P671),2)
+POWER(LN(Q671),2)
+POWER(LN(R671),2)
+POWER(LN(S671),2)
)
)))</f>
        <v>9.4886477223156879E-2</v>
      </c>
    </row>
    <row r="672"/>
    <row r="673">
      <c r="A673" s="1" t="inlineStr">
        <is>
          <t>Activity</t>
        </is>
      </c>
      <c r="B673" s="1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</row>
    <row r="674">
      <c r="A674" t="inlineStr">
        <is>
          <t>location</t>
        </is>
      </c>
      <c r="B674" t="inlineStr">
        <is>
          <t>RER</t>
        </is>
      </c>
    </row>
    <row r="675">
      <c r="A675" t="inlineStr">
        <is>
          <t>production amount</t>
        </is>
      </c>
      <c r="B675" t="n">
        <v>1</v>
      </c>
    </row>
    <row r="676">
      <c r="A676" s="2" t="inlineStr">
        <is>
          <t>source</t>
        </is>
      </c>
      <c r="B676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677">
      <c r="A677" t="inlineStr">
        <is>
          <t>reference product</t>
        </is>
      </c>
      <c r="B677" t="inlineStr">
        <is>
          <t>heat, district or industrial, other than natural gas</t>
        </is>
      </c>
    </row>
    <row r="678">
      <c r="A678" t="inlineStr">
        <is>
          <t>type</t>
        </is>
      </c>
      <c r="B678" t="inlineStr">
        <is>
          <t>process</t>
        </is>
      </c>
    </row>
    <row r="679">
      <c r="A679" t="inlineStr">
        <is>
          <t>unit</t>
        </is>
      </c>
      <c r="B679" t="inlineStr">
        <is>
          <t>megajoule</t>
        </is>
      </c>
    </row>
    <row r="680">
      <c r="A680" t="inlineStr">
        <is>
          <t>comment</t>
        </is>
      </c>
      <c r="B680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Yes. Electricity production per ton MSWI incinerated: 312 kWh. Heat production per ton MSWI incinerated: 7'400 MJ.</t>
        </is>
      </c>
    </row>
    <row r="681">
      <c r="A681" s="1" t="inlineStr">
        <is>
          <t>Exchanges</t>
        </is>
      </c>
    </row>
    <row r="682">
      <c r="A682" s="7" t="inlineStr">
        <is>
          <t>name</t>
        </is>
      </c>
      <c r="B682" s="7" t="inlineStr">
        <is>
          <t>amount</t>
        </is>
      </c>
      <c r="C682" s="7" t="inlineStr">
        <is>
          <t>location</t>
        </is>
      </c>
      <c r="D682" s="7" t="inlineStr">
        <is>
          <t>unit</t>
        </is>
      </c>
      <c r="E682" s="7" t="inlineStr">
        <is>
          <t>categories</t>
        </is>
      </c>
      <c r="F682" s="7" t="inlineStr">
        <is>
          <t>type</t>
        </is>
      </c>
      <c r="G682" s="7" t="inlineStr">
        <is>
          <t>reference product</t>
        </is>
      </c>
      <c r="H682" s="7" t="inlineStr">
        <is>
          <t>comment</t>
        </is>
      </c>
      <c r="I682" s="7" t="inlineStr">
        <is>
          <t>normalization</t>
        </is>
      </c>
      <c r="J682" s="7" t="inlineStr">
        <is>
          <t>allocation</t>
        </is>
      </c>
      <c r="K682" s="7" t="inlineStr">
        <is>
          <t>uncertainty type</t>
        </is>
      </c>
      <c r="L682" s="7" t="inlineStr">
        <is>
          <t>loc</t>
        </is>
      </c>
      <c r="M682" s="1" t="inlineStr">
        <is>
          <t>u1</t>
        </is>
      </c>
      <c r="N682" s="1" t="inlineStr">
        <is>
          <t>u2</t>
        </is>
      </c>
      <c r="O682" s="1" t="inlineStr">
        <is>
          <t>u3</t>
        </is>
      </c>
      <c r="P682" s="1" t="inlineStr">
        <is>
          <t>u4</t>
        </is>
      </c>
      <c r="Q682" s="1" t="inlineStr">
        <is>
          <t>u5</t>
        </is>
      </c>
      <c r="R682" s="1" t="inlineStr">
        <is>
          <t>u6</t>
        </is>
      </c>
      <c r="S682" s="1" t="inlineStr">
        <is>
          <t>ub</t>
        </is>
      </c>
      <c r="T682" s="1" t="inlineStr">
        <is>
          <t>scale</t>
        </is>
      </c>
      <c r="U682" s="1" t="inlineStr">
        <is>
          <t>negative</t>
        </is>
      </c>
    </row>
    <row r="683">
      <c r="A683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B683" t="n">
        <v>0</v>
      </c>
      <c r="C683" t="inlineStr">
        <is>
          <t>RER</t>
        </is>
      </c>
      <c r="D683" t="inlineStr">
        <is>
          <t>kilogram</t>
        </is>
      </c>
      <c r="F683" t="inlineStr">
        <is>
          <t>technosphere</t>
        </is>
      </c>
      <c r="G683" t="inlineStr">
        <is>
          <t>municipal solid waste</t>
        </is>
      </c>
      <c r="H683" t="inlineStr"/>
      <c r="I683" t="n">
        <v>7400</v>
      </c>
      <c r="J683" s="14">
        <f>INDEX('allocation keys'!$F$4:$H$28,MATCH('allocated (energy)'!$B$673,'allocation keys'!$B$4:$B$28,0),MATCH('allocated (energy)'!$B$677,'allocation keys'!$F$3:$H$3,0))</f>
        <v>0.86821850948000745</v>
      </c>
      <c r="K683" t="n">
        <v>0</v>
      </c>
      <c r="M683" s="5" t="n"/>
      <c r="N683" s="5" t="n"/>
      <c r="O683" s="5" t="n"/>
      <c r="P683" s="5" t="n"/>
      <c r="Q683" s="5" t="n"/>
      <c r="R683" s="5" t="n"/>
    </row>
    <row r="684">
      <c r="A684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B684" s="6" t="n">
        <v>0</v>
      </c>
      <c r="C684" t="inlineStr">
        <is>
          <t>RER</t>
        </is>
      </c>
      <c r="D684" t="inlineStr">
        <is>
          <t>kilowatt hour</t>
        </is>
      </c>
      <c r="F684" t="inlineStr">
        <is>
          <t>technosphere</t>
        </is>
      </c>
      <c r="G684" t="inlineStr">
        <is>
          <t>electricity, medium voltage</t>
        </is>
      </c>
      <c r="H684" t="inlineStr"/>
      <c r="I684" t="n">
        <v>7400</v>
      </c>
      <c r="J684" s="11">
        <f>J683</f>
        <v>0.86821850948000745</v>
      </c>
      <c r="K684" t="n">
        <v>0</v>
      </c>
      <c r="L684" s="3" t="n"/>
    </row>
    <row r="685">
      <c r="A685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B685" t="n">
        <v>1</v>
      </c>
      <c r="C685" t="inlineStr">
        <is>
          <t>RER</t>
        </is>
      </c>
      <c r="D685" t="inlineStr">
        <is>
          <t>megajoule</t>
        </is>
      </c>
      <c r="F685" t="inlineStr">
        <is>
          <t>production</t>
        </is>
      </c>
      <c r="G685" t="inlineStr">
        <is>
          <t>heat, district or industrial, other than natural gas</t>
        </is>
      </c>
      <c r="H685" t="inlineStr"/>
      <c r="I685" t="n">
        <v>7400</v>
      </c>
      <c r="J685" s="11">
        <f>J683</f>
        <v>0.86821850948000745</v>
      </c>
      <c r="K685" t="n">
        <v>0</v>
      </c>
      <c r="L685" s="3" t="n"/>
    </row>
    <row r="686">
      <c r="A686" t="inlineStr">
        <is>
          <t>market for diesel, low-sulfur</t>
        </is>
      </c>
      <c r="B686">
        <f>unallocated!B240/I686*J686</f>
        <v>9.9727801764595456E-6</v>
      </c>
      <c r="C686" t="inlineStr">
        <is>
          <t>Europe without Switzerland</t>
        </is>
      </c>
      <c r="D686" t="inlineStr">
        <is>
          <t>kilogram</t>
        </is>
      </c>
      <c r="F686" t="inlineStr">
        <is>
          <t>technosphere</t>
        </is>
      </c>
      <c r="G686" t="inlineStr">
        <is>
          <t>diesel, low-sulfur</t>
        </is>
      </c>
      <c r="H686" t="inlineStr">
        <is>
          <t>Diesel density: 0.85 kg/l</t>
        </is>
      </c>
      <c r="I686" t="n">
        <v>7400</v>
      </c>
      <c r="J686" s="11">
        <f>J683</f>
        <v>0.86821850948000745</v>
      </c>
      <c r="K686" t="n">
        <v>2</v>
      </c>
      <c r="L686" s="3">
        <f>LN(B686)</f>
        <v>-11.515651158654554</v>
      </c>
      <c r="M686" t="n">
        <v>1</v>
      </c>
      <c r="N686" t="n">
        <v>1</v>
      </c>
      <c r="O686" t="n">
        <v>1</v>
      </c>
      <c r="P686" t="n">
        <v>1.02</v>
      </c>
      <c r="Q686" t="n">
        <v>1.2</v>
      </c>
      <c r="R686" t="n">
        <v>1</v>
      </c>
      <c r="S686" t="n">
        <v>1.05</v>
      </c>
      <c r="T686">
        <f>LN(SQRT(EXP(
SQRT(
+POWER(LN(M686),2)
+POWER(LN(N686),2)
+POWER(LN(O686),2)
+POWER(LN(P686),2)
+POWER(LN(Q686),2)
+POWER(LN(R686),2)
+POWER(LN(S686),2)
)
)))</f>
        <v>9.4886477223156879E-2</v>
      </c>
    </row>
    <row r="687">
      <c r="A687" t="inlineStr">
        <is>
          <t>market for activated carbon, granular</t>
        </is>
      </c>
      <c r="B687">
        <f>unallocated!B241/I687*J687</f>
        <v>4.6930730242162569E-5</v>
      </c>
      <c r="C687" t="inlineStr">
        <is>
          <t>GLO</t>
        </is>
      </c>
      <c r="D687" t="inlineStr">
        <is>
          <t>kilogram</t>
        </is>
      </c>
      <c r="F687" t="inlineStr">
        <is>
          <t>technosphere</t>
        </is>
      </c>
      <c r="G687" t="inlineStr">
        <is>
          <t>activated carbon, granular</t>
        </is>
      </c>
      <c r="I687" t="n">
        <v>7400</v>
      </c>
      <c r="J687" s="11">
        <f>J683</f>
        <v>0.86821850948000745</v>
      </c>
      <c r="K687" t="n">
        <v>2</v>
      </c>
      <c r="L687" s="3">
        <f>LN(B687)</f>
        <v>-9.9668378680368903</v>
      </c>
      <c r="M687" t="n">
        <v>1</v>
      </c>
      <c r="N687" t="n">
        <v>1</v>
      </c>
      <c r="O687" t="n">
        <v>1</v>
      </c>
      <c r="P687" t="n">
        <v>1.02</v>
      </c>
      <c r="Q687" t="n">
        <v>1.2</v>
      </c>
      <c r="R687" t="n">
        <v>1</v>
      </c>
      <c r="S687" t="n">
        <v>1.05</v>
      </c>
      <c r="T687">
        <f>LN(SQRT(EXP(
SQRT(
+POWER(LN(M687),2)
+POWER(LN(N687),2)
+POWER(LN(O687),2)
+POWER(LN(P687),2)
+POWER(LN(Q687),2)
+POWER(LN(R687),2)
+POWER(LN(S687),2)
)
)))</f>
        <v>9.4886477223156879E-2</v>
      </c>
    </row>
    <row r="688">
      <c r="A688" t="inlineStr">
        <is>
          <t>market for ammonia, anhydrous, liquid</t>
        </is>
      </c>
      <c r="B688">
        <f>unallocated!B242/I688*J688</f>
        <v>1.1498028909329828E-4</v>
      </c>
      <c r="C688" t="inlineStr">
        <is>
          <t>RER</t>
        </is>
      </c>
      <c r="D688" t="inlineStr">
        <is>
          <t>kilogram</t>
        </is>
      </c>
      <c r="F688" t="inlineStr">
        <is>
          <t>technosphere</t>
        </is>
      </c>
      <c r="G688" t="inlineStr">
        <is>
          <t>ammonia, anhydrous, liquid</t>
        </is>
      </c>
      <c r="H688" t="inlineStr">
        <is>
          <t>100% liquid ammonia. In original publication, it is dilluated to 23.5% in water. We discount the original value by 75%.</t>
        </is>
      </c>
      <c r="I688" t="n">
        <v>7400</v>
      </c>
      <c r="J688" s="11">
        <f>J683</f>
        <v>0.86821850948000745</v>
      </c>
      <c r="K688" t="n">
        <v>2</v>
      </c>
      <c r="L688" s="3">
        <f>LN(B688)</f>
        <v>-9.0707498434802538</v>
      </c>
      <c r="M688" t="n">
        <v>1</v>
      </c>
      <c r="N688" t="n">
        <v>1</v>
      </c>
      <c r="O688" t="n">
        <v>1</v>
      </c>
      <c r="P688" t="n">
        <v>1.02</v>
      </c>
      <c r="Q688" t="n">
        <v>1.2</v>
      </c>
      <c r="R688" t="n">
        <v>1</v>
      </c>
      <c r="S688" t="n">
        <v>1.05</v>
      </c>
      <c r="T688">
        <f>LN(SQRT(EXP(
SQRT(
+POWER(LN(M688),2)
+POWER(LN(N688),2)
+POWER(LN(O688),2)
+POWER(LN(P688),2)
+POWER(LN(Q688),2)
+POWER(LN(R688),2)
+POWER(LN(S688),2)
)
)))</f>
        <v>9.4886477223156879E-2</v>
      </c>
    </row>
    <row r="689">
      <c r="A689" t="inlineStr">
        <is>
          <t>market for tap water</t>
        </is>
      </c>
      <c r="B689">
        <f>unallocated!B243/I689*J689</f>
        <v>3.5432701332832736E-4</v>
      </c>
      <c r="C689" t="inlineStr">
        <is>
          <t>Europe without Switzerland</t>
        </is>
      </c>
      <c r="D689" t="inlineStr">
        <is>
          <t>kilogram</t>
        </is>
      </c>
      <c r="F689" t="inlineStr">
        <is>
          <t>technosphere</t>
        </is>
      </c>
      <c r="G689" t="inlineStr">
        <is>
          <t>tap water</t>
        </is>
      </c>
      <c r="H689" t="inlineStr">
        <is>
          <t>Used to dilute the ammonia.</t>
        </is>
      </c>
      <c r="I689" t="n">
        <v>7400</v>
      </c>
      <c r="J689" s="11">
        <f>J683</f>
        <v>0.86821850948000745</v>
      </c>
      <c r="K689" t="n">
        <v>2</v>
      </c>
      <c r="L689" s="3">
        <f>LN(B689)</f>
        <v>-7.9452903047759564</v>
      </c>
      <c r="M689" t="n">
        <v>1</v>
      </c>
      <c r="N689" t="n">
        <v>1</v>
      </c>
      <c r="O689" t="n">
        <v>1</v>
      </c>
      <c r="P689" t="n">
        <v>1.02</v>
      </c>
      <c r="Q689" t="n">
        <v>1.2</v>
      </c>
      <c r="R689" t="n">
        <v>1</v>
      </c>
      <c r="S689" t="n">
        <v>1.05</v>
      </c>
      <c r="T689">
        <f>LN(SQRT(EXP(
SQRT(
+POWER(LN(M689),2)
+POWER(LN(N689),2)
+POWER(LN(O689),2)
+POWER(LN(P689),2)
+POWER(LN(Q689),2)
+POWER(LN(R689),2)
+POWER(LN(S689),2)
)
)))</f>
        <v>9.4886477223156879E-2</v>
      </c>
    </row>
    <row r="690">
      <c r="A690" t="inlineStr">
        <is>
          <t>market for calcium carbonate, precipitated</t>
        </is>
      </c>
      <c r="B690">
        <f>unallocated!B244/I690*J690</f>
        <v>0</v>
      </c>
      <c r="C690" t="inlineStr">
        <is>
          <t>RER</t>
        </is>
      </c>
      <c r="D690" t="inlineStr">
        <is>
          <t>kilogram</t>
        </is>
      </c>
      <c r="F690" t="inlineStr">
        <is>
          <t>technosphere</t>
        </is>
      </c>
      <c r="G690" t="inlineStr">
        <is>
          <t>calcium carbonate, precipitated</t>
        </is>
      </c>
      <c r="I690" t="n">
        <v>7400</v>
      </c>
      <c r="J690" s="11">
        <f>J683</f>
        <v>0.86821850948000745</v>
      </c>
      <c r="K690" t="n">
        <v>0</v>
      </c>
      <c r="L690" s="3" t="n"/>
    </row>
    <row r="691">
      <c r="A691" t="inlineStr">
        <is>
          <t>market for iron(III) chloride, without water, in 40% solution state</t>
        </is>
      </c>
      <c r="B691">
        <f>unallocated!B245/I691*J691</f>
        <v>0</v>
      </c>
      <c r="C691" t="inlineStr">
        <is>
          <t>GLO</t>
        </is>
      </c>
      <c r="D691" t="inlineStr">
        <is>
          <t>kilogram</t>
        </is>
      </c>
      <c r="F691" t="inlineStr">
        <is>
          <t>technosphere</t>
        </is>
      </c>
      <c r="G691" t="inlineStr">
        <is>
          <t>iron(III) chloride, without water, in 40% solution state</t>
        </is>
      </c>
      <c r="I691" t="n">
        <v>7400</v>
      </c>
      <c r="J691" s="11">
        <f>J683</f>
        <v>0.86821850948000745</v>
      </c>
      <c r="K691" t="n">
        <v>0</v>
      </c>
      <c r="L691" s="3" t="n"/>
    </row>
    <row r="692">
      <c r="A692" t="inlineStr">
        <is>
          <t>market for lime, hydrated, packed</t>
        </is>
      </c>
      <c r="B692">
        <f>unallocated!B246/I692*J692</f>
        <v>1.1732682560540641E-3</v>
      </c>
      <c r="C692" t="inlineStr">
        <is>
          <t>RER</t>
        </is>
      </c>
      <c r="D692" t="inlineStr">
        <is>
          <t>kilogram</t>
        </is>
      </c>
      <c r="F692" t="inlineStr">
        <is>
          <t>technosphere</t>
        </is>
      </c>
      <c r="G692" t="inlineStr">
        <is>
          <t>lime, hydrated, packed</t>
        </is>
      </c>
      <c r="I692" t="n">
        <v>7400</v>
      </c>
      <c r="J692" s="11">
        <f>J683</f>
        <v>0.86821850948000745</v>
      </c>
      <c r="K692" t="n">
        <v>2</v>
      </c>
      <c r="L692" s="3">
        <f>LN(B692)</f>
        <v>-6.7479620431686893</v>
      </c>
      <c r="M692" t="n">
        <v>1</v>
      </c>
      <c r="N692" t="n">
        <v>1</v>
      </c>
      <c r="O692" t="n">
        <v>1</v>
      </c>
      <c r="P692" t="n">
        <v>1.02</v>
      </c>
      <c r="Q692" t="n">
        <v>1.2</v>
      </c>
      <c r="R692" t="n">
        <v>1</v>
      </c>
      <c r="S692" t="n">
        <v>1.05</v>
      </c>
      <c r="T692">
        <f>LN(SQRT(EXP(
SQRT(
+POWER(LN(M692),2)
+POWER(LN(N692),2)
+POWER(LN(O692),2)
+POWER(LN(P692),2)
+POWER(LN(Q692),2)
+POWER(LN(R692),2)
+POWER(LN(S692),2)
)
)))</f>
        <v>9.4886477223156879E-2</v>
      </c>
    </row>
    <row r="693">
      <c r="A693" t="inlineStr">
        <is>
          <t>market for sodium hydroxide, without water, in 50% solution state</t>
        </is>
      </c>
      <c r="B693">
        <f>unallocated!B247/I693*J693</f>
        <v>2.9331706401351602E-5</v>
      </c>
      <c r="C693" t="inlineStr">
        <is>
          <t>RER</t>
        </is>
      </c>
      <c r="D693" t="inlineStr">
        <is>
          <t>kilogram</t>
        </is>
      </c>
      <c r="F693" t="inlineStr">
        <is>
          <t>technosphere</t>
        </is>
      </c>
      <c r="G693" t="inlineStr">
        <is>
          <t>sodium hydroxide, without water, in 50% solution state</t>
        </is>
      </c>
      <c r="H693" t="inlineStr">
        <is>
          <t>50% liquid ammonia. In original publication, it is dilluated to 27% in water. We discount the original value by 50%.</t>
        </is>
      </c>
      <c r="I693" t="n">
        <v>7400</v>
      </c>
      <c r="J693" s="11">
        <f>J683</f>
        <v>0.86821850948000745</v>
      </c>
      <c r="K693" t="n">
        <v>0</v>
      </c>
      <c r="L693" s="3" t="n"/>
    </row>
    <row r="694">
      <c r="A694" t="inlineStr">
        <is>
          <t>market for monoethanolamine</t>
        </is>
      </c>
      <c r="B694">
        <f>unallocated!B248/I694*J694</f>
        <v>4.6930730242162564E-4</v>
      </c>
      <c r="C694" t="inlineStr">
        <is>
          <t>GLO</t>
        </is>
      </c>
      <c r="D694" t="inlineStr">
        <is>
          <t>kilogram</t>
        </is>
      </c>
      <c r="F694" t="inlineStr">
        <is>
          <t>technosphere</t>
        </is>
      </c>
      <c r="G694" t="inlineStr">
        <is>
          <t>monoethanolamine</t>
        </is>
      </c>
      <c r="I694" t="n">
        <v>7400</v>
      </c>
      <c r="J694" s="11">
        <f>J683</f>
        <v>0.86821850948000745</v>
      </c>
      <c r="K694" t="n">
        <v>0</v>
      </c>
      <c r="L694" s="3" t="n"/>
    </row>
    <row r="695">
      <c r="A695" t="inlineStr">
        <is>
          <t>municipal waste incineration facility construction</t>
        </is>
      </c>
      <c r="B695">
        <f>unallocated!B249/I695*J695</f>
        <v>2.93317064013516E-11</v>
      </c>
      <c r="C695" t="inlineStr">
        <is>
          <t>CH</t>
        </is>
      </c>
      <c r="D695" t="inlineStr">
        <is>
          <t>unit</t>
        </is>
      </c>
      <c r="F695" t="inlineStr">
        <is>
          <t>technosphere</t>
        </is>
      </c>
      <c r="G695" t="inlineStr">
        <is>
          <t>municipal waste incineration facility</t>
        </is>
      </c>
      <c r="H695" t="inlineStr">
        <is>
          <t>Lifetime: 4'000'000 tons MSWI treated.</t>
        </is>
      </c>
      <c r="I695" t="n">
        <v>7400</v>
      </c>
      <c r="J695" s="11">
        <f>J683</f>
        <v>0.86821850948000745</v>
      </c>
      <c r="K695" t="n">
        <v>2</v>
      </c>
      <c r="L695" s="3">
        <f>LN(B695)</f>
        <v>-24.252352055246899</v>
      </c>
      <c r="M695" t="n">
        <v>1</v>
      </c>
      <c r="N695" t="n">
        <v>1</v>
      </c>
      <c r="O695" t="n">
        <v>1</v>
      </c>
      <c r="P695" t="n">
        <v>1.02</v>
      </c>
      <c r="Q695" t="n">
        <v>1.2</v>
      </c>
      <c r="R695" t="n">
        <v>1</v>
      </c>
      <c r="S695" t="n">
        <v>3</v>
      </c>
      <c r="T695">
        <f>LN(SQRT(EXP(
SQRT(
+POWER(LN(M695),2)
+POWER(LN(N695),2)
+POWER(LN(O695),2)
+POWER(LN(P695),2)
+POWER(LN(Q695),2)
+POWER(LN(R695),2)
+POWER(LN(S695),2)
)
)))</f>
        <v>0.5569071410325479</v>
      </c>
    </row>
    <row r="696">
      <c r="A696" t="inlineStr">
        <is>
          <t>carbon dioxide storage at wood burning power plant 20 MW post, pipeline 200km, storage 1000m</t>
        </is>
      </c>
      <c r="B696">
        <f>unallocated!B250/I696*J696</f>
        <v>9.6559977473249473E-2</v>
      </c>
      <c r="C696" t="inlineStr">
        <is>
          <t>RER</t>
        </is>
      </c>
      <c r="D696" t="inlineStr">
        <is>
          <t>kilogram</t>
        </is>
      </c>
      <c r="F696" t="inlineStr">
        <is>
          <t>technosphere</t>
        </is>
      </c>
      <c r="G696" t="inlineStr">
        <is>
          <t>carbon dioxide storage at wood burning power plant 20 MW post, pipeline 200km, storage 1000m</t>
        </is>
      </c>
      <c r="I696" t="n">
        <v>7400</v>
      </c>
      <c r="J696" s="11">
        <f>J683</f>
        <v>0.86821850948000745</v>
      </c>
      <c r="K696" t="n">
        <v>2</v>
      </c>
      <c r="L696" s="3">
        <f>LN(B696)</f>
        <v>-2.337590935485665</v>
      </c>
      <c r="M696" t="n">
        <v>1</v>
      </c>
      <c r="N696" t="n">
        <v>1</v>
      </c>
      <c r="O696" t="n">
        <v>1</v>
      </c>
      <c r="P696" t="n">
        <v>1.02</v>
      </c>
      <c r="Q696" t="n">
        <v>1.2</v>
      </c>
      <c r="R696" t="n">
        <v>1</v>
      </c>
      <c r="S696" t="n">
        <v>3</v>
      </c>
      <c r="T696">
        <f>LN(SQRT(EXP(
SQRT(
+POWER(LN(M696),2)
+POWER(LN(N696),2)
+POWER(LN(O696),2)
+POWER(LN(P696),2)
+POWER(LN(Q696),2)
+POWER(LN(R696),2)
+POWER(LN(S696),2)
)
)))</f>
        <v>0.5569071410325479</v>
      </c>
    </row>
    <row r="697">
      <c r="A697" t="inlineStr">
        <is>
          <t>Water, cooling, unspecified natural origin</t>
        </is>
      </c>
      <c r="B697">
        <f>unallocated!B251/I697*J697</f>
        <v>0</v>
      </c>
      <c r="D697" t="inlineStr">
        <is>
          <t>cubic meter</t>
        </is>
      </c>
      <c r="E697" t="inlineStr">
        <is>
          <t>natural resource::in water</t>
        </is>
      </c>
      <c r="F697" t="inlineStr">
        <is>
          <t>biosphere</t>
        </is>
      </c>
      <c r="I697" t="n">
        <v>7400</v>
      </c>
      <c r="J697" s="11">
        <f>J683</f>
        <v>0.86821850948000745</v>
      </c>
      <c r="K697" t="n">
        <v>0</v>
      </c>
      <c r="L697" s="3" t="n"/>
    </row>
    <row r="698">
      <c r="A698" t="inlineStr">
        <is>
          <t>Sulfur dioxide</t>
        </is>
      </c>
      <c r="B698">
        <f>unallocated!B252/I698*J698</f>
        <v>7.039609536324385E-7</v>
      </c>
      <c r="D698" t="inlineStr">
        <is>
          <t>kilogram</t>
        </is>
      </c>
      <c r="E698" t="inlineStr">
        <is>
          <t>air::urban air close to ground</t>
        </is>
      </c>
      <c r="F698" t="inlineStr">
        <is>
          <t>biosphere</t>
        </is>
      </c>
      <c r="I698" t="n">
        <v>7400</v>
      </c>
      <c r="J698" s="11">
        <f>J683</f>
        <v>0.86821850948000745</v>
      </c>
      <c r="K698" t="n">
        <v>2</v>
      </c>
      <c r="L698" s="3">
        <f>LN(B698)</f>
        <v>-14.166542945916817</v>
      </c>
      <c r="M698" t="n">
        <v>1</v>
      </c>
      <c r="N698" t="n">
        <v>1</v>
      </c>
      <c r="O698" t="n">
        <v>1</v>
      </c>
      <c r="P698" t="n">
        <v>1.02</v>
      </c>
      <c r="Q698" t="n">
        <v>1.2</v>
      </c>
      <c r="R698" t="n">
        <v>1</v>
      </c>
      <c r="S698" t="n">
        <v>1.05</v>
      </c>
      <c r="T698">
        <f>LN(SQRT(EXP(
SQRT(
+POWER(LN(M698),2)
+POWER(LN(N698),2)
+POWER(LN(O698),2)
+POWER(LN(P698),2)
+POWER(LN(Q698),2)
+POWER(LN(R698),2)
+POWER(LN(S698),2)
)
)))</f>
        <v>9.4886477223156879E-2</v>
      </c>
    </row>
    <row r="699">
      <c r="A699" t="inlineStr">
        <is>
          <t>Hydrochloric acid</t>
        </is>
      </c>
      <c r="B699">
        <f>unallocated!B253/I699*J699</f>
        <v>3.5198047681621925E-7</v>
      </c>
      <c r="D699" t="inlineStr">
        <is>
          <t>kilogram</t>
        </is>
      </c>
      <c r="E699" t="inlineStr">
        <is>
          <t>air</t>
        </is>
      </c>
      <c r="F699" t="inlineStr">
        <is>
          <t>biosphere</t>
        </is>
      </c>
      <c r="I699" t="n">
        <v>7400</v>
      </c>
      <c r="J699" s="11">
        <f>J683</f>
        <v>0.86821850948000745</v>
      </c>
      <c r="K699" t="n">
        <v>2</v>
      </c>
      <c r="L699" s="3">
        <f>LN(B699)</f>
        <v>-14.859690126476762</v>
      </c>
      <c r="M699" t="n">
        <v>1</v>
      </c>
      <c r="N699" t="n">
        <v>1</v>
      </c>
      <c r="O699" t="n">
        <v>1</v>
      </c>
      <c r="P699" t="n">
        <v>1.02</v>
      </c>
      <c r="Q699" t="n">
        <v>1.2</v>
      </c>
      <c r="R699" t="n">
        <v>1</v>
      </c>
      <c r="S699" t="n">
        <v>1.5</v>
      </c>
      <c r="T699">
        <f>LN(SQRT(EXP(
SQRT(
+POWER(LN(M699),2)
+POWER(LN(N699),2)
+POWER(LN(O699),2)
+POWER(LN(P699),2)
+POWER(LN(Q699),2)
+POWER(LN(R699),2)
+POWER(LN(S699),2)
)
)))</f>
        <v>0.22250575723605889</v>
      </c>
    </row>
    <row r="700">
      <c r="A700" t="inlineStr">
        <is>
          <t>Nitrogen oxides</t>
        </is>
      </c>
      <c r="B700">
        <f>unallocated!B254/I700*J700</f>
        <v>7.9430260934860148E-5</v>
      </c>
      <c r="D700" t="inlineStr">
        <is>
          <t>kilogram</t>
        </is>
      </c>
      <c r="E700" t="inlineStr">
        <is>
          <t>air::urban air close to ground</t>
        </is>
      </c>
      <c r="F700" t="inlineStr">
        <is>
          <t>biosphere</t>
        </is>
      </c>
      <c r="I700" t="n">
        <v>7400</v>
      </c>
      <c r="J700" s="11">
        <f>J683</f>
        <v>0.86821850948000745</v>
      </c>
      <c r="K700" t="n">
        <v>2</v>
      </c>
      <c r="L700" s="3">
        <f>LN(B700)</f>
        <v>-9.440631142232597</v>
      </c>
      <c r="M700" t="n">
        <v>1</v>
      </c>
      <c r="N700" t="n">
        <v>1</v>
      </c>
      <c r="O700" t="n">
        <v>1</v>
      </c>
      <c r="P700" t="n">
        <v>1.02</v>
      </c>
      <c r="Q700" t="n">
        <v>1.2</v>
      </c>
      <c r="R700" t="n">
        <v>1</v>
      </c>
      <c r="S700" t="n">
        <v>1.5</v>
      </c>
      <c r="T700">
        <f>LN(SQRT(EXP(
SQRT(
+POWER(LN(M700),2)
+POWER(LN(N700),2)
+POWER(LN(O700),2)
+POWER(LN(P700),2)
+POWER(LN(Q700),2)
+POWER(LN(R700),2)
+POWER(LN(S700),2)
)
)))</f>
        <v>0.22250575723605889</v>
      </c>
    </row>
    <row r="701">
      <c r="A701" t="inlineStr">
        <is>
          <t>Ammonia</t>
        </is>
      </c>
      <c r="B701">
        <f>unallocated!B255/I701*J701</f>
        <v>2.3465365121081282E-6</v>
      </c>
      <c r="D701" t="inlineStr">
        <is>
          <t>kilogram</t>
        </is>
      </c>
      <c r="E701" t="inlineStr">
        <is>
          <t>air::urban air close to ground</t>
        </is>
      </c>
      <c r="F701" t="inlineStr">
        <is>
          <t>biosphere</t>
        </is>
      </c>
      <c r="I701" t="n">
        <v>7400</v>
      </c>
      <c r="J701" s="11">
        <f>J683</f>
        <v>0.86821850948000745</v>
      </c>
      <c r="K701" t="n">
        <v>2</v>
      </c>
      <c r="L701" s="3">
        <f>LN(B701)</f>
        <v>-12.962570141590881</v>
      </c>
      <c r="M701" t="n">
        <v>1</v>
      </c>
      <c r="N701" t="n">
        <v>1</v>
      </c>
      <c r="O701" t="n">
        <v>1</v>
      </c>
      <c r="P701" t="n">
        <v>1.02</v>
      </c>
      <c r="Q701" t="n">
        <v>1.2</v>
      </c>
      <c r="R701" t="n">
        <v>1</v>
      </c>
      <c r="S701" t="n">
        <v>1.5</v>
      </c>
      <c r="T701">
        <f>LN(SQRT(EXP(
SQRT(
+POWER(LN(M701),2)
+POWER(LN(N701),2)
+POWER(LN(O701),2)
+POWER(LN(P701),2)
+POWER(LN(Q701),2)
+POWER(LN(R701),2)
+POWER(LN(S701),2)
)
)))</f>
        <v>0.22250575723605889</v>
      </c>
    </row>
    <row r="702">
      <c r="A702" t="inlineStr">
        <is>
          <t>Particulate Matter, &lt; 2.5 um</t>
        </is>
      </c>
      <c r="B702">
        <f>unallocated!B256/I702*J702</f>
        <v>7.039609536324385E-7</v>
      </c>
      <c r="D702" t="inlineStr">
        <is>
          <t>kilogram</t>
        </is>
      </c>
      <c r="E702" t="inlineStr">
        <is>
          <t>air::urban air close to ground</t>
        </is>
      </c>
      <c r="F702" t="inlineStr">
        <is>
          <t>biosphere</t>
        </is>
      </c>
      <c r="I702" t="n">
        <v>7400</v>
      </c>
      <c r="J702" s="11">
        <f>J683</f>
        <v>0.86821850948000745</v>
      </c>
      <c r="K702" t="n">
        <v>2</v>
      </c>
      <c r="L702" s="3">
        <f>LN(B702)</f>
        <v>-14.166542945916817</v>
      </c>
      <c r="M702" t="n">
        <v>1</v>
      </c>
      <c r="N702" t="n">
        <v>1</v>
      </c>
      <c r="O702" t="n">
        <v>1</v>
      </c>
      <c r="P702" t="n">
        <v>1.02</v>
      </c>
      <c r="Q702" t="n">
        <v>1.2</v>
      </c>
      <c r="R702" t="n">
        <v>1</v>
      </c>
      <c r="S702" t="n">
        <v>3</v>
      </c>
      <c r="T702">
        <f>LN(SQRT(EXP(
SQRT(
+POWER(LN(M702),2)
+POWER(LN(N702),2)
+POWER(LN(O702),2)
+POWER(LN(P702),2)
+POWER(LN(Q702),2)
+POWER(LN(R702),2)
+POWER(LN(S702),2)
)
)))</f>
        <v>0.5569071410325479</v>
      </c>
    </row>
    <row r="703">
      <c r="A703" t="inlineStr">
        <is>
          <t>Mercury II</t>
        </is>
      </c>
      <c r="B703">
        <f>unallocated!B257/I703*J703</f>
        <v>7.0396095363243846E-10</v>
      </c>
      <c r="D703" t="inlineStr">
        <is>
          <t>kilogram</t>
        </is>
      </c>
      <c r="E703" t="inlineStr">
        <is>
          <t>air::urban air close to ground</t>
        </is>
      </c>
      <c r="F703" t="inlineStr">
        <is>
          <t>biosphere</t>
        </is>
      </c>
      <c r="I703" t="n">
        <v>7400</v>
      </c>
      <c r="J703" s="11">
        <f>J683</f>
        <v>0.86821850948000745</v>
      </c>
      <c r="K703" t="n">
        <v>2</v>
      </c>
      <c r="L703" s="3">
        <f>LN(B703)</f>
        <v>-21.074298224898953</v>
      </c>
      <c r="M703" t="n">
        <v>1</v>
      </c>
      <c r="N703" t="n">
        <v>1</v>
      </c>
      <c r="O703" t="n">
        <v>1</v>
      </c>
      <c r="P703" t="n">
        <v>1.02</v>
      </c>
      <c r="Q703" t="n">
        <v>1.2</v>
      </c>
      <c r="R703" t="n">
        <v>1</v>
      </c>
      <c r="S703" t="n">
        <v>5</v>
      </c>
      <c r="T703">
        <f>LN(SQRT(EXP(
SQRT(
+POWER(LN(M703),2)
+POWER(LN(N703),2)
+POWER(LN(O703),2)
+POWER(LN(P703),2)
+POWER(LN(Q703),2)
+POWER(LN(R703),2)
+POWER(LN(S703),2)
)
)))</f>
        <v>0.80992649174166365</v>
      </c>
    </row>
    <row r="704">
      <c r="A704" t="inlineStr">
        <is>
          <t>Lead II</t>
        </is>
      </c>
      <c r="B704">
        <f>unallocated!B258/I704*J704</f>
        <v>7.0396095363243846E-10</v>
      </c>
      <c r="D704" t="inlineStr">
        <is>
          <t>kilogram</t>
        </is>
      </c>
      <c r="E704" t="inlineStr">
        <is>
          <t>air::urban air close to ground</t>
        </is>
      </c>
      <c r="F704" t="inlineStr">
        <is>
          <t>biosphere</t>
        </is>
      </c>
      <c r="I704" t="n">
        <v>7400</v>
      </c>
      <c r="J704" s="11">
        <f>J683</f>
        <v>0.86821850948000745</v>
      </c>
      <c r="K704" t="n">
        <v>2</v>
      </c>
      <c r="L704" s="3">
        <f>LN(B704)</f>
        <v>-21.074298224898953</v>
      </c>
      <c r="M704" t="n">
        <v>1</v>
      </c>
      <c r="N704" t="n">
        <v>1</v>
      </c>
      <c r="O704" t="n">
        <v>1</v>
      </c>
      <c r="P704" t="n">
        <v>1.02</v>
      </c>
      <c r="Q704" t="n">
        <v>1.2</v>
      </c>
      <c r="R704" t="n">
        <v>1</v>
      </c>
      <c r="S704" t="n">
        <v>5</v>
      </c>
      <c r="T704">
        <f>LN(SQRT(EXP(
SQRT(
+POWER(LN(M704),2)
+POWER(LN(N704),2)
+POWER(LN(O704),2)
+POWER(LN(P704),2)
+POWER(LN(Q704),2)
+POWER(LN(R704),2)
+POWER(LN(S704),2)
)
)))</f>
        <v>0.80992649174166365</v>
      </c>
    </row>
    <row r="705">
      <c r="A705" t="inlineStr">
        <is>
          <t>Cadmium II</t>
        </is>
      </c>
      <c r="B705">
        <f>unallocated!B259/I705*J705</f>
        <v>3.5198047681621923E-10</v>
      </c>
      <c r="D705" t="inlineStr">
        <is>
          <t>kilogram</t>
        </is>
      </c>
      <c r="E705" t="inlineStr">
        <is>
          <t>air::urban air close to ground</t>
        </is>
      </c>
      <c r="F705" t="inlineStr">
        <is>
          <t>biosphere</t>
        </is>
      </c>
      <c r="I705" t="n">
        <v>7400</v>
      </c>
      <c r="J705" s="11">
        <f>J683</f>
        <v>0.86821850948000745</v>
      </c>
      <c r="K705" t="n">
        <v>2</v>
      </c>
      <c r="L705" s="3">
        <f>LN(B705)</f>
        <v>-21.767445405458901</v>
      </c>
      <c r="M705" t="n">
        <v>1</v>
      </c>
      <c r="N705" t="n">
        <v>1</v>
      </c>
      <c r="O705" t="n">
        <v>1</v>
      </c>
      <c r="P705" t="n">
        <v>1.02</v>
      </c>
      <c r="Q705" t="n">
        <v>1.2</v>
      </c>
      <c r="R705" t="n">
        <v>1</v>
      </c>
      <c r="S705" t="n">
        <v>5</v>
      </c>
      <c r="T705">
        <f>LN(SQRT(EXP(
SQRT(
+POWER(LN(M705),2)
+POWER(LN(N705),2)
+POWER(LN(O705),2)
+POWER(LN(P705),2)
+POWER(LN(Q705),2)
+POWER(LN(R705),2)
+POWER(LN(S705),2)
)
)))</f>
        <v>0.80992649174166365</v>
      </c>
    </row>
    <row r="706">
      <c r="A706" t="inlineStr">
        <is>
          <t>Arsenic ion</t>
        </is>
      </c>
      <c r="B706">
        <f>unallocated!B260/I706*J706</f>
        <v>3.5198047681621923E-10</v>
      </c>
      <c r="D706" t="inlineStr">
        <is>
          <t>kilogram</t>
        </is>
      </c>
      <c r="E706" t="inlineStr">
        <is>
          <t>air::urban air close to ground</t>
        </is>
      </c>
      <c r="F706" t="inlineStr">
        <is>
          <t>biosphere</t>
        </is>
      </c>
      <c r="I706" t="n">
        <v>7400</v>
      </c>
      <c r="J706" s="11">
        <f>J683</f>
        <v>0.86821850948000745</v>
      </c>
      <c r="K706" t="n">
        <v>2</v>
      </c>
      <c r="L706" s="3">
        <f>LN(B706)</f>
        <v>-21.767445405458901</v>
      </c>
      <c r="M706" t="n">
        <v>1</v>
      </c>
      <c r="N706" t="n">
        <v>1</v>
      </c>
      <c r="O706" t="n">
        <v>1</v>
      </c>
      <c r="P706" t="n">
        <v>1.02</v>
      </c>
      <c r="Q706" t="n">
        <v>1.2</v>
      </c>
      <c r="R706" t="n">
        <v>1</v>
      </c>
      <c r="S706" t="n">
        <v>5</v>
      </c>
      <c r="T706">
        <f>LN(SQRT(EXP(
SQRT(
+POWER(LN(M706),2)
+POWER(LN(N706),2)
+POWER(LN(O706),2)
+POWER(LN(P706),2)
+POWER(LN(Q706),2)
+POWER(LN(R706),2)
+POWER(LN(S706),2)
)
)))</f>
        <v>0.80992649174166365</v>
      </c>
    </row>
    <row r="707">
      <c r="A707" t="inlineStr">
        <is>
          <t>Dioxins, measured as 2,3,7,8-tetrachlorodibenzo-p-dioxin</t>
        </is>
      </c>
      <c r="B707">
        <f>unallocated!B261/I707*J707</f>
        <v>1.2905950816594706E-14</v>
      </c>
      <c r="D707" t="inlineStr">
        <is>
          <t>kilogram</t>
        </is>
      </c>
      <c r="E707" t="inlineStr">
        <is>
          <t>air::urban air close to ground</t>
        </is>
      </c>
      <c r="F707" t="inlineStr">
        <is>
          <t>biosphere</t>
        </is>
      </c>
      <c r="I707" t="n">
        <v>7400</v>
      </c>
      <c r="J707" s="11">
        <f>J683</f>
        <v>0.86821850948000745</v>
      </c>
      <c r="K707" t="n">
        <v>2</v>
      </c>
      <c r="L707" s="3">
        <f>LN(B707)</f>
        <v>-31.981087886298866</v>
      </c>
      <c r="M707" t="n">
        <v>1</v>
      </c>
      <c r="N707" t="n">
        <v>1</v>
      </c>
      <c r="O707" t="n">
        <v>1</v>
      </c>
      <c r="P707" t="n">
        <v>1.02</v>
      </c>
      <c r="Q707" t="n">
        <v>1.2</v>
      </c>
      <c r="R707" t="n">
        <v>1</v>
      </c>
      <c r="S707" t="n">
        <v>5</v>
      </c>
      <c r="T707">
        <f>LN(SQRT(EXP(
SQRT(
+POWER(LN(M707),2)
+POWER(LN(N707),2)
+POWER(LN(O707),2)
+POWER(LN(P707),2)
+POWER(LN(Q707),2)
+POWER(LN(R707),2)
+POWER(LN(S707),2)
)
)))</f>
        <v>0.80992649174166365</v>
      </c>
    </row>
    <row r="708">
      <c r="A708" t="inlineStr">
        <is>
          <t>Carbon dioxide, fossil</t>
        </is>
      </c>
      <c r="B708">
        <f>unallocated!B262/I708*J708</f>
        <v>6.5703022339027592E-3</v>
      </c>
      <c r="D708" t="inlineStr">
        <is>
          <t>kilogram</t>
        </is>
      </c>
      <c r="E708" t="inlineStr">
        <is>
          <t>air::urban air close to ground</t>
        </is>
      </c>
      <c r="F708" t="inlineStr">
        <is>
          <t>biosphere</t>
        </is>
      </c>
      <c r="I708" t="n">
        <v>7400</v>
      </c>
      <c r="J708" s="11">
        <f>J683</f>
        <v>0.86821850948000745</v>
      </c>
      <c r="K708" t="n">
        <v>2</v>
      </c>
      <c r="L708" s="3">
        <f>LN(B708)</f>
        <v>-5.0251954454275856</v>
      </c>
      <c r="M708" t="n">
        <v>1</v>
      </c>
      <c r="N708" t="n">
        <v>1</v>
      </c>
      <c r="O708" t="n">
        <v>1</v>
      </c>
      <c r="P708" t="n">
        <v>1.02</v>
      </c>
      <c r="Q708" t="n">
        <v>1.2</v>
      </c>
      <c r="R708" t="n">
        <v>1</v>
      </c>
      <c r="S708" t="n">
        <v>1.05</v>
      </c>
      <c r="T708">
        <f>LN(SQRT(EXP(
SQRT(
+POWER(LN(M708),2)
+POWER(LN(N708),2)
+POWER(LN(O708),2)
+POWER(LN(P708),2)
+POWER(LN(Q708),2)
+POWER(LN(R708),2)
+POWER(LN(S708),2)
)
)))</f>
        <v>9.4886477223156879E-2</v>
      </c>
    </row>
    <row r="709">
      <c r="A709" t="inlineStr">
        <is>
          <t>Carbon dioxide, non-fossil</t>
        </is>
      </c>
      <c r="B709">
        <f>unallocated!B263/I709*J709</f>
        <v>1.0442087478881172E-2</v>
      </c>
      <c r="D709" t="inlineStr">
        <is>
          <t>kilogram</t>
        </is>
      </c>
      <c r="E709" t="inlineStr">
        <is>
          <t>air::urban air close to ground</t>
        </is>
      </c>
      <c r="F709" t="inlineStr">
        <is>
          <t>biosphere</t>
        </is>
      </c>
      <c r="I709" t="n">
        <v>7400</v>
      </c>
      <c r="J709" s="14">
        <f>J683</f>
        <v>0.86821850948000745</v>
      </c>
      <c r="K709" t="n">
        <v>2</v>
      </c>
      <c r="L709" s="3">
        <f>LN(B709)</f>
        <v>-4.5619107664305947</v>
      </c>
      <c r="M709" t="n">
        <v>1</v>
      </c>
      <c r="N709" t="n">
        <v>1</v>
      </c>
      <c r="O709" t="n">
        <v>1</v>
      </c>
      <c r="P709" t="n">
        <v>1.02</v>
      </c>
      <c r="Q709" t="n">
        <v>1.2</v>
      </c>
      <c r="R709" t="n">
        <v>1</v>
      </c>
      <c r="S709" t="n">
        <v>1.05</v>
      </c>
      <c r="T709">
        <f>LN(SQRT(EXP(
SQRT(
+POWER(LN(M709),2)
+POWER(LN(N709),2)
+POWER(LN(O709),2)
+POWER(LN(P709),2)
+POWER(LN(Q709),2)
+POWER(LN(R709),2)
+POWER(LN(S709),2)
)
)))</f>
        <v>9.4886477223156879E-2</v>
      </c>
    </row>
    <row r="710">
      <c r="A710" t="inlineStr">
        <is>
          <t>Carbon dioxide, in air</t>
        </is>
      </c>
      <c r="B710">
        <f>unallocated!B264/I710*J710</f>
        <v>5.9250046930730237E-2</v>
      </c>
      <c r="D710" t="inlineStr">
        <is>
          <t>kilogram</t>
        </is>
      </c>
      <c r="E710" t="inlineStr">
        <is>
          <t>natural resource::in air</t>
        </is>
      </c>
      <c r="F710" t="inlineStr">
        <is>
          <t>biosphere</t>
        </is>
      </c>
      <c r="H710" t="inlineStr">
        <is>
          <t>To reflect the permanent storage of non-fossil CO.</t>
        </is>
      </c>
      <c r="I710" t="n">
        <v>7400</v>
      </c>
      <c r="J710" s="14">
        <f>J683</f>
        <v>0.86821850948000745</v>
      </c>
      <c r="K710" t="n">
        <v>2</v>
      </c>
      <c r="L710" s="3">
        <f>LN(B710)</f>
        <v>-2.825988706887375</v>
      </c>
      <c r="M710" t="n">
        <v>1</v>
      </c>
      <c r="N710" t="n">
        <v>1</v>
      </c>
      <c r="O710" t="n">
        <v>1</v>
      </c>
      <c r="P710" t="n">
        <v>1.02</v>
      </c>
      <c r="Q710" t="n">
        <v>1.2</v>
      </c>
      <c r="R710" t="n">
        <v>1</v>
      </c>
      <c r="S710" t="n">
        <v>1.05</v>
      </c>
      <c r="T710">
        <f>LN(SQRT(EXP(
SQRT(
+POWER(LN(M710),2)
+POWER(LN(N710),2)
+POWER(LN(O710),2)
+POWER(LN(P710),2)
+POWER(LN(Q710),2)
+POWER(LN(R710),2)
+POWER(LN(S710),2)
)
)))</f>
        <v>9.4886477223156879E-2</v>
      </c>
    </row>
    <row r="711"/>
    <row r="712">
      <c r="A712" s="1" t="inlineStr">
        <is>
          <t>Activity</t>
        </is>
      </c>
      <c r="B712" s="1" t="inlineStr">
        <is>
          <t>municipal waste incineration, at incineration plant, with wet air pollution control, with flue gas condensation, with electricity and heat recovery, with carbon capture and storage, energy allocation</t>
        </is>
      </c>
    </row>
    <row r="713">
      <c r="A713" t="inlineStr">
        <is>
          <t>location</t>
        </is>
      </c>
      <c r="B713" t="inlineStr">
        <is>
          <t>RER</t>
        </is>
      </c>
    </row>
    <row r="714">
      <c r="A714" t="inlineStr">
        <is>
          <t>production amount</t>
        </is>
      </c>
      <c r="B714" t="n">
        <v>1</v>
      </c>
    </row>
    <row r="715">
      <c r="A715" s="2" t="inlineStr">
        <is>
          <t>source</t>
        </is>
      </c>
      <c r="B715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16">
      <c r="A716" t="inlineStr">
        <is>
          <t>reference product</t>
        </is>
      </c>
      <c r="B716" t="inlineStr">
        <is>
          <t>municipal solid waste</t>
        </is>
      </c>
    </row>
    <row r="717">
      <c r="A717" t="inlineStr">
        <is>
          <t>type</t>
        </is>
      </c>
      <c r="B717" t="inlineStr">
        <is>
          <t>process</t>
        </is>
      </c>
    </row>
    <row r="718">
      <c r="A718" t="inlineStr">
        <is>
          <t>unit</t>
        </is>
      </c>
      <c r="B718" t="inlineStr">
        <is>
          <t>kilogram</t>
        </is>
      </c>
    </row>
    <row r="719">
      <c r="A719" t="inlineStr">
        <is>
          <t>comment</t>
        </is>
      </c>
      <c r="B719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720">
      <c r="A720" s="1" t="inlineStr">
        <is>
          <t>Exchanges</t>
        </is>
      </c>
    </row>
    <row r="721">
      <c r="A721" s="7" t="inlineStr">
        <is>
          <t>name</t>
        </is>
      </c>
      <c r="B721" s="7" t="inlineStr">
        <is>
          <t>amount</t>
        </is>
      </c>
      <c r="C721" s="7" t="inlineStr">
        <is>
          <t>location</t>
        </is>
      </c>
      <c r="D721" s="7" t="inlineStr">
        <is>
          <t>unit</t>
        </is>
      </c>
      <c r="E721" s="7" t="inlineStr">
        <is>
          <t>categories</t>
        </is>
      </c>
      <c r="F721" s="7" t="inlineStr">
        <is>
          <t>type</t>
        </is>
      </c>
      <c r="G721" s="7" t="inlineStr">
        <is>
          <t>reference product</t>
        </is>
      </c>
      <c r="H721" s="7" t="inlineStr">
        <is>
          <t>comment</t>
        </is>
      </c>
      <c r="I721" s="7" t="inlineStr">
        <is>
          <t>normalization</t>
        </is>
      </c>
      <c r="J721" s="7" t="inlineStr">
        <is>
          <t>allocation</t>
        </is>
      </c>
      <c r="K721" s="7" t="inlineStr">
        <is>
          <t>uncertainty type</t>
        </is>
      </c>
      <c r="L721" s="7" t="inlineStr">
        <is>
          <t>loc</t>
        </is>
      </c>
      <c r="M721" s="1" t="inlineStr">
        <is>
          <t>u1</t>
        </is>
      </c>
      <c r="N721" s="1" t="inlineStr">
        <is>
          <t>u2</t>
        </is>
      </c>
      <c r="O721" s="1" t="inlineStr">
        <is>
          <t>u3</t>
        </is>
      </c>
      <c r="P721" s="1" t="inlineStr">
        <is>
          <t>u4</t>
        </is>
      </c>
      <c r="Q721" s="1" t="inlineStr">
        <is>
          <t>u5</t>
        </is>
      </c>
      <c r="R721" s="1" t="inlineStr">
        <is>
          <t>u6</t>
        </is>
      </c>
      <c r="S721" s="1" t="inlineStr">
        <is>
          <t>ub</t>
        </is>
      </c>
      <c r="T721" s="1" t="inlineStr">
        <is>
          <t>scale</t>
        </is>
      </c>
      <c r="U721" s="1" t="inlineStr">
        <is>
          <t>negative</t>
        </is>
      </c>
    </row>
    <row r="722">
      <c r="A722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B722" t="n">
        <v>1</v>
      </c>
      <c r="C722" t="inlineStr">
        <is>
          <t>RER</t>
        </is>
      </c>
      <c r="D722" t="inlineStr">
        <is>
          <t>kilogram</t>
        </is>
      </c>
      <c r="F722" t="inlineStr">
        <is>
          <t>production</t>
        </is>
      </c>
      <c r="G722" t="inlineStr">
        <is>
          <t>municipal solid waste</t>
        </is>
      </c>
      <c r="H722" t="inlineStr"/>
      <c r="I722" t="n">
        <v>1000</v>
      </c>
      <c r="J722" s="14">
        <f>INDEX('allocation keys'!$F$4:$H$28,MATCH('allocated (energy)'!$B$712,'allocation keys'!$B$4:$B$28,0),MATCH('allocated (energy)'!$B$716,'allocation keys'!$F$3:$H$3,0))</f>
        <v>0</v>
      </c>
      <c r="K722" t="n">
        <v>0</v>
      </c>
      <c r="M722" s="5" t="n"/>
      <c r="N722" s="5" t="n"/>
      <c r="O722" s="5" t="n"/>
      <c r="P722" s="5" t="n"/>
      <c r="Q722" s="5" t="n"/>
      <c r="R722" s="5" t="n"/>
    </row>
    <row r="723">
      <c r="A723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B723" s="6" t="n">
        <v>0</v>
      </c>
      <c r="C723" t="inlineStr">
        <is>
          <t>RER</t>
        </is>
      </c>
      <c r="D723" t="inlineStr">
        <is>
          <t>kilowatt hour</t>
        </is>
      </c>
      <c r="F723" t="inlineStr">
        <is>
          <t>technosphere</t>
        </is>
      </c>
      <c r="G723" t="inlineStr">
        <is>
          <t>electricity, medium voltage</t>
        </is>
      </c>
      <c r="H723" t="inlineStr"/>
      <c r="I723" t="n">
        <v>1000</v>
      </c>
      <c r="J723" s="11">
        <f>J722</f>
        <v>0</v>
      </c>
      <c r="K723" t="n">
        <v>0</v>
      </c>
      <c r="L723" s="3" t="n"/>
    </row>
    <row r="724">
      <c r="A724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B724" t="n">
        <v>0</v>
      </c>
      <c r="C724" t="inlineStr">
        <is>
          <t>RER</t>
        </is>
      </c>
      <c r="D724" t="inlineStr">
        <is>
          <t>megajoule</t>
        </is>
      </c>
      <c r="F724" t="inlineStr">
        <is>
          <t>technosphere</t>
        </is>
      </c>
      <c r="G724" t="inlineStr">
        <is>
          <t>heat, district or industrial, other than natural gas</t>
        </is>
      </c>
      <c r="H724" t="inlineStr"/>
      <c r="I724" t="n">
        <v>1000</v>
      </c>
      <c r="J724" s="11">
        <f>J722</f>
        <v>0</v>
      </c>
      <c r="K724" t="n">
        <v>0</v>
      </c>
      <c r="L724" s="3" t="n"/>
    </row>
    <row r="725">
      <c r="A725" t="inlineStr">
        <is>
          <t>market for diesel, low-sulfur</t>
        </is>
      </c>
      <c r="B725">
        <f>unallocated!B279/I725*J725</f>
        <v>0</v>
      </c>
      <c r="C725" t="inlineStr">
        <is>
          <t>Europe without Switzerland</t>
        </is>
      </c>
      <c r="D725" t="inlineStr">
        <is>
          <t>kilogram</t>
        </is>
      </c>
      <c r="F725" t="inlineStr">
        <is>
          <t>technosphere</t>
        </is>
      </c>
      <c r="G725" t="inlineStr">
        <is>
          <t>diesel, low-sulfur</t>
        </is>
      </c>
      <c r="H725" t="inlineStr">
        <is>
          <t>Diesel density: 0.85 kg/l</t>
        </is>
      </c>
      <c r="I725" t="n">
        <v>1000</v>
      </c>
      <c r="J725" s="11">
        <f>J722</f>
        <v>0</v>
      </c>
      <c r="K725" t="n">
        <v>0</v>
      </c>
      <c r="L725" s="3" t="n"/>
    </row>
    <row r="726">
      <c r="A726" t="inlineStr">
        <is>
          <t>market for activated carbon, granular</t>
        </is>
      </c>
      <c r="B726">
        <f>unallocated!B280/I726*J726</f>
        <v>0</v>
      </c>
      <c r="C726" t="inlineStr">
        <is>
          <t>GLO</t>
        </is>
      </c>
      <c r="D726" t="inlineStr">
        <is>
          <t>kilogram</t>
        </is>
      </c>
      <c r="F726" t="inlineStr">
        <is>
          <t>technosphere</t>
        </is>
      </c>
      <c r="G726" t="inlineStr">
        <is>
          <t>activated carbon, granular</t>
        </is>
      </c>
      <c r="I726" t="n">
        <v>1000</v>
      </c>
      <c r="J726" s="11">
        <f>J722</f>
        <v>0</v>
      </c>
      <c r="K726" t="n">
        <v>0</v>
      </c>
      <c r="L726" s="3" t="n"/>
    </row>
    <row r="727">
      <c r="A727" t="inlineStr">
        <is>
          <t>market for ammonia, anhydrous, liquid</t>
        </is>
      </c>
      <c r="B727">
        <f>unallocated!B281/I727*J727</f>
        <v>0</v>
      </c>
      <c r="C727" t="inlineStr">
        <is>
          <t>RER</t>
        </is>
      </c>
      <c r="D727" t="inlineStr">
        <is>
          <t>kilogram</t>
        </is>
      </c>
      <c r="F727" t="inlineStr">
        <is>
          <t>technosphere</t>
        </is>
      </c>
      <c r="G727" t="inlineStr">
        <is>
          <t>ammonia, anhydrous, liquid</t>
        </is>
      </c>
      <c r="H727" t="inlineStr">
        <is>
          <t>100% liquid ammonia. In original publication, it is dilluated to 23.5% in water. We discount the original value by 75%.</t>
        </is>
      </c>
      <c r="I727" t="n">
        <v>1000</v>
      </c>
      <c r="J727" s="11">
        <f>J722</f>
        <v>0</v>
      </c>
      <c r="K727" t="n">
        <v>0</v>
      </c>
      <c r="L727" s="3" t="n"/>
    </row>
    <row r="728">
      <c r="A728" t="inlineStr">
        <is>
          <t>market for tap water</t>
        </is>
      </c>
      <c r="B728">
        <f>unallocated!B282/I728*J728</f>
        <v>0</v>
      </c>
      <c r="C728" t="inlineStr">
        <is>
          <t>Europe without Switzerland</t>
        </is>
      </c>
      <c r="D728" t="inlineStr">
        <is>
          <t>kilogram</t>
        </is>
      </c>
      <c r="F728" t="inlineStr">
        <is>
          <t>technosphere</t>
        </is>
      </c>
      <c r="G728" t="inlineStr">
        <is>
          <t>tap water</t>
        </is>
      </c>
      <c r="H728" t="inlineStr">
        <is>
          <t>Used to dilute the ammonia.</t>
        </is>
      </c>
      <c r="I728" t="n">
        <v>1000</v>
      </c>
      <c r="J728" s="11">
        <f>J722</f>
        <v>0</v>
      </c>
      <c r="K728" t="n">
        <v>0</v>
      </c>
      <c r="L728" s="3" t="n"/>
    </row>
    <row r="729">
      <c r="A729" t="inlineStr">
        <is>
          <t>market for calcium carbonate, precipitated</t>
        </is>
      </c>
      <c r="B729">
        <f>unallocated!B283/I729*J729</f>
        <v>0</v>
      </c>
      <c r="C729" t="inlineStr">
        <is>
          <t>RER</t>
        </is>
      </c>
      <c r="D729" t="inlineStr">
        <is>
          <t>kilogram</t>
        </is>
      </c>
      <c r="F729" t="inlineStr">
        <is>
          <t>technosphere</t>
        </is>
      </c>
      <c r="G729" t="inlineStr">
        <is>
          <t>calcium carbonate, precipitated</t>
        </is>
      </c>
      <c r="I729" t="n">
        <v>1000</v>
      </c>
      <c r="J729" s="11">
        <f>J722</f>
        <v>0</v>
      </c>
      <c r="K729" t="n">
        <v>0</v>
      </c>
      <c r="L729" s="3" t="n"/>
    </row>
    <row r="730">
      <c r="A730" t="inlineStr">
        <is>
          <t>market for iron(III) chloride, without water, in 40% solution state</t>
        </is>
      </c>
      <c r="B730">
        <f>unallocated!B284/I730*J730</f>
        <v>0</v>
      </c>
      <c r="C730" t="inlineStr">
        <is>
          <t>GLO</t>
        </is>
      </c>
      <c r="D730" t="inlineStr">
        <is>
          <t>kilogram</t>
        </is>
      </c>
      <c r="F730" t="inlineStr">
        <is>
          <t>technosphere</t>
        </is>
      </c>
      <c r="G730" t="inlineStr">
        <is>
          <t>iron(III) chloride, without water, in 40% solution state</t>
        </is>
      </c>
      <c r="I730" t="n">
        <v>1000</v>
      </c>
      <c r="J730" s="11">
        <f>J722</f>
        <v>0</v>
      </c>
      <c r="K730" t="n">
        <v>0</v>
      </c>
      <c r="L730" s="3" t="n"/>
    </row>
    <row r="731">
      <c r="A731" t="inlineStr">
        <is>
          <t>market for lime, hydrated, packed</t>
        </is>
      </c>
      <c r="B731">
        <f>unallocated!B285/I731*J731</f>
        <v>0</v>
      </c>
      <c r="C731" t="inlineStr">
        <is>
          <t>RER</t>
        </is>
      </c>
      <c r="D731" t="inlineStr">
        <is>
          <t>kilogram</t>
        </is>
      </c>
      <c r="F731" t="inlineStr">
        <is>
          <t>technosphere</t>
        </is>
      </c>
      <c r="G731" t="inlineStr">
        <is>
          <t>lime, hydrated, packed</t>
        </is>
      </c>
      <c r="I731" t="n">
        <v>1000</v>
      </c>
      <c r="J731" s="11">
        <f>J722</f>
        <v>0</v>
      </c>
      <c r="K731" t="n">
        <v>0</v>
      </c>
      <c r="L731" s="3" t="n"/>
    </row>
    <row r="732">
      <c r="A732" t="inlineStr">
        <is>
          <t>market for sodium hydroxide, without water, in 50% solution state</t>
        </is>
      </c>
      <c r="B732">
        <f>unallocated!B286/I732*J732</f>
        <v>0</v>
      </c>
      <c r="C732" t="inlineStr">
        <is>
          <t>RER</t>
        </is>
      </c>
      <c r="D732" t="inlineStr">
        <is>
          <t>kilogram</t>
        </is>
      </c>
      <c r="F732" t="inlineStr">
        <is>
          <t>technosphere</t>
        </is>
      </c>
      <c r="G732" t="inlineStr">
        <is>
          <t>sodium hydroxide, without water, in 50% solution state</t>
        </is>
      </c>
      <c r="H732" t="inlineStr">
        <is>
          <t>50% liquid ammonia. In original publication, it is dilluated to 27% in water. We discount the original value by 50%.</t>
        </is>
      </c>
      <c r="I732" t="n">
        <v>1000</v>
      </c>
      <c r="J732" s="11">
        <f>J722</f>
        <v>0</v>
      </c>
      <c r="K732" t="n">
        <v>0</v>
      </c>
      <c r="L732" s="3" t="n"/>
    </row>
    <row r="733">
      <c r="A733" t="inlineStr">
        <is>
          <t>market for monoethanolamine</t>
        </is>
      </c>
      <c r="B733">
        <f>unallocated!B287/I733*J733</f>
        <v>0</v>
      </c>
      <c r="C733" t="inlineStr">
        <is>
          <t>GLO</t>
        </is>
      </c>
      <c r="D733" t="inlineStr">
        <is>
          <t>kilogram</t>
        </is>
      </c>
      <c r="F733" t="inlineStr">
        <is>
          <t>technosphere</t>
        </is>
      </c>
      <c r="G733" t="inlineStr">
        <is>
          <t>monoethanolamine</t>
        </is>
      </c>
      <c r="I733" t="n">
        <v>1000</v>
      </c>
      <c r="J733" s="11">
        <f>J722</f>
        <v>0</v>
      </c>
      <c r="K733" t="n">
        <v>0</v>
      </c>
      <c r="L733" s="3" t="n"/>
    </row>
    <row r="734">
      <c r="A734" t="inlineStr">
        <is>
          <t>municipal waste incineration facility construction</t>
        </is>
      </c>
      <c r="B734">
        <f>unallocated!B288/I734*J734</f>
        <v>0</v>
      </c>
      <c r="C734" t="inlineStr">
        <is>
          <t>CH</t>
        </is>
      </c>
      <c r="D734" t="inlineStr">
        <is>
          <t>unit</t>
        </is>
      </c>
      <c r="F734" t="inlineStr">
        <is>
          <t>technosphere</t>
        </is>
      </c>
      <c r="G734" t="inlineStr">
        <is>
          <t>municipal waste incineration facility</t>
        </is>
      </c>
      <c r="H734" t="inlineStr">
        <is>
          <t>Lifetime: 4'000'000 tons MSWI treated.</t>
        </is>
      </c>
      <c r="I734" t="n">
        <v>1000</v>
      </c>
      <c r="J734" s="11">
        <f>J722</f>
        <v>0</v>
      </c>
      <c r="K734" t="n">
        <v>0</v>
      </c>
      <c r="L734" s="3" t="n"/>
    </row>
    <row r="735">
      <c r="A735" t="inlineStr">
        <is>
          <t>carbon dioxide storage at wood burning power plant 20 MW post, pipeline 200km, storage 1000m</t>
        </is>
      </c>
      <c r="B735">
        <f>unallocated!B289/I735*J735</f>
        <v>0</v>
      </c>
      <c r="C735" t="inlineStr">
        <is>
          <t>RER</t>
        </is>
      </c>
      <c r="D735" t="inlineStr">
        <is>
          <t>kilogram</t>
        </is>
      </c>
      <c r="F735" t="inlineStr">
        <is>
          <t>technosphere</t>
        </is>
      </c>
      <c r="G735" t="inlineStr">
        <is>
          <t>carbon dioxide storage at wood burning power plant 20 MW post, pipeline 200km, storage 1000m</t>
        </is>
      </c>
      <c r="I735" t="n">
        <v>1000</v>
      </c>
      <c r="J735" s="11">
        <f>J722</f>
        <v>0</v>
      </c>
      <c r="K735" t="n">
        <v>0</v>
      </c>
      <c r="L735" s="3" t="n"/>
    </row>
    <row r="736">
      <c r="A736" t="inlineStr">
        <is>
          <t>Water, cooling, unspecified natural origin</t>
        </is>
      </c>
      <c r="B736">
        <f>unallocated!B290/I736*J736</f>
        <v>0</v>
      </c>
      <c r="D736" t="inlineStr">
        <is>
          <t>cubic meter</t>
        </is>
      </c>
      <c r="E736" t="inlineStr">
        <is>
          <t>natural resource::in water</t>
        </is>
      </c>
      <c r="F736" t="inlineStr">
        <is>
          <t>biosphere</t>
        </is>
      </c>
      <c r="I736" t="n">
        <v>1000</v>
      </c>
      <c r="J736" s="11">
        <f>J722</f>
        <v>0</v>
      </c>
      <c r="K736" t="n">
        <v>0</v>
      </c>
      <c r="L736" s="3" t="n"/>
    </row>
    <row r="737">
      <c r="A737" t="inlineStr">
        <is>
          <t>Sulfur dioxide</t>
        </is>
      </c>
      <c r="B737">
        <f>unallocated!B291/I737*J737</f>
        <v>0</v>
      </c>
      <c r="D737" t="inlineStr">
        <is>
          <t>kilogram</t>
        </is>
      </c>
      <c r="E737" t="inlineStr">
        <is>
          <t>air::urban air close to ground</t>
        </is>
      </c>
      <c r="F737" t="inlineStr">
        <is>
          <t>biosphere</t>
        </is>
      </c>
      <c r="I737" t="n">
        <v>1000</v>
      </c>
      <c r="J737" s="11">
        <f>J722</f>
        <v>0</v>
      </c>
      <c r="K737" t="n">
        <v>0</v>
      </c>
      <c r="L737" s="3" t="n"/>
    </row>
    <row r="738">
      <c r="A738" t="inlineStr">
        <is>
          <t>Hydrochloric acid</t>
        </is>
      </c>
      <c r="B738">
        <f>unallocated!B292/I738*J738</f>
        <v>0</v>
      </c>
      <c r="D738" t="inlineStr">
        <is>
          <t>kilogram</t>
        </is>
      </c>
      <c r="E738" t="inlineStr">
        <is>
          <t>air</t>
        </is>
      </c>
      <c r="F738" t="inlineStr">
        <is>
          <t>biosphere</t>
        </is>
      </c>
      <c r="I738" t="n">
        <v>1000</v>
      </c>
      <c r="J738" s="11">
        <f>J722</f>
        <v>0</v>
      </c>
      <c r="K738" t="n">
        <v>0</v>
      </c>
      <c r="L738" s="3" t="n"/>
    </row>
    <row r="739">
      <c r="A739" t="inlineStr">
        <is>
          <t>Nitrogen oxides</t>
        </is>
      </c>
      <c r="B739">
        <f>unallocated!B293/I739*J739</f>
        <v>0</v>
      </c>
      <c r="D739" t="inlineStr">
        <is>
          <t>kilogram</t>
        </is>
      </c>
      <c r="E739" t="inlineStr">
        <is>
          <t>air::urban air close to ground</t>
        </is>
      </c>
      <c r="F739" t="inlineStr">
        <is>
          <t>biosphere</t>
        </is>
      </c>
      <c r="I739" t="n">
        <v>1000</v>
      </c>
      <c r="J739" s="11">
        <f>J722</f>
        <v>0</v>
      </c>
      <c r="K739" t="n">
        <v>0</v>
      </c>
      <c r="L739" s="3" t="n"/>
    </row>
    <row r="740">
      <c r="A740" t="inlineStr">
        <is>
          <t>Ammonia</t>
        </is>
      </c>
      <c r="B740">
        <f>unallocated!B294/I740*J740</f>
        <v>0</v>
      </c>
      <c r="D740" t="inlineStr">
        <is>
          <t>kilogram</t>
        </is>
      </c>
      <c r="E740" t="inlineStr">
        <is>
          <t>air::urban air close to ground</t>
        </is>
      </c>
      <c r="F740" t="inlineStr">
        <is>
          <t>biosphere</t>
        </is>
      </c>
      <c r="I740" t="n">
        <v>1000</v>
      </c>
      <c r="J740" s="11">
        <f>J722</f>
        <v>0</v>
      </c>
      <c r="K740" t="n">
        <v>0</v>
      </c>
      <c r="L740" s="3" t="n"/>
    </row>
    <row r="741">
      <c r="A741" t="inlineStr">
        <is>
          <t>Particulate Matter, &lt; 2.5 um</t>
        </is>
      </c>
      <c r="B741">
        <f>unallocated!B295/I741*J741</f>
        <v>0</v>
      </c>
      <c r="D741" t="inlineStr">
        <is>
          <t>kilogram</t>
        </is>
      </c>
      <c r="E741" t="inlineStr">
        <is>
          <t>air::urban air close to ground</t>
        </is>
      </c>
      <c r="F741" t="inlineStr">
        <is>
          <t>biosphere</t>
        </is>
      </c>
      <c r="I741" t="n">
        <v>1000</v>
      </c>
      <c r="J741" s="11">
        <f>J722</f>
        <v>0</v>
      </c>
      <c r="K741" t="n">
        <v>0</v>
      </c>
      <c r="L741" s="3" t="n"/>
    </row>
    <row r="742">
      <c r="A742" t="inlineStr">
        <is>
          <t>Mercury II</t>
        </is>
      </c>
      <c r="B742">
        <f>unallocated!B296/I742*J742</f>
        <v>0</v>
      </c>
      <c r="D742" t="inlineStr">
        <is>
          <t>kilogram</t>
        </is>
      </c>
      <c r="E742" t="inlineStr">
        <is>
          <t>air::urban air close to ground</t>
        </is>
      </c>
      <c r="F742" t="inlineStr">
        <is>
          <t>biosphere</t>
        </is>
      </c>
      <c r="I742" t="n">
        <v>1000</v>
      </c>
      <c r="J742" s="11">
        <f>J722</f>
        <v>0</v>
      </c>
      <c r="K742" t="n">
        <v>0</v>
      </c>
      <c r="L742" s="3" t="n"/>
    </row>
    <row r="743">
      <c r="A743" t="inlineStr">
        <is>
          <t>Lead II</t>
        </is>
      </c>
      <c r="B743">
        <f>unallocated!B297/I743*J743</f>
        <v>0</v>
      </c>
      <c r="D743" t="inlineStr">
        <is>
          <t>kilogram</t>
        </is>
      </c>
      <c r="E743" t="inlineStr">
        <is>
          <t>air::urban air close to ground</t>
        </is>
      </c>
      <c r="F743" t="inlineStr">
        <is>
          <t>biosphere</t>
        </is>
      </c>
      <c r="I743" t="n">
        <v>1000</v>
      </c>
      <c r="J743" s="11">
        <f>J722</f>
        <v>0</v>
      </c>
      <c r="K743" t="n">
        <v>0</v>
      </c>
      <c r="L743" s="3" t="n"/>
    </row>
    <row r="744">
      <c r="A744" t="inlineStr">
        <is>
          <t>Cadmium II</t>
        </is>
      </c>
      <c r="B744">
        <f>unallocated!B298/I744*J744</f>
        <v>0</v>
      </c>
      <c r="D744" t="inlineStr">
        <is>
          <t>kilogram</t>
        </is>
      </c>
      <c r="E744" t="inlineStr">
        <is>
          <t>air::urban air close to ground</t>
        </is>
      </c>
      <c r="F744" t="inlineStr">
        <is>
          <t>biosphere</t>
        </is>
      </c>
      <c r="I744" t="n">
        <v>1000</v>
      </c>
      <c r="J744" s="11">
        <f>J722</f>
        <v>0</v>
      </c>
      <c r="K744" t="n">
        <v>0</v>
      </c>
      <c r="L744" s="3" t="n"/>
    </row>
    <row r="745">
      <c r="A745" t="inlineStr">
        <is>
          <t>Arsenic ion</t>
        </is>
      </c>
      <c r="B745">
        <f>unallocated!B299/I745*J745</f>
        <v>0</v>
      </c>
      <c r="D745" t="inlineStr">
        <is>
          <t>kilogram</t>
        </is>
      </c>
      <c r="E745" t="inlineStr">
        <is>
          <t>air::urban air close to ground</t>
        </is>
      </c>
      <c r="F745" t="inlineStr">
        <is>
          <t>biosphere</t>
        </is>
      </c>
      <c r="I745" t="n">
        <v>1000</v>
      </c>
      <c r="J745" s="11">
        <f>J722</f>
        <v>0</v>
      </c>
      <c r="K745" t="n">
        <v>0</v>
      </c>
      <c r="L745" s="3" t="n"/>
    </row>
    <row r="746">
      <c r="A746" t="inlineStr">
        <is>
          <t>Dioxins, measured as 2,3,7,8-tetrachlorodibenzo-p-dioxin</t>
        </is>
      </c>
      <c r="B746">
        <f>unallocated!B300/I746*J746</f>
        <v>0</v>
      </c>
      <c r="D746" t="inlineStr">
        <is>
          <t>kilogram</t>
        </is>
      </c>
      <c r="E746" t="inlineStr">
        <is>
          <t>air::urban air close to ground</t>
        </is>
      </c>
      <c r="F746" t="inlineStr">
        <is>
          <t>biosphere</t>
        </is>
      </c>
      <c r="I746" t="n">
        <v>1000</v>
      </c>
      <c r="J746" s="11">
        <f>J722</f>
        <v>0</v>
      </c>
      <c r="K746" t="n">
        <v>0</v>
      </c>
      <c r="L746" s="3" t="n"/>
    </row>
    <row r="747">
      <c r="A747" t="inlineStr">
        <is>
          <t>Carbon dioxide, fossil</t>
        </is>
      </c>
      <c r="B747">
        <f>unallocated!B301/I747*J747</f>
        <v>0</v>
      </c>
      <c r="D747" t="inlineStr">
        <is>
          <t>kilogram</t>
        </is>
      </c>
      <c r="E747" t="inlineStr">
        <is>
          <t>air::urban air close to ground</t>
        </is>
      </c>
      <c r="F747" t="inlineStr">
        <is>
          <t>biosphere</t>
        </is>
      </c>
      <c r="I747" t="n">
        <v>1000</v>
      </c>
      <c r="J747" s="11">
        <f>J722</f>
        <v>0</v>
      </c>
      <c r="K747" t="n">
        <v>0</v>
      </c>
      <c r="L747" s="3" t="n"/>
    </row>
    <row r="748">
      <c r="A748" t="inlineStr">
        <is>
          <t>Carbon dioxide, non-fossil</t>
        </is>
      </c>
      <c r="B748">
        <f>unallocated!B302/I748*J748</f>
        <v>0</v>
      </c>
      <c r="D748" t="inlineStr">
        <is>
          <t>kilogram</t>
        </is>
      </c>
      <c r="E748" t="inlineStr">
        <is>
          <t>air::urban air close to ground</t>
        </is>
      </c>
      <c r="F748" t="inlineStr">
        <is>
          <t>biosphere</t>
        </is>
      </c>
      <c r="I748" t="n">
        <v>1000</v>
      </c>
      <c r="J748" s="14">
        <f>J722</f>
        <v>0</v>
      </c>
      <c r="K748" t="n">
        <v>0</v>
      </c>
      <c r="L748" s="3" t="n"/>
    </row>
    <row r="749">
      <c r="A749" t="inlineStr">
        <is>
          <t>Carbon dioxide, in air</t>
        </is>
      </c>
      <c r="B749">
        <f>unallocated!B303/I749*J749</f>
        <v>0</v>
      </c>
      <c r="D749" t="inlineStr">
        <is>
          <t>kilogram</t>
        </is>
      </c>
      <c r="E749" t="inlineStr">
        <is>
          <t>natural resource::in air</t>
        </is>
      </c>
      <c r="F749" t="inlineStr">
        <is>
          <t>biosphere</t>
        </is>
      </c>
      <c r="H749" t="inlineStr">
        <is>
          <t>To reflect the permanent storage of non-fossil CO.</t>
        </is>
      </c>
      <c r="I749" t="n">
        <v>1000</v>
      </c>
      <c r="J749" s="14">
        <f>J722</f>
        <v>0</v>
      </c>
      <c r="K749" t="n">
        <v>0</v>
      </c>
      <c r="L749" s="3" t="n"/>
    </row>
    <row r="750"/>
    <row r="751">
      <c r="A751" s="1" t="inlineStr">
        <is>
          <t>Activity</t>
        </is>
      </c>
      <c r="B751" s="1" t="inlineStr">
        <is>
          <t>municipal waste incineration, at incineration plant, with wet air pollution control, with flue gas condensation, with electricity and heat recovery, with carbon capture and storage, energy allocation</t>
        </is>
      </c>
    </row>
    <row r="752">
      <c r="A752" t="inlineStr">
        <is>
          <t>location</t>
        </is>
      </c>
      <c r="B752" t="inlineStr">
        <is>
          <t>RER</t>
        </is>
      </c>
    </row>
    <row r="753">
      <c r="A753" t="inlineStr">
        <is>
          <t>production amount</t>
        </is>
      </c>
      <c r="B753" t="n">
        <v>1</v>
      </c>
    </row>
    <row r="754">
      <c r="A754" s="2" t="inlineStr">
        <is>
          <t>source</t>
        </is>
      </c>
      <c r="B754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55">
      <c r="A755" t="inlineStr">
        <is>
          <t>reference product</t>
        </is>
      </c>
      <c r="B755" t="inlineStr">
        <is>
          <t>electricity, medium voltage</t>
        </is>
      </c>
    </row>
    <row r="756">
      <c r="A756" t="inlineStr">
        <is>
          <t>type</t>
        </is>
      </c>
      <c r="B756" t="inlineStr">
        <is>
          <t>process</t>
        </is>
      </c>
    </row>
    <row r="757">
      <c r="A757" t="inlineStr">
        <is>
          <t>unit</t>
        </is>
      </c>
      <c r="B757" t="inlineStr">
        <is>
          <t>kilowatt hour</t>
        </is>
      </c>
    </row>
    <row r="758">
      <c r="A758" t="inlineStr">
        <is>
          <t>comment</t>
        </is>
      </c>
      <c r="B758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759">
      <c r="A759" s="1" t="inlineStr">
        <is>
          <t>Exchanges</t>
        </is>
      </c>
    </row>
    <row r="760">
      <c r="A760" s="7" t="inlineStr">
        <is>
          <t>name</t>
        </is>
      </c>
      <c r="B760" s="7" t="inlineStr">
        <is>
          <t>amount</t>
        </is>
      </c>
      <c r="C760" s="7" t="inlineStr">
        <is>
          <t>location</t>
        </is>
      </c>
      <c r="D760" s="7" t="inlineStr">
        <is>
          <t>unit</t>
        </is>
      </c>
      <c r="E760" s="7" t="inlineStr">
        <is>
          <t>categories</t>
        </is>
      </c>
      <c r="F760" s="7" t="inlineStr">
        <is>
          <t>type</t>
        </is>
      </c>
      <c r="G760" s="7" t="inlineStr">
        <is>
          <t>reference product</t>
        </is>
      </c>
      <c r="H760" s="7" t="inlineStr">
        <is>
          <t>comment</t>
        </is>
      </c>
      <c r="I760" s="7" t="inlineStr">
        <is>
          <t>normalization</t>
        </is>
      </c>
      <c r="J760" s="7" t="inlineStr">
        <is>
          <t>allocation</t>
        </is>
      </c>
      <c r="K760" s="7" t="inlineStr">
        <is>
          <t>uncertainty type</t>
        </is>
      </c>
      <c r="L760" s="7" t="inlineStr">
        <is>
          <t>loc</t>
        </is>
      </c>
      <c r="M760" s="1" t="inlineStr">
        <is>
          <t>u1</t>
        </is>
      </c>
      <c r="N760" s="1" t="inlineStr">
        <is>
          <t>u2</t>
        </is>
      </c>
      <c r="O760" s="1" t="inlineStr">
        <is>
          <t>u3</t>
        </is>
      </c>
      <c r="P760" s="1" t="inlineStr">
        <is>
          <t>u4</t>
        </is>
      </c>
      <c r="Q760" s="1" t="inlineStr">
        <is>
          <t>u5</t>
        </is>
      </c>
      <c r="R760" s="1" t="inlineStr">
        <is>
          <t>u6</t>
        </is>
      </c>
      <c r="S760" s="1" t="inlineStr">
        <is>
          <t>ub</t>
        </is>
      </c>
      <c r="T760" s="1" t="inlineStr">
        <is>
          <t>scale</t>
        </is>
      </c>
      <c r="U760" s="1" t="inlineStr">
        <is>
          <t>negative</t>
        </is>
      </c>
    </row>
    <row r="761">
      <c r="A761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B761" t="n">
        <v>0</v>
      </c>
      <c r="C761" t="inlineStr">
        <is>
          <t>RER</t>
        </is>
      </c>
      <c r="D761" t="inlineStr">
        <is>
          <t>kilogram</t>
        </is>
      </c>
      <c r="F761" t="inlineStr">
        <is>
          <t>technosphere</t>
        </is>
      </c>
      <c r="G761" t="inlineStr">
        <is>
          <t>municipal solid waste</t>
        </is>
      </c>
      <c r="H761" t="inlineStr"/>
      <c r="I761" s="6" t="n">
        <v>317</v>
      </c>
      <c r="J761" s="14">
        <f>INDEX('allocation keys'!$F$4:$H$28,MATCH('allocated (energy)'!$B$751,'allocation keys'!$B$4:$B$28,0),MATCH('allocated (energy)'!$B$755,'allocation keys'!$F$3:$H$3,0))</f>
        <v>0.13361120217299677</v>
      </c>
      <c r="K761" t="n">
        <v>0</v>
      </c>
      <c r="M761" s="5" t="n"/>
      <c r="N761" s="5" t="n"/>
      <c r="O761" s="5" t="n"/>
      <c r="P761" s="5" t="n"/>
      <c r="Q761" s="5" t="n"/>
      <c r="R761" s="5" t="n"/>
    </row>
    <row r="762">
      <c r="A762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B762" s="6" t="n">
        <v>1</v>
      </c>
      <c r="C762" t="inlineStr">
        <is>
          <t>RER</t>
        </is>
      </c>
      <c r="D762" t="inlineStr">
        <is>
          <t>kilowatt hour</t>
        </is>
      </c>
      <c r="F762" t="inlineStr">
        <is>
          <t>production</t>
        </is>
      </c>
      <c r="G762" t="inlineStr">
        <is>
          <t>electricity, medium voltage</t>
        </is>
      </c>
      <c r="H762" t="inlineStr"/>
      <c r="I762" s="6" t="n">
        <v>317</v>
      </c>
      <c r="J762" s="11">
        <f>J761</f>
        <v>0.13361120217299677</v>
      </c>
      <c r="K762" t="n">
        <v>0</v>
      </c>
      <c r="L762" s="3" t="n"/>
    </row>
    <row r="763">
      <c r="A763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B763" t="n">
        <v>0</v>
      </c>
      <c r="C763" t="inlineStr">
        <is>
          <t>RER</t>
        </is>
      </c>
      <c r="D763" t="inlineStr">
        <is>
          <t>megajoule</t>
        </is>
      </c>
      <c r="F763" t="inlineStr">
        <is>
          <t>technosphere</t>
        </is>
      </c>
      <c r="G763" t="inlineStr">
        <is>
          <t>heat, district or industrial, other than natural gas</t>
        </is>
      </c>
      <c r="H763" t="inlineStr"/>
      <c r="I763" s="6" t="n">
        <v>317</v>
      </c>
      <c r="J763" s="11">
        <f>J761</f>
        <v>0.13361120217299677</v>
      </c>
      <c r="K763" t="n">
        <v>0</v>
      </c>
      <c r="L763" s="3" t="n"/>
    </row>
    <row r="764">
      <c r="A764" t="inlineStr">
        <is>
          <t>market for diesel, low-sulfur</t>
        </is>
      </c>
      <c r="B764">
        <f>unallocated!B279/I764*J764</f>
        <v>3.5826347585819324E-5</v>
      </c>
      <c r="C764" t="inlineStr">
        <is>
          <t>Europe without Switzerland</t>
        </is>
      </c>
      <c r="D764" t="inlineStr">
        <is>
          <t>kilogram</t>
        </is>
      </c>
      <c r="F764" t="inlineStr">
        <is>
          <t>technosphere</t>
        </is>
      </c>
      <c r="G764" t="inlineStr">
        <is>
          <t>diesel, low-sulfur</t>
        </is>
      </c>
      <c r="H764" t="inlineStr">
        <is>
          <t>Diesel density: 0.85 kg/l</t>
        </is>
      </c>
      <c r="I764" s="6" t="n">
        <v>317</v>
      </c>
      <c r="J764" s="11">
        <f>J761</f>
        <v>0.13361120217299677</v>
      </c>
      <c r="K764" t="n">
        <v>2</v>
      </c>
      <c r="L764" s="3">
        <f>LN(B764)</f>
        <v>-10.236826969163515</v>
      </c>
      <c r="M764" t="n">
        <v>1</v>
      </c>
      <c r="N764" t="n">
        <v>1</v>
      </c>
      <c r="O764" t="n">
        <v>1</v>
      </c>
      <c r="P764" t="n">
        <v>1.02</v>
      </c>
      <c r="Q764" t="n">
        <v>1.2</v>
      </c>
      <c r="R764" t="n">
        <v>1</v>
      </c>
      <c r="S764" t="n">
        <v>1.05</v>
      </c>
      <c r="T764">
        <f>LN(SQRT(EXP(
SQRT(
+POWER(LN(M764),2)
+POWER(LN(N764),2)
+POWER(LN(O764),2)
+POWER(LN(P764),2)
+POWER(LN(Q764),2)
+POWER(LN(R764),2)
+POWER(LN(S764),2)
)
)))</f>
        <v>9.4886477223156879E-2</v>
      </c>
    </row>
    <row r="765">
      <c r="A765" t="inlineStr">
        <is>
          <t>market for activated carbon, granular</t>
        </is>
      </c>
      <c r="B765">
        <f>unallocated!B280/I765*J765</f>
        <v>1.6859457687444388E-4</v>
      </c>
      <c r="C765" t="inlineStr">
        <is>
          <t>GLO</t>
        </is>
      </c>
      <c r="D765" t="inlineStr">
        <is>
          <t>kilogram</t>
        </is>
      </c>
      <c r="F765" t="inlineStr">
        <is>
          <t>technosphere</t>
        </is>
      </c>
      <c r="G765" t="inlineStr">
        <is>
          <t>activated carbon, granular</t>
        </is>
      </c>
      <c r="I765" s="6" t="n">
        <v>317</v>
      </c>
      <c r="J765" s="11">
        <f>J761</f>
        <v>0.13361120217299677</v>
      </c>
      <c r="K765" t="n">
        <v>2</v>
      </c>
      <c r="L765" s="3">
        <f>LN(B765)</f>
        <v>-8.6880136785458504</v>
      </c>
      <c r="M765" t="n">
        <v>1</v>
      </c>
      <c r="N765" t="n">
        <v>1</v>
      </c>
      <c r="O765" t="n">
        <v>1</v>
      </c>
      <c r="P765" t="n">
        <v>1.02</v>
      </c>
      <c r="Q765" t="n">
        <v>1.2</v>
      </c>
      <c r="R765" t="n">
        <v>1</v>
      </c>
      <c r="S765" t="n">
        <v>1.05</v>
      </c>
      <c r="T765">
        <f>LN(SQRT(EXP(
SQRT(
+POWER(LN(M765),2)
+POWER(LN(N765),2)
+POWER(LN(O765),2)
+POWER(LN(P765),2)
+POWER(LN(Q765),2)
+POWER(LN(R765),2)
+POWER(LN(S765),2)
)
)))</f>
        <v>9.4886477223156879E-2</v>
      </c>
    </row>
    <row r="766">
      <c r="A766" t="inlineStr">
        <is>
          <t>market for ammonia, anhydrous, liquid</t>
        </is>
      </c>
      <c r="B766">
        <f>unallocated!B281/I766*J766</f>
        <v>4.1305671334238746E-4</v>
      </c>
      <c r="C766" t="inlineStr">
        <is>
          <t>RER</t>
        </is>
      </c>
      <c r="D766" t="inlineStr">
        <is>
          <t>kilogram</t>
        </is>
      </c>
      <c r="F766" t="inlineStr">
        <is>
          <t>technosphere</t>
        </is>
      </c>
      <c r="G766" t="inlineStr">
        <is>
          <t>ammonia, anhydrous, liquid</t>
        </is>
      </c>
      <c r="H766" t="inlineStr">
        <is>
          <t>100% liquid ammonia. In original publication, it is dilluated to 23.5% in water. We discount the original value by 75%.</t>
        </is>
      </c>
      <c r="I766" s="6" t="n">
        <v>317</v>
      </c>
      <c r="J766" s="11">
        <f>J761</f>
        <v>0.13361120217299677</v>
      </c>
      <c r="K766" t="n">
        <v>2</v>
      </c>
      <c r="L766" s="3">
        <f>LN(B766)</f>
        <v>-7.7919256539892139</v>
      </c>
      <c r="M766" t="n">
        <v>1</v>
      </c>
      <c r="N766" t="n">
        <v>1</v>
      </c>
      <c r="O766" t="n">
        <v>1</v>
      </c>
      <c r="P766" t="n">
        <v>1.02</v>
      </c>
      <c r="Q766" t="n">
        <v>1.2</v>
      </c>
      <c r="R766" t="n">
        <v>1</v>
      </c>
      <c r="S766" t="n">
        <v>1.05</v>
      </c>
      <c r="T766">
        <f>LN(SQRT(EXP(
SQRT(
+POWER(LN(M766),2)
+POWER(LN(N766),2)
+POWER(LN(O766),2)
+POWER(LN(P766),2)
+POWER(LN(Q766),2)
+POWER(LN(R766),2)
+POWER(LN(S766),2)
)
)))</f>
        <v>9.4886477223156879E-2</v>
      </c>
    </row>
    <row r="767">
      <c r="A767" t="inlineStr">
        <is>
          <t>market for tap water</t>
        </is>
      </c>
      <c r="B767">
        <f>unallocated!B282/I767*J767</f>
        <v>1.2728890554020511E-3</v>
      </c>
      <c r="C767" t="inlineStr">
        <is>
          <t>Europe without Switzerland</t>
        </is>
      </c>
      <c r="D767" t="inlineStr">
        <is>
          <t>kilogram</t>
        </is>
      </c>
      <c r="F767" t="inlineStr">
        <is>
          <t>technosphere</t>
        </is>
      </c>
      <c r="G767" t="inlineStr">
        <is>
          <t>tap water</t>
        </is>
      </c>
      <c r="H767" t="inlineStr">
        <is>
          <t>Used to dilute the ammonia.</t>
        </is>
      </c>
      <c r="I767" s="6" t="n">
        <v>317</v>
      </c>
      <c r="J767" s="11">
        <f>J761</f>
        <v>0.13361120217299677</v>
      </c>
      <c r="K767" t="n">
        <v>2</v>
      </c>
      <c r="L767" s="3">
        <f>LN(B767)</f>
        <v>-6.6664661152849165</v>
      </c>
      <c r="M767" t="n">
        <v>1</v>
      </c>
      <c r="N767" t="n">
        <v>1</v>
      </c>
      <c r="O767" t="n">
        <v>1</v>
      </c>
      <c r="P767" t="n">
        <v>1.02</v>
      </c>
      <c r="Q767" t="n">
        <v>1.2</v>
      </c>
      <c r="R767" t="n">
        <v>1</v>
      </c>
      <c r="S767" t="n">
        <v>1.05</v>
      </c>
      <c r="T767">
        <f>LN(SQRT(EXP(
SQRT(
+POWER(LN(M767),2)
+POWER(LN(N767),2)
+POWER(LN(O767),2)
+POWER(LN(P767),2)
+POWER(LN(Q767),2)
+POWER(LN(R767),2)
+POWER(LN(S767),2)
)
)))</f>
        <v>9.4886477223156879E-2</v>
      </c>
    </row>
    <row r="768">
      <c r="A768" t="inlineStr">
        <is>
          <t>market for calcium carbonate, precipitated</t>
        </is>
      </c>
      <c r="B768">
        <f>unallocated!B283/I768*J768</f>
        <v>2.950405095302768E-3</v>
      </c>
      <c r="C768" t="inlineStr">
        <is>
          <t>RER</t>
        </is>
      </c>
      <c r="D768" t="inlineStr">
        <is>
          <t>kilogram</t>
        </is>
      </c>
      <c r="F768" t="inlineStr">
        <is>
          <t>technosphere</t>
        </is>
      </c>
      <c r="G768" t="inlineStr">
        <is>
          <t>calcium carbonate, precipitated</t>
        </is>
      </c>
      <c r="I768" s="6" t="n">
        <v>317</v>
      </c>
      <c r="J768" s="11">
        <f>J761</f>
        <v>0.13361120217299677</v>
      </c>
      <c r="K768" t="n">
        <v>0</v>
      </c>
      <c r="L768" s="3" t="n"/>
    </row>
    <row r="769">
      <c r="A769" t="inlineStr">
        <is>
          <t>market for iron(III) chloride, without water, in 40% solution state</t>
        </is>
      </c>
      <c r="B769">
        <f>unallocated!B284/I769*J769</f>
        <v>2.1074322109305485E-5</v>
      </c>
      <c r="C769" t="inlineStr">
        <is>
          <t>GLO</t>
        </is>
      </c>
      <c r="D769" t="inlineStr">
        <is>
          <t>kilogram</t>
        </is>
      </c>
      <c r="F769" t="inlineStr">
        <is>
          <t>technosphere</t>
        </is>
      </c>
      <c r="G769" t="inlineStr">
        <is>
          <t>iron(III) chloride, without water, in 40% solution state</t>
        </is>
      </c>
      <c r="I769" s="6" t="n">
        <v>317</v>
      </c>
      <c r="J769" s="11">
        <f>J761</f>
        <v>0.13361120217299677</v>
      </c>
      <c r="K769" t="n">
        <v>0</v>
      </c>
      <c r="L769" s="3" t="n"/>
    </row>
    <row r="770">
      <c r="A770" t="inlineStr">
        <is>
          <t>market for lime, hydrated, packed</t>
        </is>
      </c>
      <c r="B770">
        <f>unallocated!B285/I770*J770</f>
        <v>0</v>
      </c>
      <c r="C770" t="inlineStr">
        <is>
          <t>RER</t>
        </is>
      </c>
      <c r="D770" t="inlineStr">
        <is>
          <t>kilogram</t>
        </is>
      </c>
      <c r="F770" t="inlineStr">
        <is>
          <t>technosphere</t>
        </is>
      </c>
      <c r="G770" t="inlineStr">
        <is>
          <t>lime, hydrated, packed</t>
        </is>
      </c>
      <c r="I770" s="6" t="n">
        <v>317</v>
      </c>
      <c r="J770" s="11">
        <f>J761</f>
        <v>0.13361120217299677</v>
      </c>
      <c r="K770" t="n">
        <v>0</v>
      </c>
      <c r="L770" s="3" t="n"/>
    </row>
    <row r="771">
      <c r="A771" t="inlineStr">
        <is>
          <t>market for sodium hydroxide, without water, in 50% solution state</t>
        </is>
      </c>
      <c r="B771">
        <f>unallocated!B286/I771*J771</f>
        <v>2.1074322109305483E-4</v>
      </c>
      <c r="C771" t="inlineStr">
        <is>
          <t>RER</t>
        </is>
      </c>
      <c r="D771" t="inlineStr">
        <is>
          <t>kilogram</t>
        </is>
      </c>
      <c r="F771" t="inlineStr">
        <is>
          <t>technosphere</t>
        </is>
      </c>
      <c r="G771" t="inlineStr">
        <is>
          <t>sodium hydroxide, without water, in 50% solution state</t>
        </is>
      </c>
      <c r="H771" t="inlineStr">
        <is>
          <t>50% liquid ammonia. In original publication, it is dilluated to 27% in water. We discount the original value by 50%.</t>
        </is>
      </c>
      <c r="I771" s="6" t="n">
        <v>317</v>
      </c>
      <c r="J771" s="11">
        <f>J761</f>
        <v>0.13361120217299677</v>
      </c>
      <c r="K771" t="n">
        <v>0</v>
      </c>
      <c r="L771" s="3" t="n"/>
    </row>
    <row r="772">
      <c r="A772" t="inlineStr">
        <is>
          <t>market for monoethanolamine</t>
        </is>
      </c>
      <c r="B772">
        <f>unallocated!B287/I772*J772</f>
        <v>1.6859457687444387E-3</v>
      </c>
      <c r="C772" t="inlineStr">
        <is>
          <t>GLO</t>
        </is>
      </c>
      <c r="D772" t="inlineStr">
        <is>
          <t>kilogram</t>
        </is>
      </c>
      <c r="F772" t="inlineStr">
        <is>
          <t>technosphere</t>
        </is>
      </c>
      <c r="G772" t="inlineStr">
        <is>
          <t>monoethanolamine</t>
        </is>
      </c>
      <c r="I772" s="6" t="n">
        <v>317</v>
      </c>
      <c r="J772" s="11">
        <f>J761</f>
        <v>0.13361120217299677</v>
      </c>
      <c r="K772" t="n">
        <v>0</v>
      </c>
      <c r="L772" s="3" t="n"/>
    </row>
    <row r="773">
      <c r="A773" t="inlineStr">
        <is>
          <t>municipal waste incineration facility construction</t>
        </is>
      </c>
      <c r="B773">
        <f>unallocated!B288/I773*J773</f>
        <v>1.0537161054652741E-10</v>
      </c>
      <c r="C773" t="inlineStr">
        <is>
          <t>CH</t>
        </is>
      </c>
      <c r="D773" t="inlineStr">
        <is>
          <t>unit</t>
        </is>
      </c>
      <c r="F773" t="inlineStr">
        <is>
          <t>technosphere</t>
        </is>
      </c>
      <c r="G773" t="inlineStr">
        <is>
          <t>municipal waste incineration facility</t>
        </is>
      </c>
      <c r="H773" t="inlineStr">
        <is>
          <t>Lifetime: 4'000'000 tons MSWI treated.</t>
        </is>
      </c>
      <c r="I773" s="6" t="n">
        <v>317</v>
      </c>
      <c r="J773" s="11">
        <f>J761</f>
        <v>0.13361120217299677</v>
      </c>
      <c r="K773" t="n">
        <v>2</v>
      </c>
      <c r="L773" s="3">
        <f>LN(B773)</f>
        <v>-22.973527865755859</v>
      </c>
      <c r="M773" t="n">
        <v>1</v>
      </c>
      <c r="N773" t="n">
        <v>1</v>
      </c>
      <c r="O773" t="n">
        <v>1</v>
      </c>
      <c r="P773" t="n">
        <v>1.02</v>
      </c>
      <c r="Q773" t="n">
        <v>1.2</v>
      </c>
      <c r="R773" t="n">
        <v>1</v>
      </c>
      <c r="S773" t="n">
        <v>3</v>
      </c>
      <c r="T773">
        <f>LN(SQRT(EXP(
SQRT(
+POWER(LN(M773),2)
+POWER(LN(N773),2)
+POWER(LN(O773),2)
+POWER(LN(P773),2)
+POWER(LN(Q773),2)
+POWER(LN(R773),2)
+POWER(LN(S773),2)
)
)))</f>
        <v>0.5569071410325479</v>
      </c>
    </row>
    <row r="774">
      <c r="A774" t="inlineStr">
        <is>
          <t>carbon dioxide storage at wood burning power plant 20 MW post, pipeline 200km, storage 1000m</t>
        </is>
      </c>
      <c r="B774">
        <f>unallocated!B289/I774*J774</f>
        <v>0.34688334191916825</v>
      </c>
      <c r="C774" t="inlineStr">
        <is>
          <t>RER</t>
        </is>
      </c>
      <c r="D774" t="inlineStr">
        <is>
          <t>kilogram</t>
        </is>
      </c>
      <c r="F774" t="inlineStr">
        <is>
          <t>technosphere</t>
        </is>
      </c>
      <c r="G774" t="inlineStr">
        <is>
          <t>carbon dioxide storage at wood burning power plant 20 MW post, pipeline 200km, storage 1000m</t>
        </is>
      </c>
      <c r="I774" s="6" t="n">
        <v>317</v>
      </c>
      <c r="J774" s="11">
        <f>J761</f>
        <v>0.13361120217299677</v>
      </c>
      <c r="K774" t="n">
        <v>2</v>
      </c>
      <c r="L774" s="3">
        <f>LN(B774)</f>
        <v>-1.0587667459946246</v>
      </c>
      <c r="M774" t="n">
        <v>1</v>
      </c>
      <c r="N774" t="n">
        <v>1</v>
      </c>
      <c r="O774" t="n">
        <v>1</v>
      </c>
      <c r="P774" t="n">
        <v>1.02</v>
      </c>
      <c r="Q774" t="n">
        <v>1.2</v>
      </c>
      <c r="R774" t="n">
        <v>1</v>
      </c>
      <c r="S774" t="n">
        <v>3</v>
      </c>
      <c r="T774">
        <f>LN(SQRT(EXP(
SQRT(
+POWER(LN(M774),2)
+POWER(LN(N774),2)
+POWER(LN(O774),2)
+POWER(LN(P774),2)
+POWER(LN(Q774),2)
+POWER(LN(R774),2)
+POWER(LN(S774),2)
)
)))</f>
        <v>0.5569071410325479</v>
      </c>
    </row>
    <row r="775">
      <c r="A775" t="inlineStr">
        <is>
          <t>Water, cooling, unspecified natural origin</t>
        </is>
      </c>
      <c r="B775">
        <f>unallocated!B290/I775*J775</f>
        <v>0</v>
      </c>
      <c r="D775" t="inlineStr">
        <is>
          <t>cubic meter</t>
        </is>
      </c>
      <c r="E775" t="inlineStr">
        <is>
          <t>natural resource::in water</t>
        </is>
      </c>
      <c r="F775" t="inlineStr">
        <is>
          <t>biosphere</t>
        </is>
      </c>
      <c r="I775" s="6" t="n">
        <v>317</v>
      </c>
      <c r="J775" s="11">
        <f>J761</f>
        <v>0.13361120217299677</v>
      </c>
      <c r="K775" t="n">
        <v>0</v>
      </c>
      <c r="L775" s="3" t="n"/>
    </row>
    <row r="776">
      <c r="A776" t="inlineStr">
        <is>
          <t>Sulfur dioxide</t>
        </is>
      </c>
      <c r="B776">
        <f>unallocated!B291/I776*J776</f>
        <v>2.5289186531166579E-6</v>
      </c>
      <c r="D776" t="inlineStr">
        <is>
          <t>kilogram</t>
        </is>
      </c>
      <c r="E776" t="inlineStr">
        <is>
          <t>air::urban air close to ground</t>
        </is>
      </c>
      <c r="F776" t="inlineStr">
        <is>
          <t>biosphere</t>
        </is>
      </c>
      <c r="I776" s="6" t="n">
        <v>317</v>
      </c>
      <c r="J776" s="11">
        <f>J761</f>
        <v>0.13361120217299677</v>
      </c>
      <c r="K776" t="n">
        <v>2</v>
      </c>
      <c r="L776" s="3">
        <f>LN(B776)</f>
        <v>-12.887718756425777</v>
      </c>
      <c r="M776" t="n">
        <v>1</v>
      </c>
      <c r="N776" t="n">
        <v>1</v>
      </c>
      <c r="O776" t="n">
        <v>1</v>
      </c>
      <c r="P776" t="n">
        <v>1.02</v>
      </c>
      <c r="Q776" t="n">
        <v>1.2</v>
      </c>
      <c r="R776" t="n">
        <v>1</v>
      </c>
      <c r="S776" t="n">
        <v>1.05</v>
      </c>
      <c r="T776">
        <f>LN(SQRT(EXP(
SQRT(
+POWER(LN(M776),2)
+POWER(LN(N776),2)
+POWER(LN(O776),2)
+POWER(LN(P776),2)
+POWER(LN(Q776),2)
+POWER(LN(R776),2)
+POWER(LN(S776),2)
)
)))</f>
        <v>9.4886477223156879E-2</v>
      </c>
    </row>
    <row r="777">
      <c r="A777" t="inlineStr">
        <is>
          <t>Hydrochloric acid</t>
        </is>
      </c>
      <c r="B777">
        <f>unallocated!B292/I777*J777</f>
        <v>1.2644593265583289E-6</v>
      </c>
      <c r="D777" t="inlineStr">
        <is>
          <t>kilogram</t>
        </is>
      </c>
      <c r="E777" t="inlineStr">
        <is>
          <t>air</t>
        </is>
      </c>
      <c r="F777" t="inlineStr">
        <is>
          <t>biosphere</t>
        </is>
      </c>
      <c r="I777" s="6" t="n">
        <v>317</v>
      </c>
      <c r="J777" s="11">
        <f>J761</f>
        <v>0.13361120217299677</v>
      </c>
      <c r="K777" t="n">
        <v>2</v>
      </c>
      <c r="L777" s="3">
        <f>LN(B777)</f>
        <v>-13.580865936985722</v>
      </c>
      <c r="M777" t="n">
        <v>1</v>
      </c>
      <c r="N777" t="n">
        <v>1</v>
      </c>
      <c r="O777" t="n">
        <v>1</v>
      </c>
      <c r="P777" t="n">
        <v>1.02</v>
      </c>
      <c r="Q777" t="n">
        <v>1.2</v>
      </c>
      <c r="R777" t="n">
        <v>1</v>
      </c>
      <c r="S777" t="n">
        <v>1.5</v>
      </c>
      <c r="T777">
        <f>LN(SQRT(EXP(
SQRT(
+POWER(LN(M777),2)
+POWER(LN(N777),2)
+POWER(LN(O777),2)
+POWER(LN(P777),2)
+POWER(LN(Q777),2)
+POWER(LN(R777),2)
+POWER(LN(S777),2)
)
)))</f>
        <v>0.22250575723605889</v>
      </c>
    </row>
    <row r="778">
      <c r="A778" t="inlineStr">
        <is>
          <t>Nitrogen oxides</t>
        </is>
      </c>
      <c r="B778">
        <f>unallocated!B293/I778*J778</f>
        <v>2.853463213599963E-4</v>
      </c>
      <c r="D778" t="inlineStr">
        <is>
          <t>kilogram</t>
        </is>
      </c>
      <c r="E778" t="inlineStr">
        <is>
          <t>air::urban air close to ground</t>
        </is>
      </c>
      <c r="F778" t="inlineStr">
        <is>
          <t>biosphere</t>
        </is>
      </c>
      <c r="I778" s="6" t="n">
        <v>317</v>
      </c>
      <c r="J778" s="11">
        <f>J761</f>
        <v>0.13361120217299677</v>
      </c>
      <c r="K778" t="n">
        <v>2</v>
      </c>
      <c r="L778" s="3">
        <f>LN(B778)</f>
        <v>-8.1618069527415571</v>
      </c>
      <c r="M778" t="n">
        <v>1</v>
      </c>
      <c r="N778" t="n">
        <v>1</v>
      </c>
      <c r="O778" t="n">
        <v>1</v>
      </c>
      <c r="P778" t="n">
        <v>1.02</v>
      </c>
      <c r="Q778" t="n">
        <v>1.2</v>
      </c>
      <c r="R778" t="n">
        <v>1</v>
      </c>
      <c r="S778" t="n">
        <v>1.5</v>
      </c>
      <c r="T778">
        <f>LN(SQRT(EXP(
SQRT(
+POWER(LN(M778),2)
+POWER(LN(N778),2)
+POWER(LN(O778),2)
+POWER(LN(P778),2)
+POWER(LN(Q778),2)
+POWER(LN(R778),2)
+POWER(LN(S778),2)
)
)))</f>
        <v>0.22250575723605889</v>
      </c>
    </row>
    <row r="779">
      <c r="A779" t="inlineStr">
        <is>
          <t>Ammonia</t>
        </is>
      </c>
      <c r="B779">
        <f>unallocated!B294/I779*J779</f>
        <v>8.4297288437221935E-6</v>
      </c>
      <c r="D779" t="inlineStr">
        <is>
          <t>kilogram</t>
        </is>
      </c>
      <c r="E779" t="inlineStr">
        <is>
          <t>air::urban air close to ground</t>
        </is>
      </c>
      <c r="F779" t="inlineStr">
        <is>
          <t>biosphere</t>
        </is>
      </c>
      <c r="I779" s="6" t="n">
        <v>317</v>
      </c>
      <c r="J779" s="11">
        <f>J761</f>
        <v>0.13361120217299677</v>
      </c>
      <c r="K779" t="n">
        <v>2</v>
      </c>
      <c r="L779" s="3">
        <f>LN(B779)</f>
        <v>-11.683745952099841</v>
      </c>
      <c r="M779" t="n">
        <v>1</v>
      </c>
      <c r="N779" t="n">
        <v>1</v>
      </c>
      <c r="O779" t="n">
        <v>1</v>
      </c>
      <c r="P779" t="n">
        <v>1.02</v>
      </c>
      <c r="Q779" t="n">
        <v>1.2</v>
      </c>
      <c r="R779" t="n">
        <v>1</v>
      </c>
      <c r="S779" t="n">
        <v>1.5</v>
      </c>
      <c r="T779">
        <f>LN(SQRT(EXP(
SQRT(
+POWER(LN(M779),2)
+POWER(LN(N779),2)
+POWER(LN(O779),2)
+POWER(LN(P779),2)
+POWER(LN(Q779),2)
+POWER(LN(R779),2)
+POWER(LN(S779),2)
)
)))</f>
        <v>0.22250575723605889</v>
      </c>
    </row>
    <row r="780">
      <c r="A780" t="inlineStr">
        <is>
          <t>Particulate Matter, &lt; 2.5 um</t>
        </is>
      </c>
      <c r="B780">
        <f>unallocated!B295/I780*J780</f>
        <v>2.5289186531166579E-6</v>
      </c>
      <c r="D780" t="inlineStr">
        <is>
          <t>kilogram</t>
        </is>
      </c>
      <c r="E780" t="inlineStr">
        <is>
          <t>air::urban air close to ground</t>
        </is>
      </c>
      <c r="F780" t="inlineStr">
        <is>
          <t>biosphere</t>
        </is>
      </c>
      <c r="I780" s="6" t="n">
        <v>317</v>
      </c>
      <c r="J780" s="11">
        <f>J761</f>
        <v>0.13361120217299677</v>
      </c>
      <c r="K780" t="n">
        <v>2</v>
      </c>
      <c r="L780" s="3">
        <f>LN(B780)</f>
        <v>-12.887718756425777</v>
      </c>
      <c r="M780" t="n">
        <v>1</v>
      </c>
      <c r="N780" t="n">
        <v>1</v>
      </c>
      <c r="O780" t="n">
        <v>1</v>
      </c>
      <c r="P780" t="n">
        <v>1.02</v>
      </c>
      <c r="Q780" t="n">
        <v>1.2</v>
      </c>
      <c r="R780" t="n">
        <v>1</v>
      </c>
      <c r="S780" t="n">
        <v>3</v>
      </c>
      <c r="T780">
        <f>LN(SQRT(EXP(
SQRT(
+POWER(LN(M780),2)
+POWER(LN(N780),2)
+POWER(LN(O780),2)
+POWER(LN(P780),2)
+POWER(LN(Q780),2)
+POWER(LN(R780),2)
+POWER(LN(S780),2)
)
)))</f>
        <v>0.5569071410325479</v>
      </c>
    </row>
    <row r="781">
      <c r="A781" t="inlineStr">
        <is>
          <t>Mercury II</t>
        </is>
      </c>
      <c r="B781">
        <f>unallocated!B296/I781*J781</f>
        <v>2.5289186531166581E-9</v>
      </c>
      <c r="D781" t="inlineStr">
        <is>
          <t>kilogram</t>
        </is>
      </c>
      <c r="E781" t="inlineStr">
        <is>
          <t>air::urban air close to ground</t>
        </is>
      </c>
      <c r="F781" t="inlineStr">
        <is>
          <t>biosphere</t>
        </is>
      </c>
      <c r="I781" s="6" t="n">
        <v>317</v>
      </c>
      <c r="J781" s="11">
        <f>J761</f>
        <v>0.13361120217299677</v>
      </c>
      <c r="K781" t="n">
        <v>2</v>
      </c>
      <c r="L781" s="3">
        <f>LN(B781)</f>
        <v>-19.795474035407914</v>
      </c>
      <c r="M781" t="n">
        <v>1</v>
      </c>
      <c r="N781" t="n">
        <v>1</v>
      </c>
      <c r="O781" t="n">
        <v>1</v>
      </c>
      <c r="P781" t="n">
        <v>1.02</v>
      </c>
      <c r="Q781" t="n">
        <v>1.2</v>
      </c>
      <c r="R781" t="n">
        <v>1</v>
      </c>
      <c r="S781" t="n">
        <v>5</v>
      </c>
      <c r="T781">
        <f>LN(SQRT(EXP(
SQRT(
+POWER(LN(M781),2)
+POWER(LN(N781),2)
+POWER(LN(O781),2)
+POWER(LN(P781),2)
+POWER(LN(Q781),2)
+POWER(LN(R781),2)
+POWER(LN(S781),2)
)
)))</f>
        <v>0.80992649174166365</v>
      </c>
    </row>
    <row r="782">
      <c r="A782" t="inlineStr">
        <is>
          <t>Lead II</t>
        </is>
      </c>
      <c r="B782">
        <f>unallocated!B297/I782*J782</f>
        <v>2.5289186531166581E-9</v>
      </c>
      <c r="D782" t="inlineStr">
        <is>
          <t>kilogram</t>
        </is>
      </c>
      <c r="E782" t="inlineStr">
        <is>
          <t>air::urban air close to ground</t>
        </is>
      </c>
      <c r="F782" t="inlineStr">
        <is>
          <t>biosphere</t>
        </is>
      </c>
      <c r="I782" s="6" t="n">
        <v>317</v>
      </c>
      <c r="J782" s="11">
        <f>J761</f>
        <v>0.13361120217299677</v>
      </c>
      <c r="K782" t="n">
        <v>2</v>
      </c>
      <c r="L782" s="3">
        <f>LN(B782)</f>
        <v>-19.795474035407914</v>
      </c>
      <c r="M782" t="n">
        <v>1</v>
      </c>
      <c r="N782" t="n">
        <v>1</v>
      </c>
      <c r="O782" t="n">
        <v>1</v>
      </c>
      <c r="P782" t="n">
        <v>1.02</v>
      </c>
      <c r="Q782" t="n">
        <v>1.2</v>
      </c>
      <c r="R782" t="n">
        <v>1</v>
      </c>
      <c r="S782" t="n">
        <v>5</v>
      </c>
      <c r="T782">
        <f>LN(SQRT(EXP(
SQRT(
+POWER(LN(M782),2)
+POWER(LN(N782),2)
+POWER(LN(O782),2)
+POWER(LN(P782),2)
+POWER(LN(Q782),2)
+POWER(LN(R782),2)
+POWER(LN(S782),2)
)
)))</f>
        <v>0.80992649174166365</v>
      </c>
    </row>
    <row r="783">
      <c r="A783" t="inlineStr">
        <is>
          <t>Cadmium II</t>
        </is>
      </c>
      <c r="B783">
        <f>unallocated!B298/I783*J783</f>
        <v>1.2644593265583291E-9</v>
      </c>
      <c r="D783" t="inlineStr">
        <is>
          <t>kilogram</t>
        </is>
      </c>
      <c r="E783" t="inlineStr">
        <is>
          <t>air::urban air close to ground</t>
        </is>
      </c>
      <c r="F783" t="inlineStr">
        <is>
          <t>biosphere</t>
        </is>
      </c>
      <c r="I783" s="6" t="n">
        <v>317</v>
      </c>
      <c r="J783" s="11">
        <f>J761</f>
        <v>0.13361120217299677</v>
      </c>
      <c r="K783" t="n">
        <v>2</v>
      </c>
      <c r="L783" s="3">
        <f>LN(B783)</f>
        <v>-20.488621215967857</v>
      </c>
      <c r="M783" t="n">
        <v>1</v>
      </c>
      <c r="N783" t="n">
        <v>1</v>
      </c>
      <c r="O783" t="n">
        <v>1</v>
      </c>
      <c r="P783" t="n">
        <v>1.02</v>
      </c>
      <c r="Q783" t="n">
        <v>1.2</v>
      </c>
      <c r="R783" t="n">
        <v>1</v>
      </c>
      <c r="S783" t="n">
        <v>5</v>
      </c>
      <c r="T783">
        <f>LN(SQRT(EXP(
SQRT(
+POWER(LN(M783),2)
+POWER(LN(N783),2)
+POWER(LN(O783),2)
+POWER(LN(P783),2)
+POWER(LN(Q783),2)
+POWER(LN(R783),2)
+POWER(LN(S783),2)
)
)))</f>
        <v>0.80992649174166365</v>
      </c>
    </row>
    <row r="784">
      <c r="A784" t="inlineStr">
        <is>
          <t>Arsenic ion</t>
        </is>
      </c>
      <c r="B784">
        <f>unallocated!B299/I784*J784</f>
        <v>1.2644593265583291E-9</v>
      </c>
      <c r="D784" t="inlineStr">
        <is>
          <t>kilogram</t>
        </is>
      </c>
      <c r="E784" t="inlineStr">
        <is>
          <t>air::urban air close to ground</t>
        </is>
      </c>
      <c r="F784" t="inlineStr">
        <is>
          <t>biosphere</t>
        </is>
      </c>
      <c r="I784" s="6" t="n">
        <v>317</v>
      </c>
      <c r="J784" s="11">
        <f>J761</f>
        <v>0.13361120217299677</v>
      </c>
      <c r="K784" t="n">
        <v>2</v>
      </c>
      <c r="L784" s="3">
        <f>LN(B784)</f>
        <v>-20.488621215967857</v>
      </c>
      <c r="M784" t="n">
        <v>1</v>
      </c>
      <c r="N784" t="n">
        <v>1</v>
      </c>
      <c r="O784" t="n">
        <v>1</v>
      </c>
      <c r="P784" t="n">
        <v>1.02</v>
      </c>
      <c r="Q784" t="n">
        <v>1.2</v>
      </c>
      <c r="R784" t="n">
        <v>1</v>
      </c>
      <c r="S784" t="n">
        <v>5</v>
      </c>
      <c r="T784">
        <f>LN(SQRT(EXP(
SQRT(
+POWER(LN(M784),2)
+POWER(LN(N784),2)
+POWER(LN(O784),2)
+POWER(LN(P784),2)
+POWER(LN(Q784),2)
+POWER(LN(R784),2)
+POWER(LN(S784),2)
)
)))</f>
        <v>0.80992649174166365</v>
      </c>
    </row>
    <row r="785">
      <c r="A785" t="inlineStr">
        <is>
          <t>Dioxins, measured as 2,3,7,8-tetrachlorodibenzo-p-dioxin</t>
        </is>
      </c>
      <c r="B785">
        <f>unallocated!B300/I785*J785</f>
        <v>4.636350864047207E-14</v>
      </c>
      <c r="D785" t="inlineStr">
        <is>
          <t>kilogram</t>
        </is>
      </c>
      <c r="E785" t="inlineStr">
        <is>
          <t>air::urban air close to ground</t>
        </is>
      </c>
      <c r="F785" t="inlineStr">
        <is>
          <t>biosphere</t>
        </is>
      </c>
      <c r="I785" s="6" t="n">
        <v>317</v>
      </c>
      <c r="J785" s="11">
        <f>J761</f>
        <v>0.13361120217299677</v>
      </c>
      <c r="K785" t="n">
        <v>2</v>
      </c>
      <c r="L785" s="3">
        <f>LN(B785)</f>
        <v>-30.702263696807826</v>
      </c>
      <c r="M785" t="n">
        <v>1</v>
      </c>
      <c r="N785" t="n">
        <v>1</v>
      </c>
      <c r="O785" t="n">
        <v>1</v>
      </c>
      <c r="P785" t="n">
        <v>1.02</v>
      </c>
      <c r="Q785" t="n">
        <v>1.2</v>
      </c>
      <c r="R785" t="n">
        <v>1</v>
      </c>
      <c r="S785" t="n">
        <v>5</v>
      </c>
      <c r="T785">
        <f>LN(SQRT(EXP(
SQRT(
+POWER(LN(M785),2)
+POWER(LN(N785),2)
+POWER(LN(O785),2)
+POWER(LN(P785),2)
+POWER(LN(Q785),2)
+POWER(LN(R785),2)
+POWER(LN(S785),2)
)
)))</f>
        <v>0.80992649174166365</v>
      </c>
    </row>
    <row r="786">
      <c r="A786" t="inlineStr">
        <is>
          <t>Carbon dioxide, fossil</t>
        </is>
      </c>
      <c r="B786">
        <f>unallocated!B301/I786*J786</f>
        <v>2.3603240762422144E-2</v>
      </c>
      <c r="D786" t="inlineStr">
        <is>
          <t>kilogram</t>
        </is>
      </c>
      <c r="E786" t="inlineStr">
        <is>
          <t>air::urban air close to ground</t>
        </is>
      </c>
      <c r="F786" t="inlineStr">
        <is>
          <t>biosphere</t>
        </is>
      </c>
      <c r="I786" s="6" t="n">
        <v>317</v>
      </c>
      <c r="J786" s="11">
        <f>J761</f>
        <v>0.13361120217299677</v>
      </c>
      <c r="K786" t="n">
        <v>2</v>
      </c>
      <c r="L786" s="3">
        <f>LN(B786)</f>
        <v>-3.7463712559365452</v>
      </c>
      <c r="M786" t="n">
        <v>1</v>
      </c>
      <c r="N786" t="n">
        <v>1</v>
      </c>
      <c r="O786" t="n">
        <v>1</v>
      </c>
      <c r="P786" t="n">
        <v>1.02</v>
      </c>
      <c r="Q786" t="n">
        <v>1.2</v>
      </c>
      <c r="R786" t="n">
        <v>1</v>
      </c>
      <c r="S786" t="n">
        <v>1.05</v>
      </c>
      <c r="T786">
        <f>LN(SQRT(EXP(
SQRT(
+POWER(LN(M786),2)
+POWER(LN(N786),2)
+POWER(LN(O786),2)
+POWER(LN(P786),2)
+POWER(LN(Q786),2)
+POWER(LN(R786),2)
+POWER(LN(S786),2)
)
)))</f>
        <v>9.4886477223156879E-2</v>
      </c>
    </row>
    <row r="787">
      <c r="A787" t="inlineStr">
        <is>
          <t>Carbon dioxide, non-fossil</t>
        </is>
      </c>
      <c r="B787">
        <f>unallocated!B302/I787*J787</f>
        <v>3.7512293354563755E-2</v>
      </c>
      <c r="D787" t="inlineStr">
        <is>
          <t>kilogram</t>
        </is>
      </c>
      <c r="E787" t="inlineStr">
        <is>
          <t>air::urban air close to ground</t>
        </is>
      </c>
      <c r="F787" t="inlineStr">
        <is>
          <t>biosphere</t>
        </is>
      </c>
      <c r="I787" s="6" t="n">
        <v>317</v>
      </c>
      <c r="J787" s="14">
        <f>J761</f>
        <v>0.13361120217299677</v>
      </c>
      <c r="K787" t="n">
        <v>2</v>
      </c>
      <c r="L787" s="3">
        <f>LN(B787)</f>
        <v>-3.2830865769395547</v>
      </c>
      <c r="M787" t="n">
        <v>1</v>
      </c>
      <c r="N787" t="n">
        <v>1</v>
      </c>
      <c r="O787" t="n">
        <v>1</v>
      </c>
      <c r="P787" t="n">
        <v>1.02</v>
      </c>
      <c r="Q787" t="n">
        <v>1.2</v>
      </c>
      <c r="R787" t="n">
        <v>1</v>
      </c>
      <c r="S787" t="n">
        <v>1.05</v>
      </c>
      <c r="T787">
        <f>LN(SQRT(EXP(
SQRT(
+POWER(LN(M787),2)
+POWER(LN(N787),2)
+POWER(LN(O787),2)
+POWER(LN(P787),2)
+POWER(LN(Q787),2)
+POWER(LN(R787),2)
+POWER(LN(S787),2)
)
)))</f>
        <v>9.4886477223156879E-2</v>
      </c>
    </row>
    <row r="788">
      <c r="A788" t="inlineStr">
        <is>
          <t>Carbon dioxide, in air</t>
        </is>
      </c>
      <c r="B788">
        <f>unallocated!B303/I788*J788</f>
        <v>0.21285065330398539</v>
      </c>
      <c r="D788" t="inlineStr">
        <is>
          <t>kilogram</t>
        </is>
      </c>
      <c r="E788" t="inlineStr">
        <is>
          <t>natural resource::in air</t>
        </is>
      </c>
      <c r="F788" t="inlineStr">
        <is>
          <t>biosphere</t>
        </is>
      </c>
      <c r="H788" t="inlineStr">
        <is>
          <t>To reflect the permanent storage of non-fossil CO.</t>
        </is>
      </c>
      <c r="I788" s="6" t="n">
        <v>317</v>
      </c>
      <c r="J788" s="14">
        <f>J761</f>
        <v>0.13361120217299677</v>
      </c>
      <c r="K788" t="n">
        <v>2</v>
      </c>
      <c r="L788" s="3">
        <f>LN(B788)</f>
        <v>-1.5471645173963346</v>
      </c>
      <c r="M788" t="n">
        <v>1</v>
      </c>
      <c r="N788" t="n">
        <v>1</v>
      </c>
      <c r="O788" t="n">
        <v>1</v>
      </c>
      <c r="P788" t="n">
        <v>1.02</v>
      </c>
      <c r="Q788" t="n">
        <v>1.2</v>
      </c>
      <c r="R788" t="n">
        <v>1</v>
      </c>
      <c r="S788" t="n">
        <v>1.05</v>
      </c>
      <c r="T788">
        <f>LN(SQRT(EXP(
SQRT(
+POWER(LN(M788),2)
+POWER(LN(N788),2)
+POWER(LN(O788),2)
+POWER(LN(P788),2)
+POWER(LN(Q788),2)
+POWER(LN(R788),2)
+POWER(LN(S788),2)
)
)))</f>
        <v>9.4886477223156879E-2</v>
      </c>
    </row>
    <row r="789"/>
    <row r="790">
      <c r="A790" s="1" t="inlineStr">
        <is>
          <t>Activity</t>
        </is>
      </c>
      <c r="B790" s="1" t="inlineStr">
        <is>
          <t>municipal waste incineration, at incineration plant, with wet air pollution control, with flue gas condensation, with electricity and heat recovery, with carbon capture and storage, energy allocation</t>
        </is>
      </c>
    </row>
    <row r="791">
      <c r="A791" t="inlineStr">
        <is>
          <t>location</t>
        </is>
      </c>
      <c r="B791" t="inlineStr">
        <is>
          <t>RER</t>
        </is>
      </c>
    </row>
    <row r="792">
      <c r="A792" t="inlineStr">
        <is>
          <t>production amount</t>
        </is>
      </c>
      <c r="B792" t="n">
        <v>1</v>
      </c>
    </row>
    <row r="793">
      <c r="A793" s="2" t="inlineStr">
        <is>
          <t>source</t>
        </is>
      </c>
      <c r="B793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94">
      <c r="A794" t="inlineStr">
        <is>
          <t>reference product</t>
        </is>
      </c>
      <c r="B794" t="inlineStr">
        <is>
          <t>heat, district or industrial, other than natural gas</t>
        </is>
      </c>
    </row>
    <row r="795">
      <c r="A795" t="inlineStr">
        <is>
          <t>type</t>
        </is>
      </c>
      <c r="B795" t="inlineStr">
        <is>
          <t>process</t>
        </is>
      </c>
    </row>
    <row r="796">
      <c r="A796" t="inlineStr">
        <is>
          <t>unit</t>
        </is>
      </c>
      <c r="B796" t="inlineStr">
        <is>
          <t>megajoule</t>
        </is>
      </c>
    </row>
    <row r="797">
      <c r="A797" t="inlineStr">
        <is>
          <t>comment</t>
        </is>
      </c>
      <c r="B797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798">
      <c r="A798" s="1" t="inlineStr">
        <is>
          <t>Exchanges</t>
        </is>
      </c>
    </row>
    <row r="799">
      <c r="A799" s="7" t="inlineStr">
        <is>
          <t>name</t>
        </is>
      </c>
      <c r="B799" s="7" t="inlineStr">
        <is>
          <t>amount</t>
        </is>
      </c>
      <c r="C799" s="7" t="inlineStr">
        <is>
          <t>location</t>
        </is>
      </c>
      <c r="D799" s="7" t="inlineStr">
        <is>
          <t>unit</t>
        </is>
      </c>
      <c r="E799" s="7" t="inlineStr">
        <is>
          <t>categories</t>
        </is>
      </c>
      <c r="F799" s="7" t="inlineStr">
        <is>
          <t>type</t>
        </is>
      </c>
      <c r="G799" s="7" t="inlineStr">
        <is>
          <t>reference product</t>
        </is>
      </c>
      <c r="H799" s="7" t="inlineStr">
        <is>
          <t>comment</t>
        </is>
      </c>
      <c r="I799" s="7" t="inlineStr">
        <is>
          <t>normalization</t>
        </is>
      </c>
      <c r="J799" s="7" t="inlineStr">
        <is>
          <t>allocation</t>
        </is>
      </c>
      <c r="K799" s="7" t="inlineStr">
        <is>
          <t>uncertainty type</t>
        </is>
      </c>
      <c r="L799" s="7" t="inlineStr">
        <is>
          <t>loc</t>
        </is>
      </c>
      <c r="M799" s="1" t="inlineStr">
        <is>
          <t>u1</t>
        </is>
      </c>
      <c r="N799" s="1" t="inlineStr">
        <is>
          <t>u2</t>
        </is>
      </c>
      <c r="O799" s="1" t="inlineStr">
        <is>
          <t>u3</t>
        </is>
      </c>
      <c r="P799" s="1" t="inlineStr">
        <is>
          <t>u4</t>
        </is>
      </c>
      <c r="Q799" s="1" t="inlineStr">
        <is>
          <t>u5</t>
        </is>
      </c>
      <c r="R799" s="1" t="inlineStr">
        <is>
          <t>u6</t>
        </is>
      </c>
      <c r="S799" s="1" t="inlineStr">
        <is>
          <t>ub</t>
        </is>
      </c>
      <c r="T799" s="1" t="inlineStr">
        <is>
          <t>scale</t>
        </is>
      </c>
      <c r="U799" s="1" t="inlineStr">
        <is>
          <t>negative</t>
        </is>
      </c>
    </row>
    <row r="800">
      <c r="A800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B800" t="n">
        <v>0</v>
      </c>
      <c r="C800" t="inlineStr">
        <is>
          <t>RER</t>
        </is>
      </c>
      <c r="D800" t="inlineStr">
        <is>
          <t>kilogram</t>
        </is>
      </c>
      <c r="F800" t="inlineStr">
        <is>
          <t>technosphere</t>
        </is>
      </c>
      <c r="G800" t="inlineStr">
        <is>
          <t>municipal solid waste</t>
        </is>
      </c>
      <c r="H800" t="inlineStr"/>
      <c r="I800" t="n">
        <v>7400</v>
      </c>
      <c r="J800" s="14">
        <f>INDEX('allocation keys'!$F$4:$H$28,MATCH('allocated (energy)'!$B$790,'allocation keys'!$B$4:$B$28,0),MATCH('allocated (energy)'!$B$794,'allocation keys'!$F$3:$H$3,0))</f>
        <v>0.86638879782700318</v>
      </c>
      <c r="K800" t="n">
        <v>0</v>
      </c>
      <c r="M800" s="5" t="n"/>
      <c r="N800" s="5" t="n"/>
      <c r="O800" s="5" t="n"/>
      <c r="P800" s="5" t="n"/>
      <c r="Q800" s="5" t="n"/>
      <c r="R800" s="5" t="n"/>
    </row>
    <row r="801">
      <c r="A801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B801" s="6" t="n">
        <v>0</v>
      </c>
      <c r="C801" t="inlineStr">
        <is>
          <t>RER</t>
        </is>
      </c>
      <c r="D801" t="inlineStr">
        <is>
          <t>kilowatt hour</t>
        </is>
      </c>
      <c r="F801" t="inlineStr">
        <is>
          <t>technosphere</t>
        </is>
      </c>
      <c r="G801" t="inlineStr">
        <is>
          <t>electricity, medium voltage</t>
        </is>
      </c>
      <c r="H801" t="inlineStr"/>
      <c r="I801" t="n">
        <v>7400</v>
      </c>
      <c r="J801" s="11">
        <f>J800</f>
        <v>0.86638879782700318</v>
      </c>
      <c r="K801" t="n">
        <v>0</v>
      </c>
      <c r="L801" s="3" t="n"/>
    </row>
    <row r="802">
      <c r="A802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B802" t="n">
        <v>1</v>
      </c>
      <c r="C802" t="inlineStr">
        <is>
          <t>RER</t>
        </is>
      </c>
      <c r="D802" t="inlineStr">
        <is>
          <t>megajoule</t>
        </is>
      </c>
      <c r="F802" t="inlineStr">
        <is>
          <t>production</t>
        </is>
      </c>
      <c r="G802" t="inlineStr">
        <is>
          <t>heat, district or industrial, other than natural gas</t>
        </is>
      </c>
      <c r="H802" t="inlineStr"/>
      <c r="I802" t="n">
        <v>7400</v>
      </c>
      <c r="J802" s="11">
        <f>J800</f>
        <v>0.86638879782700318</v>
      </c>
      <c r="K802" t="n">
        <v>0</v>
      </c>
      <c r="L802" s="3" t="n"/>
    </row>
    <row r="803">
      <c r="A803" t="inlineStr">
        <is>
          <t>market for diesel, low-sulfur</t>
        </is>
      </c>
      <c r="B803">
        <f>unallocated!B279/I803*J803</f>
        <v>9.9517632182831457E-6</v>
      </c>
      <c r="C803" t="inlineStr">
        <is>
          <t>Europe without Switzerland</t>
        </is>
      </c>
      <c r="D803" t="inlineStr">
        <is>
          <t>kilogram</t>
        </is>
      </c>
      <c r="F803" t="inlineStr">
        <is>
          <t>technosphere</t>
        </is>
      </c>
      <c r="G803" t="inlineStr">
        <is>
          <t>diesel, low-sulfur</t>
        </is>
      </c>
      <c r="H803" t="inlineStr">
        <is>
          <t>Diesel density: 0.85 kg/l</t>
        </is>
      </c>
      <c r="I803" t="n">
        <v>7400</v>
      </c>
      <c r="J803" s="11">
        <f>J800</f>
        <v>0.86638879782700318</v>
      </c>
      <c r="K803" t="n">
        <v>2</v>
      </c>
      <c r="L803" s="3">
        <f>LN(B803)</f>
        <v>-11.517760814625579</v>
      </c>
      <c r="M803" t="n">
        <v>1</v>
      </c>
      <c r="N803" t="n">
        <v>1</v>
      </c>
      <c r="O803" t="n">
        <v>1</v>
      </c>
      <c r="P803" t="n">
        <v>1.02</v>
      </c>
      <c r="Q803" t="n">
        <v>1.2</v>
      </c>
      <c r="R803" t="n">
        <v>1</v>
      </c>
      <c r="S803" t="n">
        <v>1.05</v>
      </c>
      <c r="T803">
        <f>LN(SQRT(EXP(
SQRT(
+POWER(LN(M803),2)
+POWER(LN(N803),2)
+POWER(LN(O803),2)
+POWER(LN(P803),2)
+POWER(LN(Q803),2)
+POWER(LN(R803),2)
+POWER(LN(S803),2)
)
)))</f>
        <v>9.4886477223156879E-2</v>
      </c>
    </row>
    <row r="804">
      <c r="A804" t="inlineStr">
        <is>
          <t>market for activated carbon, granular</t>
        </is>
      </c>
      <c r="B804">
        <f>unallocated!B280/I804*J804</f>
        <v>4.6831826909567742E-5</v>
      </c>
      <c r="C804" t="inlineStr">
        <is>
          <t>GLO</t>
        </is>
      </c>
      <c r="D804" t="inlineStr">
        <is>
          <t>kilogram</t>
        </is>
      </c>
      <c r="F804" t="inlineStr">
        <is>
          <t>technosphere</t>
        </is>
      </c>
      <c r="G804" t="inlineStr">
        <is>
          <t>activated carbon, granular</t>
        </is>
      </c>
      <c r="I804" t="n">
        <v>7400</v>
      </c>
      <c r="J804" s="11">
        <f>J800</f>
        <v>0.86638879782700318</v>
      </c>
      <c r="K804" t="n">
        <v>2</v>
      </c>
      <c r="L804" s="3">
        <f>LN(B804)</f>
        <v>-9.9689475240079144</v>
      </c>
      <c r="M804" t="n">
        <v>1</v>
      </c>
      <c r="N804" t="n">
        <v>1</v>
      </c>
      <c r="O804" t="n">
        <v>1</v>
      </c>
      <c r="P804" t="n">
        <v>1.02</v>
      </c>
      <c r="Q804" t="n">
        <v>1.2</v>
      </c>
      <c r="R804" t="n">
        <v>1</v>
      </c>
      <c r="S804" t="n">
        <v>1.05</v>
      </c>
      <c r="T804">
        <f>LN(SQRT(EXP(
SQRT(
+POWER(LN(M804),2)
+POWER(LN(N804),2)
+POWER(LN(O804),2)
+POWER(LN(P804),2)
+POWER(LN(Q804),2)
+POWER(LN(R804),2)
+POWER(LN(S804),2)
)
)))</f>
        <v>9.4886477223156879E-2</v>
      </c>
    </row>
    <row r="805">
      <c r="A805" t="inlineStr">
        <is>
          <t>market for ammonia, anhydrous, liquid</t>
        </is>
      </c>
      <c r="B805">
        <f>unallocated!B281/I805*J805</f>
        <v>1.1473797592844096E-4</v>
      </c>
      <c r="C805" t="inlineStr">
        <is>
          <t>RER</t>
        </is>
      </c>
      <c r="D805" t="inlineStr">
        <is>
          <t>kilogram</t>
        </is>
      </c>
      <c r="F805" t="inlineStr">
        <is>
          <t>technosphere</t>
        </is>
      </c>
      <c r="G805" t="inlineStr">
        <is>
          <t>ammonia, anhydrous, liquid</t>
        </is>
      </c>
      <c r="H805" t="inlineStr">
        <is>
          <t>100% liquid ammonia. In original publication, it is dilluated to 23.5% in water. We discount the original value by 75%.</t>
        </is>
      </c>
      <c r="I805" t="n">
        <v>7400</v>
      </c>
      <c r="J805" s="11">
        <f>J800</f>
        <v>0.86638879782700318</v>
      </c>
      <c r="K805" t="n">
        <v>2</v>
      </c>
      <c r="L805" s="3">
        <f>LN(B805)</f>
        <v>-9.0728594994512779</v>
      </c>
      <c r="M805" t="n">
        <v>1</v>
      </c>
      <c r="N805" t="n">
        <v>1</v>
      </c>
      <c r="O805" t="n">
        <v>1</v>
      </c>
      <c r="P805" t="n">
        <v>1.02</v>
      </c>
      <c r="Q805" t="n">
        <v>1.2</v>
      </c>
      <c r="R805" t="n">
        <v>1</v>
      </c>
      <c r="S805" t="n">
        <v>1.05</v>
      </c>
      <c r="T805">
        <f>LN(SQRT(EXP(
SQRT(
+POWER(LN(M805),2)
+POWER(LN(N805),2)
+POWER(LN(O805),2)
+POWER(LN(P805),2)
+POWER(LN(Q805),2)
+POWER(LN(R805),2)
+POWER(LN(S805),2)
)
)))</f>
        <v>9.4886477223156879E-2</v>
      </c>
    </row>
    <row r="806">
      <c r="A806" t="inlineStr">
        <is>
          <t>market for tap water</t>
        </is>
      </c>
      <c r="B806">
        <f>unallocated!B282/I806*J806</f>
        <v>3.535802931672364E-4</v>
      </c>
      <c r="C806" t="inlineStr">
        <is>
          <t>Europe without Switzerland</t>
        </is>
      </c>
      <c r="D806" t="inlineStr">
        <is>
          <t>kilogram</t>
        </is>
      </c>
      <c r="F806" t="inlineStr">
        <is>
          <t>technosphere</t>
        </is>
      </c>
      <c r="G806" t="inlineStr">
        <is>
          <t>tap water</t>
        </is>
      </c>
      <c r="H806" t="inlineStr">
        <is>
          <t>Used to dilute the ammonia.</t>
        </is>
      </c>
      <c r="I806" t="n">
        <v>7400</v>
      </c>
      <c r="J806" s="11">
        <f>J800</f>
        <v>0.86638879782700318</v>
      </c>
      <c r="K806" t="n">
        <v>2</v>
      </c>
      <c r="L806" s="3">
        <f>LN(B806)</f>
        <v>-7.9473999607469805</v>
      </c>
      <c r="M806" t="n">
        <v>1</v>
      </c>
      <c r="N806" t="n">
        <v>1</v>
      </c>
      <c r="O806" t="n">
        <v>1</v>
      </c>
      <c r="P806" t="n">
        <v>1.02</v>
      </c>
      <c r="Q806" t="n">
        <v>1.2</v>
      </c>
      <c r="R806" t="n">
        <v>1</v>
      </c>
      <c r="S806" t="n">
        <v>1.05</v>
      </c>
      <c r="T806">
        <f>LN(SQRT(EXP(
SQRT(
+POWER(LN(M806),2)
+POWER(LN(N806),2)
+POWER(LN(O806),2)
+POWER(LN(P806),2)
+POWER(LN(Q806),2)
+POWER(LN(R806),2)
+POWER(LN(S806),2)
)
)))</f>
        <v>9.4886477223156879E-2</v>
      </c>
    </row>
    <row r="807">
      <c r="A807" t="inlineStr">
        <is>
          <t>market for calcium carbonate, precipitated</t>
        </is>
      </c>
      <c r="B807">
        <f>unallocated!B283/I807*J807</f>
        <v>8.1955697091743546E-4</v>
      </c>
      <c r="C807" t="inlineStr">
        <is>
          <t>RER</t>
        </is>
      </c>
      <c r="D807" t="inlineStr">
        <is>
          <t>kilogram</t>
        </is>
      </c>
      <c r="F807" t="inlineStr">
        <is>
          <t>technosphere</t>
        </is>
      </c>
      <c r="G807" t="inlineStr">
        <is>
          <t>calcium carbonate, precipitated</t>
        </is>
      </c>
      <c r="I807" t="n">
        <v>7400</v>
      </c>
      <c r="J807" s="11">
        <f>J800</f>
        <v>0.86638879782700318</v>
      </c>
      <c r="K807" t="n">
        <v>0</v>
      </c>
      <c r="L807" s="3" t="n"/>
    </row>
    <row r="808">
      <c r="A808" t="inlineStr">
        <is>
          <t>market for iron(III) chloride, without water, in 40% solution state</t>
        </is>
      </c>
      <c r="B808">
        <f>unallocated!B284/I808*J808</f>
        <v>5.8539783636959677E-6</v>
      </c>
      <c r="C808" t="inlineStr">
        <is>
          <t>GLO</t>
        </is>
      </c>
      <c r="D808" t="inlineStr">
        <is>
          <t>kilogram</t>
        </is>
      </c>
      <c r="F808" t="inlineStr">
        <is>
          <t>technosphere</t>
        </is>
      </c>
      <c r="G808" t="inlineStr">
        <is>
          <t>iron(III) chloride, without water, in 40% solution state</t>
        </is>
      </c>
      <c r="I808" t="n">
        <v>7400</v>
      </c>
      <c r="J808" s="11">
        <f>J800</f>
        <v>0.86638879782700318</v>
      </c>
      <c r="K808" t="n">
        <v>0</v>
      </c>
      <c r="L808" s="3" t="n"/>
    </row>
    <row r="809">
      <c r="A809" t="inlineStr">
        <is>
          <t>market for lime, hydrated, packed</t>
        </is>
      </c>
      <c r="B809">
        <f>unallocated!B285/I809*J809</f>
        <v>0</v>
      </c>
      <c r="C809" t="inlineStr">
        <is>
          <t>RER</t>
        </is>
      </c>
      <c r="D809" t="inlineStr">
        <is>
          <t>kilogram</t>
        </is>
      </c>
      <c r="F809" t="inlineStr">
        <is>
          <t>technosphere</t>
        </is>
      </c>
      <c r="G809" t="inlineStr">
        <is>
          <t>lime, hydrated, packed</t>
        </is>
      </c>
      <c r="I809" t="n">
        <v>7400</v>
      </c>
      <c r="J809" s="11">
        <f>J800</f>
        <v>0.86638879782700318</v>
      </c>
      <c r="K809" t="n">
        <v>0</v>
      </c>
      <c r="L809" s="3" t="n"/>
    </row>
    <row r="810">
      <c r="A810" t="inlineStr">
        <is>
          <t>market for sodium hydroxide, without water, in 50% solution state</t>
        </is>
      </c>
      <c r="B810">
        <f>unallocated!B286/I810*J810</f>
        <v>5.8539783636959674E-5</v>
      </c>
      <c r="C810" t="inlineStr">
        <is>
          <t>RER</t>
        </is>
      </c>
      <c r="D810" t="inlineStr">
        <is>
          <t>kilogram</t>
        </is>
      </c>
      <c r="F810" t="inlineStr">
        <is>
          <t>technosphere</t>
        </is>
      </c>
      <c r="G810" t="inlineStr">
        <is>
          <t>sodium hydroxide, without water, in 50% solution state</t>
        </is>
      </c>
      <c r="H810" t="inlineStr">
        <is>
          <t>50% liquid ammonia. In original publication, it is dilluated to 27% in water. We discount the original value by 50%.</t>
        </is>
      </c>
      <c r="I810" t="n">
        <v>7400</v>
      </c>
      <c r="J810" s="11">
        <f>J800</f>
        <v>0.86638879782700318</v>
      </c>
      <c r="K810" t="n">
        <v>0</v>
      </c>
      <c r="L810" s="3" t="n"/>
    </row>
    <row r="811">
      <c r="A811" t="inlineStr">
        <is>
          <t>market for monoethanolamine</t>
        </is>
      </c>
      <c r="B811">
        <f>unallocated!B287/I811*J811</f>
        <v>4.6831826909567739E-4</v>
      </c>
      <c r="C811" t="inlineStr">
        <is>
          <t>GLO</t>
        </is>
      </c>
      <c r="D811" t="inlineStr">
        <is>
          <t>kilogram</t>
        </is>
      </c>
      <c r="F811" t="inlineStr">
        <is>
          <t>technosphere</t>
        </is>
      </c>
      <c r="G811" t="inlineStr">
        <is>
          <t>monoethanolamine</t>
        </is>
      </c>
      <c r="I811" t="n">
        <v>7400</v>
      </c>
      <c r="J811" s="11">
        <f>J800</f>
        <v>0.86638879782700318</v>
      </c>
      <c r="K811" t="n">
        <v>0</v>
      </c>
      <c r="L811" s="3" t="n"/>
    </row>
    <row r="812">
      <c r="A812" t="inlineStr">
        <is>
          <t>municipal waste incineration facility construction</t>
        </is>
      </c>
      <c r="B812">
        <f>unallocated!B288/I812*J812</f>
        <v>2.9269891818479837E-11</v>
      </c>
      <c r="C812" t="inlineStr">
        <is>
          <t>CH</t>
        </is>
      </c>
      <c r="D812" t="inlineStr">
        <is>
          <t>unit</t>
        </is>
      </c>
      <c r="F812" t="inlineStr">
        <is>
          <t>technosphere</t>
        </is>
      </c>
      <c r="G812" t="inlineStr">
        <is>
          <t>municipal waste incineration facility</t>
        </is>
      </c>
      <c r="H812" t="inlineStr">
        <is>
          <t>Lifetime: 4'000'000 tons MSWI treated.</t>
        </is>
      </c>
      <c r="I812" t="n">
        <v>7400</v>
      </c>
      <c r="J812" s="11">
        <f>J800</f>
        <v>0.86638879782700318</v>
      </c>
      <c r="K812" t="n">
        <v>2</v>
      </c>
      <c r="L812" s="3">
        <f>LN(B812)</f>
        <v>-24.254461711217925</v>
      </c>
      <c r="M812" t="n">
        <v>1</v>
      </c>
      <c r="N812" t="n">
        <v>1</v>
      </c>
      <c r="O812" t="n">
        <v>1</v>
      </c>
      <c r="P812" t="n">
        <v>1.02</v>
      </c>
      <c r="Q812" t="n">
        <v>1.2</v>
      </c>
      <c r="R812" t="n">
        <v>1</v>
      </c>
      <c r="S812" t="n">
        <v>3</v>
      </c>
      <c r="T812">
        <f>LN(SQRT(EXP(
SQRT(
+POWER(LN(M812),2)
+POWER(LN(N812),2)
+POWER(LN(O812),2)
+POWER(LN(P812),2)
+POWER(LN(Q812),2)
+POWER(LN(R812),2)
+POWER(LN(S812),2)
)
)))</f>
        <v>0.5569071410325479</v>
      </c>
    </row>
    <row r="813">
      <c r="A813" t="inlineStr">
        <is>
          <t>carbon dioxide storage at wood burning power plant 20 MW post, pipeline 200km, storage 1000m</t>
        </is>
      </c>
      <c r="B813">
        <f>unallocated!B289/I813*J813</f>
        <v>9.6356483866435624E-2</v>
      </c>
      <c r="C813" t="inlineStr">
        <is>
          <t>RER</t>
        </is>
      </c>
      <c r="D813" t="inlineStr">
        <is>
          <t>kilogram</t>
        </is>
      </c>
      <c r="F813" t="inlineStr">
        <is>
          <t>technosphere</t>
        </is>
      </c>
      <c r="G813" t="inlineStr">
        <is>
          <t>carbon dioxide storage at wood burning power plant 20 MW post, pipeline 200km, storage 1000m</t>
        </is>
      </c>
      <c r="I813" t="n">
        <v>7400</v>
      </c>
      <c r="J813" s="11">
        <f>J800</f>
        <v>0.86638879782700318</v>
      </c>
      <c r="K813" t="n">
        <v>2</v>
      </c>
      <c r="L813" s="3">
        <f>LN(B813)</f>
        <v>-2.3397005914566891</v>
      </c>
      <c r="M813" t="n">
        <v>1</v>
      </c>
      <c r="N813" t="n">
        <v>1</v>
      </c>
      <c r="O813" t="n">
        <v>1</v>
      </c>
      <c r="P813" t="n">
        <v>1.02</v>
      </c>
      <c r="Q813" t="n">
        <v>1.2</v>
      </c>
      <c r="R813" t="n">
        <v>1</v>
      </c>
      <c r="S813" t="n">
        <v>3</v>
      </c>
      <c r="T813">
        <f>LN(SQRT(EXP(
SQRT(
+POWER(LN(M813),2)
+POWER(LN(N813),2)
+POWER(LN(O813),2)
+POWER(LN(P813),2)
+POWER(LN(Q813),2)
+POWER(LN(R813),2)
+POWER(LN(S813),2)
)
)))</f>
        <v>0.5569071410325479</v>
      </c>
    </row>
    <row r="814">
      <c r="A814" t="inlineStr">
        <is>
          <t>Water, cooling, unspecified natural origin</t>
        </is>
      </c>
      <c r="B814">
        <f>unallocated!B290/I814*J814</f>
        <v>0</v>
      </c>
      <c r="D814" t="inlineStr">
        <is>
          <t>cubic meter</t>
        </is>
      </c>
      <c r="E814" t="inlineStr">
        <is>
          <t>natural resource::in water</t>
        </is>
      </c>
      <c r="F814" t="inlineStr">
        <is>
          <t>biosphere</t>
        </is>
      </c>
      <c r="I814" t="n">
        <v>7400</v>
      </c>
      <c r="J814" s="11">
        <f>J800</f>
        <v>0.86638879782700318</v>
      </c>
      <c r="K814" t="n">
        <v>0</v>
      </c>
      <c r="L814" s="3" t="n"/>
    </row>
    <row r="815">
      <c r="A815" t="inlineStr">
        <is>
          <t>Sulfur dioxide</t>
        </is>
      </c>
      <c r="B815">
        <f>unallocated!B291/I815*J815</f>
        <v>7.0247740364351605E-7</v>
      </c>
      <c r="D815" t="inlineStr">
        <is>
          <t>kilogram</t>
        </is>
      </c>
      <c r="E815" t="inlineStr">
        <is>
          <t>air::urban air close to ground</t>
        </is>
      </c>
      <c r="F815" t="inlineStr">
        <is>
          <t>biosphere</t>
        </is>
      </c>
      <c r="I815" t="n">
        <v>7400</v>
      </c>
      <c r="J815" s="11">
        <f>J800</f>
        <v>0.86638879782700318</v>
      </c>
      <c r="K815" t="n">
        <v>2</v>
      </c>
      <c r="L815" s="3">
        <f>LN(B815)</f>
        <v>-14.168652601887841</v>
      </c>
      <c r="M815" t="n">
        <v>1</v>
      </c>
      <c r="N815" t="n">
        <v>1</v>
      </c>
      <c r="O815" t="n">
        <v>1</v>
      </c>
      <c r="P815" t="n">
        <v>1.02</v>
      </c>
      <c r="Q815" t="n">
        <v>1.2</v>
      </c>
      <c r="R815" t="n">
        <v>1</v>
      </c>
      <c r="S815" t="n">
        <v>1.05</v>
      </c>
      <c r="T815">
        <f>LN(SQRT(EXP(
SQRT(
+POWER(LN(M815),2)
+POWER(LN(N815),2)
+POWER(LN(O815),2)
+POWER(LN(P815),2)
+POWER(LN(Q815),2)
+POWER(LN(R815),2)
+POWER(LN(S815),2)
)
)))</f>
        <v>9.4886477223156879E-2</v>
      </c>
    </row>
    <row r="816">
      <c r="A816" t="inlineStr">
        <is>
          <t>Hydrochloric acid</t>
        </is>
      </c>
      <c r="B816">
        <f>unallocated!B292/I816*J816</f>
        <v>3.5123870182175803E-7</v>
      </c>
      <c r="D816" t="inlineStr">
        <is>
          <t>kilogram</t>
        </is>
      </c>
      <c r="E816" t="inlineStr">
        <is>
          <t>air</t>
        </is>
      </c>
      <c r="F816" t="inlineStr">
        <is>
          <t>biosphere</t>
        </is>
      </c>
      <c r="I816" t="n">
        <v>7400</v>
      </c>
      <c r="J816" s="11">
        <f>J800</f>
        <v>0.86638879782700318</v>
      </c>
      <c r="K816" t="n">
        <v>2</v>
      </c>
      <c r="L816" s="3">
        <f>LN(B816)</f>
        <v>-14.861799782447786</v>
      </c>
      <c r="M816" t="n">
        <v>1</v>
      </c>
      <c r="N816" t="n">
        <v>1</v>
      </c>
      <c r="O816" t="n">
        <v>1</v>
      </c>
      <c r="P816" t="n">
        <v>1.02</v>
      </c>
      <c r="Q816" t="n">
        <v>1.2</v>
      </c>
      <c r="R816" t="n">
        <v>1</v>
      </c>
      <c r="S816" t="n">
        <v>1.5</v>
      </c>
      <c r="T816">
        <f>LN(SQRT(EXP(
SQRT(
+POWER(LN(M816),2)
+POWER(LN(N816),2)
+POWER(LN(O816),2)
+POWER(LN(P816),2)
+POWER(LN(Q816),2)
+POWER(LN(R816),2)
+POWER(LN(S816),2)
)
)))</f>
        <v>0.22250575723605889</v>
      </c>
    </row>
    <row r="817">
      <c r="A817" t="inlineStr">
        <is>
          <t>Nitrogen oxides</t>
        </is>
      </c>
      <c r="B817">
        <f>unallocated!B293/I817*J817</f>
        <v>7.9262867044443405E-5</v>
      </c>
      <c r="D817" t="inlineStr">
        <is>
          <t>kilogram</t>
        </is>
      </c>
      <c r="E817" t="inlineStr">
        <is>
          <t>air::urban air close to ground</t>
        </is>
      </c>
      <c r="F817" t="inlineStr">
        <is>
          <t>biosphere</t>
        </is>
      </c>
      <c r="I817" t="n">
        <v>7400</v>
      </c>
      <c r="J817" s="11">
        <f>J800</f>
        <v>0.86638879782700318</v>
      </c>
      <c r="K817" t="n">
        <v>2</v>
      </c>
      <c r="L817" s="3">
        <f>LN(B817)</f>
        <v>-9.4427407982036211</v>
      </c>
      <c r="M817" t="n">
        <v>1</v>
      </c>
      <c r="N817" t="n">
        <v>1</v>
      </c>
      <c r="O817" t="n">
        <v>1</v>
      </c>
      <c r="P817" t="n">
        <v>1.02</v>
      </c>
      <c r="Q817" t="n">
        <v>1.2</v>
      </c>
      <c r="R817" t="n">
        <v>1</v>
      </c>
      <c r="S817" t="n">
        <v>1.5</v>
      </c>
      <c r="T817">
        <f>LN(SQRT(EXP(
SQRT(
+POWER(LN(M817),2)
+POWER(LN(N817),2)
+POWER(LN(O817),2)
+POWER(LN(P817),2)
+POWER(LN(Q817),2)
+POWER(LN(R817),2)
+POWER(LN(S817),2)
)
)))</f>
        <v>0.22250575723605889</v>
      </c>
    </row>
    <row r="818">
      <c r="A818" t="inlineStr">
        <is>
          <t>Ammonia</t>
        </is>
      </c>
      <c r="B818">
        <f>unallocated!B294/I818*J818</f>
        <v>2.3415913454783868E-6</v>
      </c>
      <c r="D818" t="inlineStr">
        <is>
          <t>kilogram</t>
        </is>
      </c>
      <c r="E818" t="inlineStr">
        <is>
          <t>air::urban air close to ground</t>
        </is>
      </c>
      <c r="F818" t="inlineStr">
        <is>
          <t>biosphere</t>
        </is>
      </c>
      <c r="I818" t="n">
        <v>7400</v>
      </c>
      <c r="J818" s="11">
        <f>J800</f>
        <v>0.86638879782700318</v>
      </c>
      <c r="K818" t="n">
        <v>2</v>
      </c>
      <c r="L818" s="3">
        <f>LN(B818)</f>
        <v>-12.964679797561905</v>
      </c>
      <c r="M818" t="n">
        <v>1</v>
      </c>
      <c r="N818" t="n">
        <v>1</v>
      </c>
      <c r="O818" t="n">
        <v>1</v>
      </c>
      <c r="P818" t="n">
        <v>1.02</v>
      </c>
      <c r="Q818" t="n">
        <v>1.2</v>
      </c>
      <c r="R818" t="n">
        <v>1</v>
      </c>
      <c r="S818" t="n">
        <v>1.5</v>
      </c>
      <c r="T818">
        <f>LN(SQRT(EXP(
SQRT(
+POWER(LN(M818),2)
+POWER(LN(N818),2)
+POWER(LN(O818),2)
+POWER(LN(P818),2)
+POWER(LN(Q818),2)
+POWER(LN(R818),2)
+POWER(LN(S818),2)
)
)))</f>
        <v>0.22250575723605889</v>
      </c>
    </row>
    <row r="819">
      <c r="A819" t="inlineStr">
        <is>
          <t>Particulate Matter, &lt; 2.5 um</t>
        </is>
      </c>
      <c r="B819">
        <f>unallocated!B295/I819*J819</f>
        <v>7.0247740364351605E-7</v>
      </c>
      <c r="D819" t="inlineStr">
        <is>
          <t>kilogram</t>
        </is>
      </c>
      <c r="E819" t="inlineStr">
        <is>
          <t>air::urban air close to ground</t>
        </is>
      </c>
      <c r="F819" t="inlineStr">
        <is>
          <t>biosphere</t>
        </is>
      </c>
      <c r="I819" t="n">
        <v>7400</v>
      </c>
      <c r="J819" s="11">
        <f>J800</f>
        <v>0.86638879782700318</v>
      </c>
      <c r="K819" t="n">
        <v>2</v>
      </c>
      <c r="L819" s="3">
        <f>LN(B819)</f>
        <v>-14.168652601887841</v>
      </c>
      <c r="M819" t="n">
        <v>1</v>
      </c>
      <c r="N819" t="n">
        <v>1</v>
      </c>
      <c r="O819" t="n">
        <v>1</v>
      </c>
      <c r="P819" t="n">
        <v>1.02</v>
      </c>
      <c r="Q819" t="n">
        <v>1.2</v>
      </c>
      <c r="R819" t="n">
        <v>1</v>
      </c>
      <c r="S819" t="n">
        <v>3</v>
      </c>
      <c r="T819">
        <f>LN(SQRT(EXP(
SQRT(
+POWER(LN(M819),2)
+POWER(LN(N819),2)
+POWER(LN(O819),2)
+POWER(LN(P819),2)
+POWER(LN(Q819),2)
+POWER(LN(R819),2)
+POWER(LN(S819),2)
)
)))</f>
        <v>0.5569071410325479</v>
      </c>
    </row>
    <row r="820">
      <c r="A820" t="inlineStr">
        <is>
          <t>Mercury II</t>
        </is>
      </c>
      <c r="B820">
        <f>unallocated!B296/I820*J820</f>
        <v>7.0247740364351609E-10</v>
      </c>
      <c r="D820" t="inlineStr">
        <is>
          <t>kilogram</t>
        </is>
      </c>
      <c r="E820" t="inlineStr">
        <is>
          <t>air::urban air close to ground</t>
        </is>
      </c>
      <c r="F820" t="inlineStr">
        <is>
          <t>biosphere</t>
        </is>
      </c>
      <c r="I820" t="n">
        <v>7400</v>
      </c>
      <c r="J820" s="11">
        <f>J800</f>
        <v>0.86638879782700318</v>
      </c>
      <c r="K820" t="n">
        <v>2</v>
      </c>
      <c r="L820" s="3">
        <f>LN(B820)</f>
        <v>-21.076407880869979</v>
      </c>
      <c r="M820" t="n">
        <v>1</v>
      </c>
      <c r="N820" t="n">
        <v>1</v>
      </c>
      <c r="O820" t="n">
        <v>1</v>
      </c>
      <c r="P820" t="n">
        <v>1.02</v>
      </c>
      <c r="Q820" t="n">
        <v>1.2</v>
      </c>
      <c r="R820" t="n">
        <v>1</v>
      </c>
      <c r="S820" t="n">
        <v>5</v>
      </c>
      <c r="T820">
        <f>LN(SQRT(EXP(
SQRT(
+POWER(LN(M820),2)
+POWER(LN(N820),2)
+POWER(LN(O820),2)
+POWER(LN(P820),2)
+POWER(LN(Q820),2)
+POWER(LN(R820),2)
+POWER(LN(S820),2)
)
)))</f>
        <v>0.80992649174166365</v>
      </c>
    </row>
    <row r="821">
      <c r="A821" t="inlineStr">
        <is>
          <t>Lead II</t>
        </is>
      </c>
      <c r="B821">
        <f>unallocated!B297/I821*J821</f>
        <v>7.0247740364351609E-10</v>
      </c>
      <c r="D821" t="inlineStr">
        <is>
          <t>kilogram</t>
        </is>
      </c>
      <c r="E821" t="inlineStr">
        <is>
          <t>air::urban air close to ground</t>
        </is>
      </c>
      <c r="F821" t="inlineStr">
        <is>
          <t>biosphere</t>
        </is>
      </c>
      <c r="I821" t="n">
        <v>7400</v>
      </c>
      <c r="J821" s="11">
        <f>J800</f>
        <v>0.86638879782700318</v>
      </c>
      <c r="K821" t="n">
        <v>2</v>
      </c>
      <c r="L821" s="3">
        <f>LN(B821)</f>
        <v>-21.076407880869979</v>
      </c>
      <c r="M821" t="n">
        <v>1</v>
      </c>
      <c r="N821" t="n">
        <v>1</v>
      </c>
      <c r="O821" t="n">
        <v>1</v>
      </c>
      <c r="P821" t="n">
        <v>1.02</v>
      </c>
      <c r="Q821" t="n">
        <v>1.2</v>
      </c>
      <c r="R821" t="n">
        <v>1</v>
      </c>
      <c r="S821" t="n">
        <v>5</v>
      </c>
      <c r="T821">
        <f>LN(SQRT(EXP(
SQRT(
+POWER(LN(M821),2)
+POWER(LN(N821),2)
+POWER(LN(O821),2)
+POWER(LN(P821),2)
+POWER(LN(Q821),2)
+POWER(LN(R821),2)
+POWER(LN(S821),2)
)
)))</f>
        <v>0.80992649174166365</v>
      </c>
    </row>
    <row r="822">
      <c r="A822" t="inlineStr">
        <is>
          <t>Cadmium II</t>
        </is>
      </c>
      <c r="B822">
        <f>unallocated!B298/I822*J822</f>
        <v>3.5123870182175804E-10</v>
      </c>
      <c r="D822" t="inlineStr">
        <is>
          <t>kilogram</t>
        </is>
      </c>
      <c r="E822" t="inlineStr">
        <is>
          <t>air::urban air close to ground</t>
        </is>
      </c>
      <c r="F822" t="inlineStr">
        <is>
          <t>biosphere</t>
        </is>
      </c>
      <c r="I822" t="n">
        <v>7400</v>
      </c>
      <c r="J822" s="11">
        <f>J800</f>
        <v>0.86638879782700318</v>
      </c>
      <c r="K822" t="n">
        <v>2</v>
      </c>
      <c r="L822" s="3">
        <f>LN(B822)</f>
        <v>-21.769555061429923</v>
      </c>
      <c r="M822" t="n">
        <v>1</v>
      </c>
      <c r="N822" t="n">
        <v>1</v>
      </c>
      <c r="O822" t="n">
        <v>1</v>
      </c>
      <c r="P822" t="n">
        <v>1.02</v>
      </c>
      <c r="Q822" t="n">
        <v>1.2</v>
      </c>
      <c r="R822" t="n">
        <v>1</v>
      </c>
      <c r="S822" t="n">
        <v>5</v>
      </c>
      <c r="T822">
        <f>LN(SQRT(EXP(
SQRT(
+POWER(LN(M822),2)
+POWER(LN(N822),2)
+POWER(LN(O822),2)
+POWER(LN(P822),2)
+POWER(LN(Q822),2)
+POWER(LN(R822),2)
+POWER(LN(S822),2)
)
)))</f>
        <v>0.80992649174166365</v>
      </c>
    </row>
    <row r="823">
      <c r="A823" t="inlineStr">
        <is>
          <t>Arsenic ion</t>
        </is>
      </c>
      <c r="B823">
        <f>unallocated!B299/I823*J823</f>
        <v>3.5123870182175804E-10</v>
      </c>
      <c r="D823" t="inlineStr">
        <is>
          <t>kilogram</t>
        </is>
      </c>
      <c r="E823" t="inlineStr">
        <is>
          <t>air::urban air close to ground</t>
        </is>
      </c>
      <c r="F823" t="inlineStr">
        <is>
          <t>biosphere</t>
        </is>
      </c>
      <c r="I823" t="n">
        <v>7400</v>
      </c>
      <c r="J823" s="11">
        <f>J800</f>
        <v>0.86638879782700318</v>
      </c>
      <c r="K823" t="n">
        <v>2</v>
      </c>
      <c r="L823" s="3">
        <f>LN(B823)</f>
        <v>-21.769555061429923</v>
      </c>
      <c r="M823" t="n">
        <v>1</v>
      </c>
      <c r="N823" t="n">
        <v>1</v>
      </c>
      <c r="O823" t="n">
        <v>1</v>
      </c>
      <c r="P823" t="n">
        <v>1.02</v>
      </c>
      <c r="Q823" t="n">
        <v>1.2</v>
      </c>
      <c r="R823" t="n">
        <v>1</v>
      </c>
      <c r="S823" t="n">
        <v>5</v>
      </c>
      <c r="T823">
        <f>LN(SQRT(EXP(
SQRT(
+POWER(LN(M823),2)
+POWER(LN(N823),2)
+POWER(LN(O823),2)
+POWER(LN(P823),2)
+POWER(LN(Q823),2)
+POWER(LN(R823),2)
+POWER(LN(S823),2)
)
)))</f>
        <v>0.80992649174166365</v>
      </c>
    </row>
    <row r="824">
      <c r="A824" t="inlineStr">
        <is>
          <t>Dioxins, measured as 2,3,7,8-tetrachlorodibenzo-p-dioxin</t>
        </is>
      </c>
      <c r="B824">
        <f>unallocated!B300/I824*J824</f>
        <v>1.2878752400131128E-14</v>
      </c>
      <c r="D824" t="inlineStr">
        <is>
          <t>kilogram</t>
        </is>
      </c>
      <c r="E824" t="inlineStr">
        <is>
          <t>air::urban air close to ground</t>
        </is>
      </c>
      <c r="F824" t="inlineStr">
        <is>
          <t>biosphere</t>
        </is>
      </c>
      <c r="I824" t="n">
        <v>7400</v>
      </c>
      <c r="J824" s="11">
        <f>J800</f>
        <v>0.86638879782700318</v>
      </c>
      <c r="K824" t="n">
        <v>2</v>
      </c>
      <c r="L824" s="3">
        <f>LN(B824)</f>
        <v>-31.983197542269892</v>
      </c>
      <c r="M824" t="n">
        <v>1</v>
      </c>
      <c r="N824" t="n">
        <v>1</v>
      </c>
      <c r="O824" t="n">
        <v>1</v>
      </c>
      <c r="P824" t="n">
        <v>1.02</v>
      </c>
      <c r="Q824" t="n">
        <v>1.2</v>
      </c>
      <c r="R824" t="n">
        <v>1</v>
      </c>
      <c r="S824" t="n">
        <v>5</v>
      </c>
      <c r="T824">
        <f>LN(SQRT(EXP(
SQRT(
+POWER(LN(M824),2)
+POWER(LN(N824),2)
+POWER(LN(O824),2)
+POWER(LN(P824),2)
+POWER(LN(Q824),2)
+POWER(LN(R824),2)
+POWER(LN(S824),2)
)
)))</f>
        <v>0.80992649174166365</v>
      </c>
    </row>
    <row r="825">
      <c r="A825" t="inlineStr">
        <is>
          <t>Carbon dioxide, fossil</t>
        </is>
      </c>
      <c r="B825">
        <f>unallocated!B301/I825*J825</f>
        <v>6.5564557673394837E-3</v>
      </c>
      <c r="D825" t="inlineStr">
        <is>
          <t>kilogram</t>
        </is>
      </c>
      <c r="E825" t="inlineStr">
        <is>
          <t>air::urban air close to ground</t>
        </is>
      </c>
      <c r="F825" t="inlineStr">
        <is>
          <t>biosphere</t>
        </is>
      </c>
      <c r="I825" t="n">
        <v>7400</v>
      </c>
      <c r="J825" s="11">
        <f>J800</f>
        <v>0.86638879782700318</v>
      </c>
      <c r="K825" t="n">
        <v>2</v>
      </c>
      <c r="L825" s="3">
        <f>LN(B825)</f>
        <v>-5.0273051013986096</v>
      </c>
      <c r="M825" t="n">
        <v>1</v>
      </c>
      <c r="N825" t="n">
        <v>1</v>
      </c>
      <c r="O825" t="n">
        <v>1</v>
      </c>
      <c r="P825" t="n">
        <v>1.02</v>
      </c>
      <c r="Q825" t="n">
        <v>1.2</v>
      </c>
      <c r="R825" t="n">
        <v>1</v>
      </c>
      <c r="S825" t="n">
        <v>1.05</v>
      </c>
      <c r="T825">
        <f>LN(SQRT(EXP(
SQRT(
+POWER(LN(M825),2)
+POWER(LN(N825),2)
+POWER(LN(O825),2)
+POWER(LN(P825),2)
+POWER(LN(Q825),2)
+POWER(LN(R825),2)
+POWER(LN(S825),2)
)
)))</f>
        <v>9.4886477223156879E-2</v>
      </c>
    </row>
    <row r="826">
      <c r="A826" t="inlineStr">
        <is>
          <t>Carbon dioxide, non-fossil</t>
        </is>
      </c>
      <c r="B826">
        <f>unallocated!B302/I826*J826</f>
        <v>1.0420081487378823E-2</v>
      </c>
      <c r="D826" t="inlineStr">
        <is>
          <t>kilogram</t>
        </is>
      </c>
      <c r="E826" t="inlineStr">
        <is>
          <t>air::urban air close to ground</t>
        </is>
      </c>
      <c r="F826" t="inlineStr">
        <is>
          <t>biosphere</t>
        </is>
      </c>
      <c r="I826" t="n">
        <v>7400</v>
      </c>
      <c r="J826" s="14">
        <f>J800</f>
        <v>0.86638879782700318</v>
      </c>
      <c r="K826" t="n">
        <v>2</v>
      </c>
      <c r="L826" s="3">
        <f>LN(B826)</f>
        <v>-4.5640204224016188</v>
      </c>
      <c r="M826" t="n">
        <v>1</v>
      </c>
      <c r="N826" t="n">
        <v>1</v>
      </c>
      <c r="O826" t="n">
        <v>1</v>
      </c>
      <c r="P826" t="n">
        <v>1.02</v>
      </c>
      <c r="Q826" t="n">
        <v>1.2</v>
      </c>
      <c r="R826" t="n">
        <v>1</v>
      </c>
      <c r="S826" t="n">
        <v>1.05</v>
      </c>
      <c r="T826">
        <f>LN(SQRT(EXP(
SQRT(
+POWER(LN(M826),2)
+POWER(LN(N826),2)
+POWER(LN(O826),2)
+POWER(LN(P826),2)
+POWER(LN(Q826),2)
+POWER(LN(R826),2)
+POWER(LN(S826),2)
)
)))</f>
        <v>9.4886477223156879E-2</v>
      </c>
    </row>
    <row r="827">
      <c r="A827" t="inlineStr">
        <is>
          <t>Carbon dioxide, in air</t>
        </is>
      </c>
      <c r="B827">
        <f>unallocated!B303/I827*J827</f>
        <v>5.912518147332927E-2</v>
      </c>
      <c r="D827" t="inlineStr">
        <is>
          <t>kilogram</t>
        </is>
      </c>
      <c r="E827" t="inlineStr">
        <is>
          <t>natural resource::in air</t>
        </is>
      </c>
      <c r="F827" t="inlineStr">
        <is>
          <t>biosphere</t>
        </is>
      </c>
      <c r="H827" t="inlineStr">
        <is>
          <t>To reflect the permanent storage of non-fossil CO.</t>
        </is>
      </c>
      <c r="I827" t="n">
        <v>7400</v>
      </c>
      <c r="J827" s="14">
        <f>J800</f>
        <v>0.86638879782700318</v>
      </c>
      <c r="K827" t="n">
        <v>2</v>
      </c>
      <c r="L827" s="3">
        <f>LN(B827)</f>
        <v>-2.8280983628583991</v>
      </c>
      <c r="M827" t="n">
        <v>1</v>
      </c>
      <c r="N827" t="n">
        <v>1</v>
      </c>
      <c r="O827" t="n">
        <v>1</v>
      </c>
      <c r="P827" t="n">
        <v>1.02</v>
      </c>
      <c r="Q827" t="n">
        <v>1.2</v>
      </c>
      <c r="R827" t="n">
        <v>1</v>
      </c>
      <c r="S827" t="n">
        <v>1.05</v>
      </c>
      <c r="T827">
        <f>LN(SQRT(EXP(
SQRT(
+POWER(LN(M827),2)
+POWER(LN(N827),2)
+POWER(LN(O827),2)
+POWER(LN(P827),2)
+POWER(LN(Q827),2)
+POWER(LN(R827),2)
+POWER(LN(S827),2)
)
)))</f>
        <v>9.4886477223156879E-2</v>
      </c>
    </row>
    <row r="828"/>
    <row r="829">
      <c r="A829" s="1" t="inlineStr">
        <is>
          <t>Activity</t>
        </is>
      </c>
      <c r="B829" s="1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</row>
    <row r="830">
      <c r="A830" t="inlineStr">
        <is>
          <t>location</t>
        </is>
      </c>
      <c r="B830" t="inlineStr">
        <is>
          <t>RER</t>
        </is>
      </c>
    </row>
    <row r="831">
      <c r="A831" t="inlineStr">
        <is>
          <t>production amount</t>
        </is>
      </c>
      <c r="B831" t="n">
        <v>1</v>
      </c>
    </row>
    <row r="832">
      <c r="A832" s="2" t="inlineStr">
        <is>
          <t>source</t>
        </is>
      </c>
      <c r="B832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833">
      <c r="A833" t="inlineStr">
        <is>
          <t>reference product</t>
        </is>
      </c>
      <c r="B833" t="inlineStr">
        <is>
          <t>municipal solid waste</t>
        </is>
      </c>
    </row>
    <row r="834">
      <c r="A834" t="inlineStr">
        <is>
          <t>type</t>
        </is>
      </c>
      <c r="B834" t="inlineStr">
        <is>
          <t>process</t>
        </is>
      </c>
    </row>
    <row r="835">
      <c r="A835" t="inlineStr">
        <is>
          <t>unit</t>
        </is>
      </c>
      <c r="B835" t="inlineStr">
        <is>
          <t>kilogram</t>
        </is>
      </c>
    </row>
    <row r="836">
      <c r="A836" t="inlineStr">
        <is>
          <t>comment</t>
        </is>
      </c>
      <c r="B836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837">
      <c r="A837" s="1" t="inlineStr">
        <is>
          <t>Exchanges</t>
        </is>
      </c>
    </row>
    <row r="838">
      <c r="A838" s="7" t="inlineStr">
        <is>
          <t>name</t>
        </is>
      </c>
      <c r="B838" s="7" t="inlineStr">
        <is>
          <t>amount</t>
        </is>
      </c>
      <c r="C838" s="7" t="inlineStr">
        <is>
          <t>location</t>
        </is>
      </c>
      <c r="D838" s="7" t="inlineStr">
        <is>
          <t>unit</t>
        </is>
      </c>
      <c r="E838" s="7" t="inlineStr">
        <is>
          <t>categories</t>
        </is>
      </c>
      <c r="F838" s="7" t="inlineStr">
        <is>
          <t>type</t>
        </is>
      </c>
      <c r="G838" s="7" t="inlineStr">
        <is>
          <t>reference product</t>
        </is>
      </c>
      <c r="H838" s="7" t="inlineStr">
        <is>
          <t>comment</t>
        </is>
      </c>
      <c r="I838" s="7" t="inlineStr">
        <is>
          <t>normalization</t>
        </is>
      </c>
      <c r="J838" s="7" t="inlineStr">
        <is>
          <t>allocation</t>
        </is>
      </c>
      <c r="K838" s="7" t="inlineStr">
        <is>
          <t>uncertainty type</t>
        </is>
      </c>
      <c r="L838" s="7" t="inlineStr">
        <is>
          <t>loc</t>
        </is>
      </c>
      <c r="M838" s="1" t="inlineStr">
        <is>
          <t>u1</t>
        </is>
      </c>
      <c r="N838" s="1" t="inlineStr">
        <is>
          <t>u2</t>
        </is>
      </c>
      <c r="O838" s="1" t="inlineStr">
        <is>
          <t>u3</t>
        </is>
      </c>
      <c r="P838" s="1" t="inlineStr">
        <is>
          <t>u4</t>
        </is>
      </c>
      <c r="Q838" s="1" t="inlineStr">
        <is>
          <t>u5</t>
        </is>
      </c>
      <c r="R838" s="1" t="inlineStr">
        <is>
          <t>u6</t>
        </is>
      </c>
      <c r="S838" s="1" t="inlineStr">
        <is>
          <t>ub</t>
        </is>
      </c>
      <c r="T838" s="1" t="inlineStr">
        <is>
          <t>scale</t>
        </is>
      </c>
      <c r="U838" s="1" t="inlineStr">
        <is>
          <t>negative</t>
        </is>
      </c>
    </row>
    <row r="839">
      <c r="A839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B839" t="n">
        <v>1</v>
      </c>
      <c r="C839" t="inlineStr">
        <is>
          <t>RER</t>
        </is>
      </c>
      <c r="D839" t="inlineStr">
        <is>
          <t>kilogram</t>
        </is>
      </c>
      <c r="F839" t="inlineStr">
        <is>
          <t>production</t>
        </is>
      </c>
      <c r="G839" t="inlineStr">
        <is>
          <t>municipal solid waste</t>
        </is>
      </c>
      <c r="H839" t="inlineStr"/>
      <c r="I839" t="n">
        <v>1000</v>
      </c>
      <c r="J839" s="14">
        <f>INDEX('allocation keys'!$F$4:$H$28,MATCH('allocated (energy)'!$B$829,'allocation keys'!$B$4:$B$28,0),MATCH('allocated (energy)'!$B$833,'allocation keys'!$F$3:$H$3,0))</f>
        <v>0</v>
      </c>
      <c r="K839" t="n">
        <v>0</v>
      </c>
      <c r="M839" s="5" t="n"/>
      <c r="N839" s="5" t="n"/>
      <c r="O839" s="5" t="n"/>
      <c r="P839" s="5" t="n"/>
      <c r="Q839" s="5" t="n"/>
      <c r="R839" s="5" t="n"/>
    </row>
    <row r="840">
      <c r="A840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B840" s="6" t="n">
        <v>0</v>
      </c>
      <c r="C840" t="inlineStr">
        <is>
          <t>RER</t>
        </is>
      </c>
      <c r="D840" t="inlineStr">
        <is>
          <t>kilowatt hour</t>
        </is>
      </c>
      <c r="F840" t="inlineStr">
        <is>
          <t>technosphere</t>
        </is>
      </c>
      <c r="G840" t="inlineStr">
        <is>
          <t>electricity, medium voltage</t>
        </is>
      </c>
      <c r="H840" t="inlineStr"/>
      <c r="I840" t="n">
        <v>1000</v>
      </c>
      <c r="J840" s="11">
        <f>J839</f>
        <v>0</v>
      </c>
      <c r="K840" t="n">
        <v>0</v>
      </c>
      <c r="L840" s="3" t="n"/>
    </row>
    <row r="841">
      <c r="A841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B841" t="n">
        <v>0</v>
      </c>
      <c r="C841" t="inlineStr">
        <is>
          <t>RER</t>
        </is>
      </c>
      <c r="D841" t="inlineStr">
        <is>
          <t>megajoule</t>
        </is>
      </c>
      <c r="F841" t="inlineStr">
        <is>
          <t>technosphere</t>
        </is>
      </c>
      <c r="G841" t="inlineStr">
        <is>
          <t>heat, district or industrial, other than natural gas</t>
        </is>
      </c>
      <c r="H841" t="inlineStr"/>
      <c r="I841" t="n">
        <v>1000</v>
      </c>
      <c r="J841" s="11">
        <f>J839</f>
        <v>0</v>
      </c>
      <c r="K841" t="n">
        <v>0</v>
      </c>
      <c r="L841" s="3" t="n"/>
    </row>
    <row r="842">
      <c r="A842" t="inlineStr">
        <is>
          <t>market for diesel, low-sulfur</t>
        </is>
      </c>
      <c r="B842">
        <f>unallocated!B318/I842*J842</f>
        <v>0</v>
      </c>
      <c r="C842" t="inlineStr">
        <is>
          <t>Europe without Switzerland</t>
        </is>
      </c>
      <c r="D842" t="inlineStr">
        <is>
          <t>kilogram</t>
        </is>
      </c>
      <c r="F842" t="inlineStr">
        <is>
          <t>technosphere</t>
        </is>
      </c>
      <c r="G842" t="inlineStr">
        <is>
          <t>diesel, low-sulfur</t>
        </is>
      </c>
      <c r="H842" t="inlineStr">
        <is>
          <t>Diesel density: 0.85 kg/l</t>
        </is>
      </c>
      <c r="I842" t="n">
        <v>1000</v>
      </c>
      <c r="J842" s="11">
        <f>J839</f>
        <v>0</v>
      </c>
      <c r="K842" t="n">
        <v>0</v>
      </c>
      <c r="L842" s="3" t="n"/>
    </row>
    <row r="843">
      <c r="A843" t="inlineStr">
        <is>
          <t>market for activated carbon, granular</t>
        </is>
      </c>
      <c r="B843">
        <f>unallocated!B319/I843*J843</f>
        <v>0</v>
      </c>
      <c r="C843" t="inlineStr">
        <is>
          <t>GLO</t>
        </is>
      </c>
      <c r="D843" t="inlineStr">
        <is>
          <t>kilogram</t>
        </is>
      </c>
      <c r="F843" t="inlineStr">
        <is>
          <t>technosphere</t>
        </is>
      </c>
      <c r="G843" t="inlineStr">
        <is>
          <t>activated carbon, granular</t>
        </is>
      </c>
      <c r="I843" t="n">
        <v>1000</v>
      </c>
      <c r="J843" s="11">
        <f>J839</f>
        <v>0</v>
      </c>
      <c r="K843" t="n">
        <v>0</v>
      </c>
      <c r="L843" s="3" t="n"/>
    </row>
    <row r="844">
      <c r="A844" t="inlineStr">
        <is>
          <t>market for ammonia, anhydrous, liquid</t>
        </is>
      </c>
      <c r="B844">
        <f>unallocated!B320/I844*J844</f>
        <v>0</v>
      </c>
      <c r="C844" t="inlineStr">
        <is>
          <t>RER</t>
        </is>
      </c>
      <c r="D844" t="inlineStr">
        <is>
          <t>kilogram</t>
        </is>
      </c>
      <c r="F844" t="inlineStr">
        <is>
          <t>technosphere</t>
        </is>
      </c>
      <c r="G844" t="inlineStr">
        <is>
          <t>ammonia, anhydrous, liquid</t>
        </is>
      </c>
      <c r="H844" t="inlineStr">
        <is>
          <t>100% liquid ammonia. In original publication, it is dilluated to 23.5% in water. We discount the original value by 75%.</t>
        </is>
      </c>
      <c r="I844" t="n">
        <v>1000</v>
      </c>
      <c r="J844" s="11">
        <f>J839</f>
        <v>0</v>
      </c>
      <c r="K844" t="n">
        <v>0</v>
      </c>
      <c r="L844" s="3" t="n"/>
    </row>
    <row r="845">
      <c r="A845" t="inlineStr">
        <is>
          <t>market for tap water</t>
        </is>
      </c>
      <c r="B845">
        <f>unallocated!B321/I845*J845</f>
        <v>0</v>
      </c>
      <c r="C845" t="inlineStr">
        <is>
          <t>Europe without Switzerland</t>
        </is>
      </c>
      <c r="D845" t="inlineStr">
        <is>
          <t>kilogram</t>
        </is>
      </c>
      <c r="F845" t="inlineStr">
        <is>
          <t>technosphere</t>
        </is>
      </c>
      <c r="G845" t="inlineStr">
        <is>
          <t>tap water</t>
        </is>
      </c>
      <c r="H845" t="inlineStr">
        <is>
          <t>Used to dilute the ammonia.</t>
        </is>
      </c>
      <c r="I845" t="n">
        <v>1000</v>
      </c>
      <c r="J845" s="11">
        <f>J839</f>
        <v>0</v>
      </c>
      <c r="K845" t="n">
        <v>0</v>
      </c>
      <c r="L845" s="3" t="n"/>
    </row>
    <row r="846">
      <c r="A846" t="inlineStr">
        <is>
          <t>market for calcium carbonate, precipitated</t>
        </is>
      </c>
      <c r="B846">
        <f>unallocated!B322/I846*J846</f>
        <v>0</v>
      </c>
      <c r="C846" t="inlineStr">
        <is>
          <t>RER</t>
        </is>
      </c>
      <c r="D846" t="inlineStr">
        <is>
          <t>kilogram</t>
        </is>
      </c>
      <c r="F846" t="inlineStr">
        <is>
          <t>technosphere</t>
        </is>
      </c>
      <c r="G846" t="inlineStr">
        <is>
          <t>calcium carbonate, precipitated</t>
        </is>
      </c>
      <c r="I846" t="n">
        <v>1000</v>
      </c>
      <c r="J846" s="11">
        <f>J839</f>
        <v>0</v>
      </c>
      <c r="K846" t="n">
        <v>0</v>
      </c>
      <c r="L846" s="3" t="n"/>
    </row>
    <row r="847">
      <c r="A847" t="inlineStr">
        <is>
          <t>market for iron(III) chloride, without water, in 40% solution state</t>
        </is>
      </c>
      <c r="B847">
        <f>unallocated!B323/I847*J847</f>
        <v>0</v>
      </c>
      <c r="C847" t="inlineStr">
        <is>
          <t>GLO</t>
        </is>
      </c>
      <c r="D847" t="inlineStr">
        <is>
          <t>kilogram</t>
        </is>
      </c>
      <c r="F847" t="inlineStr">
        <is>
          <t>technosphere</t>
        </is>
      </c>
      <c r="G847" t="inlineStr">
        <is>
          <t>iron(III) chloride, without water, in 40% solution state</t>
        </is>
      </c>
      <c r="I847" t="n">
        <v>1000</v>
      </c>
      <c r="J847" s="11">
        <f>J839</f>
        <v>0</v>
      </c>
      <c r="K847" t="n">
        <v>0</v>
      </c>
      <c r="L847" s="3" t="n"/>
    </row>
    <row r="848">
      <c r="A848" t="inlineStr">
        <is>
          <t>market for lime, hydrated, packed</t>
        </is>
      </c>
      <c r="B848">
        <f>unallocated!B324/I848*J848</f>
        <v>0</v>
      </c>
      <c r="C848" t="inlineStr">
        <is>
          <t>RER</t>
        </is>
      </c>
      <c r="D848" t="inlineStr">
        <is>
          <t>kilogram</t>
        </is>
      </c>
      <c r="F848" t="inlineStr">
        <is>
          <t>technosphere</t>
        </is>
      </c>
      <c r="G848" t="inlineStr">
        <is>
          <t>lime, hydrated, packed</t>
        </is>
      </c>
      <c r="I848" t="n">
        <v>1000</v>
      </c>
      <c r="J848" s="11">
        <f>J839</f>
        <v>0</v>
      </c>
      <c r="K848" t="n">
        <v>0</v>
      </c>
      <c r="L848" s="3" t="n"/>
    </row>
    <row r="849">
      <c r="A849" t="inlineStr">
        <is>
          <t>market for sodium hydroxide, without water, in 50% solution state</t>
        </is>
      </c>
      <c r="B849">
        <f>unallocated!B325/I849*J849</f>
        <v>0</v>
      </c>
      <c r="C849" t="inlineStr">
        <is>
          <t>RER</t>
        </is>
      </c>
      <c r="D849" t="inlineStr">
        <is>
          <t>kilogram</t>
        </is>
      </c>
      <c r="F849" t="inlineStr">
        <is>
          <t>technosphere</t>
        </is>
      </c>
      <c r="G849" t="inlineStr">
        <is>
          <t>sodium hydroxide, without water, in 50% solution state</t>
        </is>
      </c>
      <c r="H849" t="inlineStr">
        <is>
          <t>50% liquid ammonia. In original publication, it is dilluated to 27% in water. We discount the original value by 50%.</t>
        </is>
      </c>
      <c r="I849" t="n">
        <v>1000</v>
      </c>
      <c r="J849" s="11">
        <f>J839</f>
        <v>0</v>
      </c>
      <c r="K849" t="n">
        <v>0</v>
      </c>
      <c r="L849" s="3" t="n"/>
    </row>
    <row r="850">
      <c r="A850" t="inlineStr">
        <is>
          <t>market for monoethanolamine</t>
        </is>
      </c>
      <c r="B850">
        <f>unallocated!B326/I850*J850</f>
        <v>0</v>
      </c>
      <c r="C850" t="inlineStr">
        <is>
          <t>GLO</t>
        </is>
      </c>
      <c r="D850" t="inlineStr">
        <is>
          <t>kilogram</t>
        </is>
      </c>
      <c r="F850" t="inlineStr">
        <is>
          <t>technosphere</t>
        </is>
      </c>
      <c r="G850" t="inlineStr">
        <is>
          <t>monoethanolamine</t>
        </is>
      </c>
      <c r="I850" t="n">
        <v>1000</v>
      </c>
      <c r="J850" s="11">
        <f>J839</f>
        <v>0</v>
      </c>
      <c r="K850" t="n">
        <v>0</v>
      </c>
      <c r="L850" s="3" t="n"/>
    </row>
    <row r="851">
      <c r="A851" t="inlineStr">
        <is>
          <t>municipal waste incineration facility construction</t>
        </is>
      </c>
      <c r="B851">
        <f>unallocated!B327/I851*J851</f>
        <v>0</v>
      </c>
      <c r="C851" t="inlineStr">
        <is>
          <t>CH</t>
        </is>
      </c>
      <c r="D851" t="inlineStr">
        <is>
          <t>unit</t>
        </is>
      </c>
      <c r="F851" t="inlineStr">
        <is>
          <t>technosphere</t>
        </is>
      </c>
      <c r="G851" t="inlineStr">
        <is>
          <t>municipal waste incineration facility</t>
        </is>
      </c>
      <c r="H851" t="inlineStr">
        <is>
          <t>Lifetime: 4'000'000 tons MSWI treated.</t>
        </is>
      </c>
      <c r="I851" t="n">
        <v>1000</v>
      </c>
      <c r="J851" s="11">
        <f>J839</f>
        <v>0</v>
      </c>
      <c r="K851" t="n">
        <v>0</v>
      </c>
      <c r="L851" s="3" t="n"/>
    </row>
    <row r="852">
      <c r="A852" t="inlineStr">
        <is>
          <t>carbon dioxide storage at wood burning power plant 20 MW post, pipeline 200km, storage 1000m</t>
        </is>
      </c>
      <c r="B852">
        <f>unallocated!B328/I852*J852</f>
        <v>0</v>
      </c>
      <c r="C852" t="inlineStr">
        <is>
          <t>RER</t>
        </is>
      </c>
      <c r="D852" t="inlineStr">
        <is>
          <t>kilogram</t>
        </is>
      </c>
      <c r="F852" t="inlineStr">
        <is>
          <t>technosphere</t>
        </is>
      </c>
      <c r="G852" t="inlineStr">
        <is>
          <t>carbon dioxide storage at wood burning power plant 20 MW post, pipeline 200km, storage 1000m</t>
        </is>
      </c>
      <c r="I852" t="n">
        <v>1000</v>
      </c>
      <c r="J852" s="11">
        <f>J839</f>
        <v>0</v>
      </c>
      <c r="K852" t="n">
        <v>0</v>
      </c>
      <c r="L852" s="3" t="n"/>
    </row>
    <row r="853">
      <c r="A853" t="inlineStr">
        <is>
          <t>Water, cooling, unspecified natural origin</t>
        </is>
      </c>
      <c r="B853">
        <f>unallocated!B329/I853*J853</f>
        <v>0</v>
      </c>
      <c r="D853" t="inlineStr">
        <is>
          <t>cubic meter</t>
        </is>
      </c>
      <c r="E853" t="inlineStr">
        <is>
          <t>natural resource::in water</t>
        </is>
      </c>
      <c r="F853" t="inlineStr">
        <is>
          <t>biosphere</t>
        </is>
      </c>
      <c r="I853" t="n">
        <v>1000</v>
      </c>
      <c r="J853" s="11">
        <f>J839</f>
        <v>0</v>
      </c>
      <c r="K853" t="n">
        <v>0</v>
      </c>
      <c r="L853" s="3" t="n"/>
    </row>
    <row r="854">
      <c r="A854" t="inlineStr">
        <is>
          <t>Sulfur dioxide</t>
        </is>
      </c>
      <c r="B854">
        <f>unallocated!B330/I854*J854</f>
        <v>0</v>
      </c>
      <c r="D854" t="inlineStr">
        <is>
          <t>kilogram</t>
        </is>
      </c>
      <c r="E854" t="inlineStr">
        <is>
          <t>air::urban air close to ground</t>
        </is>
      </c>
      <c r="F854" t="inlineStr">
        <is>
          <t>biosphere</t>
        </is>
      </c>
      <c r="I854" t="n">
        <v>1000</v>
      </c>
      <c r="J854" s="11">
        <f>J839</f>
        <v>0</v>
      </c>
      <c r="K854" t="n">
        <v>0</v>
      </c>
      <c r="L854" s="3" t="n"/>
    </row>
    <row r="855">
      <c r="A855" t="inlineStr">
        <is>
          <t>Hydrochloric acid</t>
        </is>
      </c>
      <c r="B855">
        <f>unallocated!B331/I855*J855</f>
        <v>0</v>
      </c>
      <c r="D855" t="inlineStr">
        <is>
          <t>kilogram</t>
        </is>
      </c>
      <c r="E855" t="inlineStr">
        <is>
          <t>air</t>
        </is>
      </c>
      <c r="F855" t="inlineStr">
        <is>
          <t>biosphere</t>
        </is>
      </c>
      <c r="I855" t="n">
        <v>1000</v>
      </c>
      <c r="J855" s="11">
        <f>J839</f>
        <v>0</v>
      </c>
      <c r="K855" t="n">
        <v>0</v>
      </c>
      <c r="L855" s="3" t="n"/>
    </row>
    <row r="856">
      <c r="A856" t="inlineStr">
        <is>
          <t>Nitrogen oxides</t>
        </is>
      </c>
      <c r="B856">
        <f>unallocated!B332/I856*J856</f>
        <v>0</v>
      </c>
      <c r="D856" t="inlineStr">
        <is>
          <t>kilogram</t>
        </is>
      </c>
      <c r="E856" t="inlineStr">
        <is>
          <t>air::urban air close to ground</t>
        </is>
      </c>
      <c r="F856" t="inlineStr">
        <is>
          <t>biosphere</t>
        </is>
      </c>
      <c r="I856" t="n">
        <v>1000</v>
      </c>
      <c r="J856" s="11">
        <f>J839</f>
        <v>0</v>
      </c>
      <c r="K856" t="n">
        <v>0</v>
      </c>
      <c r="L856" s="3" t="n"/>
    </row>
    <row r="857">
      <c r="A857" t="inlineStr">
        <is>
          <t>Ammonia</t>
        </is>
      </c>
      <c r="B857">
        <f>unallocated!B333/I857*J857</f>
        <v>0</v>
      </c>
      <c r="D857" t="inlineStr">
        <is>
          <t>kilogram</t>
        </is>
      </c>
      <c r="E857" t="inlineStr">
        <is>
          <t>air::urban air close to ground</t>
        </is>
      </c>
      <c r="F857" t="inlineStr">
        <is>
          <t>biosphere</t>
        </is>
      </c>
      <c r="I857" t="n">
        <v>1000</v>
      </c>
      <c r="J857" s="11">
        <f>J839</f>
        <v>0</v>
      </c>
      <c r="K857" t="n">
        <v>0</v>
      </c>
      <c r="L857" s="3" t="n"/>
    </row>
    <row r="858">
      <c r="A858" t="inlineStr">
        <is>
          <t>Particulate Matter, &lt; 2.5 um</t>
        </is>
      </c>
      <c r="B858">
        <f>unallocated!B334/I858*J858</f>
        <v>0</v>
      </c>
      <c r="D858" t="inlineStr">
        <is>
          <t>kilogram</t>
        </is>
      </c>
      <c r="E858" t="inlineStr">
        <is>
          <t>air::urban air close to ground</t>
        </is>
      </c>
      <c r="F858" t="inlineStr">
        <is>
          <t>biosphere</t>
        </is>
      </c>
      <c r="I858" t="n">
        <v>1000</v>
      </c>
      <c r="J858" s="11">
        <f>J839</f>
        <v>0</v>
      </c>
      <c r="K858" t="n">
        <v>0</v>
      </c>
      <c r="L858" s="3" t="n"/>
    </row>
    <row r="859">
      <c r="A859" t="inlineStr">
        <is>
          <t>Mercury II</t>
        </is>
      </c>
      <c r="B859">
        <f>unallocated!B335/I859*J859</f>
        <v>0</v>
      </c>
      <c r="D859" t="inlineStr">
        <is>
          <t>kilogram</t>
        </is>
      </c>
      <c r="E859" t="inlineStr">
        <is>
          <t>air::urban air close to ground</t>
        </is>
      </c>
      <c r="F859" t="inlineStr">
        <is>
          <t>biosphere</t>
        </is>
      </c>
      <c r="I859" t="n">
        <v>1000</v>
      </c>
      <c r="J859" s="11">
        <f>J839</f>
        <v>0</v>
      </c>
      <c r="K859" t="n">
        <v>0</v>
      </c>
      <c r="L859" s="3" t="n"/>
    </row>
    <row r="860">
      <c r="A860" t="inlineStr">
        <is>
          <t>Lead II</t>
        </is>
      </c>
      <c r="B860">
        <f>unallocated!B336/I860*J860</f>
        <v>0</v>
      </c>
      <c r="D860" t="inlineStr">
        <is>
          <t>kilogram</t>
        </is>
      </c>
      <c r="E860" t="inlineStr">
        <is>
          <t>air::urban air close to ground</t>
        </is>
      </c>
      <c r="F860" t="inlineStr">
        <is>
          <t>biosphere</t>
        </is>
      </c>
      <c r="I860" t="n">
        <v>1000</v>
      </c>
      <c r="J860" s="11">
        <f>J839</f>
        <v>0</v>
      </c>
      <c r="K860" t="n">
        <v>0</v>
      </c>
      <c r="L860" s="3" t="n"/>
    </row>
    <row r="861">
      <c r="A861" t="inlineStr">
        <is>
          <t>Cadmium II</t>
        </is>
      </c>
      <c r="B861">
        <f>unallocated!B337/I861*J861</f>
        <v>0</v>
      </c>
      <c r="D861" t="inlineStr">
        <is>
          <t>kilogram</t>
        </is>
      </c>
      <c r="E861" t="inlineStr">
        <is>
          <t>air::urban air close to ground</t>
        </is>
      </c>
      <c r="F861" t="inlineStr">
        <is>
          <t>biosphere</t>
        </is>
      </c>
      <c r="I861" t="n">
        <v>1000</v>
      </c>
      <c r="J861" s="11">
        <f>J839</f>
        <v>0</v>
      </c>
      <c r="K861" t="n">
        <v>0</v>
      </c>
      <c r="L861" s="3" t="n"/>
    </row>
    <row r="862">
      <c r="A862" t="inlineStr">
        <is>
          <t>Arsenic ion</t>
        </is>
      </c>
      <c r="B862">
        <f>unallocated!B338/I862*J862</f>
        <v>0</v>
      </c>
      <c r="D862" t="inlineStr">
        <is>
          <t>kilogram</t>
        </is>
      </c>
      <c r="E862" t="inlineStr">
        <is>
          <t>air::urban air close to ground</t>
        </is>
      </c>
      <c r="F862" t="inlineStr">
        <is>
          <t>biosphere</t>
        </is>
      </c>
      <c r="I862" t="n">
        <v>1000</v>
      </c>
      <c r="J862" s="11">
        <f>J839</f>
        <v>0</v>
      </c>
      <c r="K862" t="n">
        <v>0</v>
      </c>
      <c r="L862" s="3" t="n"/>
    </row>
    <row r="863">
      <c r="A863" t="inlineStr">
        <is>
          <t>Dioxins, measured as 2,3,7,8-tetrachlorodibenzo-p-dioxin</t>
        </is>
      </c>
      <c r="B863">
        <f>unallocated!B339/I863*J863</f>
        <v>0</v>
      </c>
      <c r="D863" t="inlineStr">
        <is>
          <t>kilogram</t>
        </is>
      </c>
      <c r="E863" t="inlineStr">
        <is>
          <t>air::urban air close to ground</t>
        </is>
      </c>
      <c r="F863" t="inlineStr">
        <is>
          <t>biosphere</t>
        </is>
      </c>
      <c r="I863" t="n">
        <v>1000</v>
      </c>
      <c r="J863" s="11">
        <f>J839</f>
        <v>0</v>
      </c>
      <c r="K863" t="n">
        <v>0</v>
      </c>
      <c r="L863" s="3" t="n"/>
    </row>
    <row r="864">
      <c r="A864" t="inlineStr">
        <is>
          <t>Carbon dioxide, fossil</t>
        </is>
      </c>
      <c r="B864">
        <f>unallocated!B340/I864*J864</f>
        <v>0</v>
      </c>
      <c r="D864" t="inlineStr">
        <is>
          <t>kilogram</t>
        </is>
      </c>
      <c r="E864" t="inlineStr">
        <is>
          <t>air::urban air close to ground</t>
        </is>
      </c>
      <c r="F864" t="inlineStr">
        <is>
          <t>biosphere</t>
        </is>
      </c>
      <c r="I864" t="n">
        <v>1000</v>
      </c>
      <c r="J864" s="11">
        <f>J839</f>
        <v>0</v>
      </c>
      <c r="K864" t="n">
        <v>0</v>
      </c>
      <c r="L864" s="3" t="n"/>
    </row>
    <row r="865">
      <c r="A865" t="inlineStr">
        <is>
          <t>Carbon dioxide, non-fossil</t>
        </is>
      </c>
      <c r="B865">
        <f>unallocated!B341/I865*J865</f>
        <v>0</v>
      </c>
      <c r="D865" t="inlineStr">
        <is>
          <t>kilogram</t>
        </is>
      </c>
      <c r="E865" t="inlineStr">
        <is>
          <t>air::urban air close to ground</t>
        </is>
      </c>
      <c r="F865" t="inlineStr">
        <is>
          <t>biosphere</t>
        </is>
      </c>
      <c r="I865" t="n">
        <v>1000</v>
      </c>
      <c r="J865" s="14">
        <f>J839</f>
        <v>0</v>
      </c>
      <c r="K865" t="n">
        <v>0</v>
      </c>
      <c r="L865" s="3" t="n"/>
    </row>
    <row r="866">
      <c r="A866" t="inlineStr">
        <is>
          <t>Carbon dioxide, in air</t>
        </is>
      </c>
      <c r="B866">
        <f>unallocated!B342/I866*J866</f>
        <v>0</v>
      </c>
      <c r="D866" t="inlineStr">
        <is>
          <t>kilogram</t>
        </is>
      </c>
      <c r="E866" t="inlineStr">
        <is>
          <t>natural resource::in air</t>
        </is>
      </c>
      <c r="F866" t="inlineStr">
        <is>
          <t>biosphere</t>
        </is>
      </c>
      <c r="H866" t="inlineStr">
        <is>
          <t>To reflect the permanent storage of non-fossil CO.</t>
        </is>
      </c>
      <c r="I866" t="n">
        <v>1000</v>
      </c>
      <c r="J866" s="14">
        <f>J839</f>
        <v>0</v>
      </c>
      <c r="K866" t="n">
        <v>0</v>
      </c>
      <c r="L866" s="3" t="n"/>
    </row>
    <row r="867"/>
    <row r="868">
      <c r="A868" s="1" t="inlineStr">
        <is>
          <t>Activity</t>
        </is>
      </c>
      <c r="B868" s="1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</row>
    <row r="869">
      <c r="A869" t="inlineStr">
        <is>
          <t>location</t>
        </is>
      </c>
      <c r="B869" t="inlineStr">
        <is>
          <t>RER</t>
        </is>
      </c>
    </row>
    <row r="870">
      <c r="A870" t="inlineStr">
        <is>
          <t>production amount</t>
        </is>
      </c>
      <c r="B870" t="n">
        <v>1</v>
      </c>
    </row>
    <row r="871">
      <c r="A871" s="2" t="inlineStr">
        <is>
          <t>source</t>
        </is>
      </c>
      <c r="B871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872">
      <c r="A872" t="inlineStr">
        <is>
          <t>reference product</t>
        </is>
      </c>
      <c r="B872" t="inlineStr">
        <is>
          <t>electricity, medium voltage</t>
        </is>
      </c>
    </row>
    <row r="873">
      <c r="A873" t="inlineStr">
        <is>
          <t>type</t>
        </is>
      </c>
      <c r="B873" t="inlineStr">
        <is>
          <t>process</t>
        </is>
      </c>
    </row>
    <row r="874">
      <c r="A874" t="inlineStr">
        <is>
          <t>unit</t>
        </is>
      </c>
      <c r="B874" t="inlineStr">
        <is>
          <t>kilowatt hour</t>
        </is>
      </c>
    </row>
    <row r="875">
      <c r="A875" t="inlineStr">
        <is>
          <t>comment</t>
        </is>
      </c>
      <c r="B875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876">
      <c r="A876" s="1" t="inlineStr">
        <is>
          <t>Exchanges</t>
        </is>
      </c>
    </row>
    <row r="877">
      <c r="A877" s="7" t="inlineStr">
        <is>
          <t>name</t>
        </is>
      </c>
      <c r="B877" s="7" t="inlineStr">
        <is>
          <t>amount</t>
        </is>
      </c>
      <c r="C877" s="7" t="inlineStr">
        <is>
          <t>location</t>
        </is>
      </c>
      <c r="D877" s="7" t="inlineStr">
        <is>
          <t>unit</t>
        </is>
      </c>
      <c r="E877" s="7" t="inlineStr">
        <is>
          <t>categories</t>
        </is>
      </c>
      <c r="F877" s="7" t="inlineStr">
        <is>
          <t>type</t>
        </is>
      </c>
      <c r="G877" s="7" t="inlineStr">
        <is>
          <t>reference product</t>
        </is>
      </c>
      <c r="H877" s="7" t="inlineStr">
        <is>
          <t>comment</t>
        </is>
      </c>
      <c r="I877" s="7" t="inlineStr">
        <is>
          <t>normalization</t>
        </is>
      </c>
      <c r="J877" s="7" t="inlineStr">
        <is>
          <t>allocation</t>
        </is>
      </c>
      <c r="K877" s="7" t="inlineStr">
        <is>
          <t>uncertainty type</t>
        </is>
      </c>
      <c r="L877" s="7" t="inlineStr">
        <is>
          <t>loc</t>
        </is>
      </c>
      <c r="M877" s="1" t="inlineStr">
        <is>
          <t>u1</t>
        </is>
      </c>
      <c r="N877" s="1" t="inlineStr">
        <is>
          <t>u2</t>
        </is>
      </c>
      <c r="O877" s="1" t="inlineStr">
        <is>
          <t>u3</t>
        </is>
      </c>
      <c r="P877" s="1" t="inlineStr">
        <is>
          <t>u4</t>
        </is>
      </c>
      <c r="Q877" s="1" t="inlineStr">
        <is>
          <t>u5</t>
        </is>
      </c>
      <c r="R877" s="1" t="inlineStr">
        <is>
          <t>u6</t>
        </is>
      </c>
      <c r="S877" s="1" t="inlineStr">
        <is>
          <t>ub</t>
        </is>
      </c>
      <c r="T877" s="1" t="inlineStr">
        <is>
          <t>scale</t>
        </is>
      </c>
      <c r="U877" s="1" t="inlineStr">
        <is>
          <t>negative</t>
        </is>
      </c>
    </row>
    <row r="878">
      <c r="A878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B878" t="n">
        <v>0</v>
      </c>
      <c r="C878" t="inlineStr">
        <is>
          <t>RER</t>
        </is>
      </c>
      <c r="D878" t="inlineStr">
        <is>
          <t>kilogram</t>
        </is>
      </c>
      <c r="F878" t="inlineStr">
        <is>
          <t>technosphere</t>
        </is>
      </c>
      <c r="G878" t="inlineStr">
        <is>
          <t>municipal solid waste</t>
        </is>
      </c>
      <c r="H878" t="inlineStr"/>
      <c r="I878" s="6" t="n">
        <v>473</v>
      </c>
      <c r="J878" s="14">
        <f>INDEX('allocation keys'!$F$4:$H$28,MATCH('allocated (energy)'!$B$868,'allocation keys'!$B$4:$B$28,0),MATCH('allocated (energy)'!$B$872,'allocation keys'!$F$3:$H$3,0))</f>
        <v>0.16673194422685259</v>
      </c>
      <c r="K878" t="n">
        <v>0</v>
      </c>
      <c r="M878" s="5" t="n"/>
      <c r="N878" s="5" t="n"/>
      <c r="O878" s="5" t="n"/>
      <c r="P878" s="5" t="n"/>
      <c r="Q878" s="5" t="n"/>
      <c r="R878" s="5" t="n"/>
    </row>
    <row r="879">
      <c r="A879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B879" s="6" t="n">
        <v>1</v>
      </c>
      <c r="C879" t="inlineStr">
        <is>
          <t>RER</t>
        </is>
      </c>
      <c r="D879" t="inlineStr">
        <is>
          <t>kilowatt hour</t>
        </is>
      </c>
      <c r="F879" t="inlineStr">
        <is>
          <t>production</t>
        </is>
      </c>
      <c r="G879" t="inlineStr">
        <is>
          <t>electricity, medium voltage</t>
        </is>
      </c>
      <c r="H879" t="inlineStr"/>
      <c r="I879" s="6" t="n">
        <v>473</v>
      </c>
      <c r="J879" s="11">
        <f>J878</f>
        <v>0.16673194422685259</v>
      </c>
      <c r="K879" t="n">
        <v>0</v>
      </c>
      <c r="L879" s="3" t="n"/>
    </row>
    <row r="880">
      <c r="A880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B880" t="n">
        <v>0</v>
      </c>
      <c r="C880" t="inlineStr">
        <is>
          <t>RER</t>
        </is>
      </c>
      <c r="D880" t="inlineStr">
        <is>
          <t>megajoule</t>
        </is>
      </c>
      <c r="F880" t="inlineStr">
        <is>
          <t>technosphere</t>
        </is>
      </c>
      <c r="G880" t="inlineStr">
        <is>
          <t>heat, district or industrial, other than natural gas</t>
        </is>
      </c>
      <c r="H880" t="inlineStr"/>
      <c r="I880" s="6" t="n">
        <v>473</v>
      </c>
      <c r="J880" s="11">
        <f>J878</f>
        <v>0.16673194422685259</v>
      </c>
      <c r="K880" t="n">
        <v>0</v>
      </c>
      <c r="L880" s="3" t="n"/>
    </row>
    <row r="881">
      <c r="A881" t="inlineStr">
        <is>
          <t>market for diesel, low-sulfur</t>
        </is>
      </c>
      <c r="B881">
        <f>unallocated!B318/I881*J881</f>
        <v>2.996240012533292E-5</v>
      </c>
      <c r="C881" t="inlineStr">
        <is>
          <t>Europe without Switzerland</t>
        </is>
      </c>
      <c r="D881" t="inlineStr">
        <is>
          <t>kilogram</t>
        </is>
      </c>
      <c r="F881" t="inlineStr">
        <is>
          <t>technosphere</t>
        </is>
      </c>
      <c r="G881" t="inlineStr">
        <is>
          <t>diesel, low-sulfur</t>
        </is>
      </c>
      <c r="H881" t="inlineStr">
        <is>
          <t>Diesel density: 0.85 kg/l</t>
        </is>
      </c>
      <c r="I881" s="6" t="n">
        <v>473</v>
      </c>
      <c r="J881" s="11">
        <f>J878</f>
        <v>0.16673194422685259</v>
      </c>
      <c r="K881" t="n">
        <v>2</v>
      </c>
      <c r="L881" s="3">
        <f>LN(B881)</f>
        <v>-10.415567291531548</v>
      </c>
      <c r="M881" t="n">
        <v>1</v>
      </c>
      <c r="N881" t="n">
        <v>1</v>
      </c>
      <c r="O881" t="n">
        <v>1</v>
      </c>
      <c r="P881" t="n">
        <v>1.02</v>
      </c>
      <c r="Q881" t="n">
        <v>1.2</v>
      </c>
      <c r="R881" t="n">
        <v>1</v>
      </c>
      <c r="S881" t="n">
        <v>1.05</v>
      </c>
      <c r="T881">
        <f>LN(SQRT(EXP(
SQRT(
+POWER(LN(M881),2)
+POWER(LN(N881),2)
+POWER(LN(O881),2)
+POWER(LN(P881),2)
+POWER(LN(Q881),2)
+POWER(LN(R881),2)
+POWER(LN(S881),2)
)
)))</f>
        <v>9.4886477223156879E-2</v>
      </c>
    </row>
    <row r="882">
      <c r="A882" t="inlineStr">
        <is>
          <t>market for activated carbon, granular</t>
        </is>
      </c>
      <c r="B882">
        <f>unallocated!B319/I882*J882</f>
        <v>1.4099953000156666E-4</v>
      </c>
      <c r="C882" t="inlineStr">
        <is>
          <t>GLO</t>
        </is>
      </c>
      <c r="D882" t="inlineStr">
        <is>
          <t>kilogram</t>
        </is>
      </c>
      <c r="F882" t="inlineStr">
        <is>
          <t>technosphere</t>
        </is>
      </c>
      <c r="G882" t="inlineStr">
        <is>
          <t>activated carbon, granular</t>
        </is>
      </c>
      <c r="I882" s="6" t="n">
        <v>473</v>
      </c>
      <c r="J882" s="11">
        <f>J878</f>
        <v>0.16673194422685259</v>
      </c>
      <c r="K882" t="n">
        <v>2</v>
      </c>
      <c r="L882" s="3">
        <f>LN(B882)</f>
        <v>-8.8667540009138843</v>
      </c>
      <c r="M882" t="n">
        <v>1</v>
      </c>
      <c r="N882" t="n">
        <v>1</v>
      </c>
      <c r="O882" t="n">
        <v>1</v>
      </c>
      <c r="P882" t="n">
        <v>1.02</v>
      </c>
      <c r="Q882" t="n">
        <v>1.2</v>
      </c>
      <c r="R882" t="n">
        <v>1</v>
      </c>
      <c r="S882" t="n">
        <v>1.05</v>
      </c>
      <c r="T882">
        <f>LN(SQRT(EXP(
SQRT(
+POWER(LN(M882),2)
+POWER(LN(N882),2)
+POWER(LN(O882),2)
+POWER(LN(P882),2)
+POWER(LN(Q882),2)
+POWER(LN(R882),2)
+POWER(LN(S882),2)
)
)))</f>
        <v>9.4886477223156879E-2</v>
      </c>
    </row>
    <row r="883">
      <c r="A883" t="inlineStr">
        <is>
          <t>market for ammonia, anhydrous, liquid</t>
        </is>
      </c>
      <c r="B883">
        <f>unallocated!B320/I883*J883</f>
        <v>3.4544884850383831E-4</v>
      </c>
      <c r="C883" t="inlineStr">
        <is>
          <t>RER</t>
        </is>
      </c>
      <c r="D883" t="inlineStr">
        <is>
          <t>kilogram</t>
        </is>
      </c>
      <c r="F883" t="inlineStr">
        <is>
          <t>technosphere</t>
        </is>
      </c>
      <c r="G883" t="inlineStr">
        <is>
          <t>ammonia, anhydrous, liquid</t>
        </is>
      </c>
      <c r="H883" t="inlineStr">
        <is>
          <t>100% liquid ammonia. In original publication, it is dilluated to 23.5% in water. We discount the original value by 75%.</t>
        </is>
      </c>
      <c r="I883" s="6" t="n">
        <v>473</v>
      </c>
      <c r="J883" s="11">
        <f>J878</f>
        <v>0.16673194422685259</v>
      </c>
      <c r="K883" t="n">
        <v>2</v>
      </c>
      <c r="L883" s="3">
        <f>LN(B883)</f>
        <v>-7.9706659763572478</v>
      </c>
      <c r="M883" t="n">
        <v>1</v>
      </c>
      <c r="N883" t="n">
        <v>1</v>
      </c>
      <c r="O883" t="n">
        <v>1</v>
      </c>
      <c r="P883" t="n">
        <v>1.02</v>
      </c>
      <c r="Q883" t="n">
        <v>1.2</v>
      </c>
      <c r="R883" t="n">
        <v>1</v>
      </c>
      <c r="S883" t="n">
        <v>1.05</v>
      </c>
      <c r="T883">
        <f>LN(SQRT(EXP(
SQRT(
+POWER(LN(M883),2)
+POWER(LN(N883),2)
+POWER(LN(O883),2)
+POWER(LN(P883),2)
+POWER(LN(Q883),2)
+POWER(LN(R883),2)
+POWER(LN(S883),2)
)
)))</f>
        <v>9.4886477223156879E-2</v>
      </c>
    </row>
    <row r="884">
      <c r="A884" t="inlineStr">
        <is>
          <t>market for tap water</t>
        </is>
      </c>
      <c r="B884">
        <f>unallocated!B321/I884*J884</f>
        <v>1.0645464515118283E-3</v>
      </c>
      <c r="C884" t="inlineStr">
        <is>
          <t>Europe without Switzerland</t>
        </is>
      </c>
      <c r="D884" t="inlineStr">
        <is>
          <t>kilogram</t>
        </is>
      </c>
      <c r="F884" t="inlineStr">
        <is>
          <t>technosphere</t>
        </is>
      </c>
      <c r="G884" t="inlineStr">
        <is>
          <t>tap water</t>
        </is>
      </c>
      <c r="H884" t="inlineStr">
        <is>
          <t>Used to dilute the ammonia.</t>
        </is>
      </c>
      <c r="I884" s="6" t="n">
        <v>473</v>
      </c>
      <c r="J884" s="11">
        <f>J878</f>
        <v>0.16673194422685259</v>
      </c>
      <c r="K884" t="n">
        <v>2</v>
      </c>
      <c r="L884" s="3">
        <f>LN(B884)</f>
        <v>-6.8452064376529504</v>
      </c>
      <c r="M884" t="n">
        <v>1</v>
      </c>
      <c r="N884" t="n">
        <v>1</v>
      </c>
      <c r="O884" t="n">
        <v>1</v>
      </c>
      <c r="P884" t="n">
        <v>1.02</v>
      </c>
      <c r="Q884" t="n">
        <v>1.2</v>
      </c>
      <c r="R884" t="n">
        <v>1</v>
      </c>
      <c r="S884" t="n">
        <v>1.05</v>
      </c>
      <c r="T884">
        <f>LN(SQRT(EXP(
SQRT(
+POWER(LN(M884),2)
+POWER(LN(N884),2)
+POWER(LN(O884),2)
+POWER(LN(P884),2)
+POWER(LN(Q884),2)
+POWER(LN(R884),2)
+POWER(LN(S884),2)
)
)))</f>
        <v>9.4886477223156879E-2</v>
      </c>
    </row>
    <row r="885">
      <c r="A885" t="inlineStr">
        <is>
          <t>market for calcium carbonate, precipitated</t>
        </is>
      </c>
      <c r="B885">
        <f>unallocated!B322/I885*J885</f>
        <v>2.4674917750274164E-3</v>
      </c>
      <c r="C885" t="inlineStr">
        <is>
          <t>RER</t>
        </is>
      </c>
      <c r="D885" t="inlineStr">
        <is>
          <t>kilogram</t>
        </is>
      </c>
      <c r="F885" t="inlineStr">
        <is>
          <t>technosphere</t>
        </is>
      </c>
      <c r="G885" t="inlineStr">
        <is>
          <t>calcium carbonate, precipitated</t>
        </is>
      </c>
      <c r="I885" s="6" t="n">
        <v>473</v>
      </c>
      <c r="J885" s="11">
        <f>J878</f>
        <v>0.16673194422685259</v>
      </c>
      <c r="K885" t="n">
        <v>0</v>
      </c>
      <c r="L885" s="3" t="n"/>
    </row>
    <row r="886">
      <c r="A886" t="inlineStr">
        <is>
          <t>market for iron(III) chloride, without water, in 40% solution state</t>
        </is>
      </c>
      <c r="B886">
        <f>unallocated!B323/I886*J886</f>
        <v>1.7624941250195833E-5</v>
      </c>
      <c r="C886" t="inlineStr">
        <is>
          <t>GLO</t>
        </is>
      </c>
      <c r="D886" t="inlineStr">
        <is>
          <t>kilogram</t>
        </is>
      </c>
      <c r="F886" t="inlineStr">
        <is>
          <t>technosphere</t>
        </is>
      </c>
      <c r="G886" t="inlineStr">
        <is>
          <t>iron(III) chloride, without water, in 40% solution state</t>
        </is>
      </c>
      <c r="I886" s="6" t="n">
        <v>473</v>
      </c>
      <c r="J886" s="11">
        <f>J878</f>
        <v>0.16673194422685259</v>
      </c>
      <c r="K886" t="n">
        <v>0</v>
      </c>
      <c r="L886" s="3" t="n"/>
    </row>
    <row r="887">
      <c r="A887" t="inlineStr">
        <is>
          <t>market for lime, hydrated, packed</t>
        </is>
      </c>
      <c r="B887">
        <f>unallocated!B324/I887*J887</f>
        <v>0</v>
      </c>
      <c r="C887" t="inlineStr">
        <is>
          <t>RER</t>
        </is>
      </c>
      <c r="D887" t="inlineStr">
        <is>
          <t>kilogram</t>
        </is>
      </c>
      <c r="F887" t="inlineStr">
        <is>
          <t>technosphere</t>
        </is>
      </c>
      <c r="G887" t="inlineStr">
        <is>
          <t>lime, hydrated, packed</t>
        </is>
      </c>
      <c r="I887" s="6" t="n">
        <v>473</v>
      </c>
      <c r="J887" s="11">
        <f>J878</f>
        <v>0.16673194422685259</v>
      </c>
      <c r="K887" t="n">
        <v>0</v>
      </c>
      <c r="L887" s="3" t="n"/>
    </row>
    <row r="888">
      <c r="A888" t="inlineStr">
        <is>
          <t>market for sodium hydroxide, without water, in 50% solution state</t>
        </is>
      </c>
      <c r="B888">
        <f>unallocated!B325/I888*J888</f>
        <v>1.7624941250195833E-4</v>
      </c>
      <c r="C888" t="inlineStr">
        <is>
          <t>RER</t>
        </is>
      </c>
      <c r="D888" t="inlineStr">
        <is>
          <t>kilogram</t>
        </is>
      </c>
      <c r="F888" t="inlineStr">
        <is>
          <t>technosphere</t>
        </is>
      </c>
      <c r="G888" t="inlineStr">
        <is>
          <t>sodium hydroxide, without water, in 50% solution state</t>
        </is>
      </c>
      <c r="H888" t="inlineStr">
        <is>
          <t>50% liquid ammonia. In original publication, it is dilluated to 27% in water. We discount the original value by 50%.</t>
        </is>
      </c>
      <c r="I888" s="6" t="n">
        <v>473</v>
      </c>
      <c r="J888" s="11">
        <f>J878</f>
        <v>0.16673194422685259</v>
      </c>
      <c r="K888" t="n">
        <v>0</v>
      </c>
      <c r="L888" s="3" t="n"/>
    </row>
    <row r="889">
      <c r="A889" t="inlineStr">
        <is>
          <t>market for monoethanolamine</t>
        </is>
      </c>
      <c r="B889">
        <f>unallocated!B326/I889*J889</f>
        <v>1.4099953000156666E-3</v>
      </c>
      <c r="C889" t="inlineStr">
        <is>
          <t>GLO</t>
        </is>
      </c>
      <c r="D889" t="inlineStr">
        <is>
          <t>kilogram</t>
        </is>
      </c>
      <c r="F889" t="inlineStr">
        <is>
          <t>technosphere</t>
        </is>
      </c>
      <c r="G889" t="inlineStr">
        <is>
          <t>monoethanolamine</t>
        </is>
      </c>
      <c r="I889" s="6" t="n">
        <v>473</v>
      </c>
      <c r="J889" s="11">
        <f>J878</f>
        <v>0.16673194422685259</v>
      </c>
      <c r="K889" t="n">
        <v>0</v>
      </c>
      <c r="L889" s="3" t="n"/>
    </row>
    <row r="890">
      <c r="A890" t="inlineStr">
        <is>
          <t>municipal waste incineration facility construction</t>
        </is>
      </c>
      <c r="B890">
        <f>unallocated!B327/I890*J890</f>
        <v>8.8124706250979165E-11</v>
      </c>
      <c r="C890" t="inlineStr">
        <is>
          <t>CH</t>
        </is>
      </c>
      <c r="D890" t="inlineStr">
        <is>
          <t>unit</t>
        </is>
      </c>
      <c r="F890" t="inlineStr">
        <is>
          <t>technosphere</t>
        </is>
      </c>
      <c r="G890" t="inlineStr">
        <is>
          <t>municipal waste incineration facility</t>
        </is>
      </c>
      <c r="H890" t="inlineStr">
        <is>
          <t>Lifetime: 4'000'000 tons MSWI treated.</t>
        </is>
      </c>
      <c r="I890" s="6" t="n">
        <v>473</v>
      </c>
      <c r="J890" s="11">
        <f>J878</f>
        <v>0.16673194422685259</v>
      </c>
      <c r="K890" t="n">
        <v>2</v>
      </c>
      <c r="L890" s="3">
        <f>LN(B890)</f>
        <v>-23.152268188123895</v>
      </c>
      <c r="M890" t="n">
        <v>1</v>
      </c>
      <c r="N890" t="n">
        <v>1</v>
      </c>
      <c r="O890" t="n">
        <v>1</v>
      </c>
      <c r="P890" t="n">
        <v>1.02</v>
      </c>
      <c r="Q890" t="n">
        <v>1.2</v>
      </c>
      <c r="R890" t="n">
        <v>1</v>
      </c>
      <c r="S890" t="n">
        <v>3</v>
      </c>
      <c r="T890">
        <f>LN(SQRT(EXP(
SQRT(
+POWER(LN(M890),2)
+POWER(LN(N890),2)
+POWER(LN(O890),2)
+POWER(LN(P890),2)
+POWER(LN(Q890),2)
+POWER(LN(R890),2)
+POWER(LN(S890),2)
)
)))</f>
        <v>0.5569071410325479</v>
      </c>
    </row>
    <row r="891">
      <c r="A891" t="inlineStr">
        <is>
          <t>carbon dioxide storage at wood burning power plant 20 MW post, pipeline 200km, storage 1000m</t>
        </is>
      </c>
      <c r="B891">
        <f>unallocated!B328/I891*J891</f>
        <v>0.29010653297822342</v>
      </c>
      <c r="C891" t="inlineStr">
        <is>
          <t>RER</t>
        </is>
      </c>
      <c r="D891" t="inlineStr">
        <is>
          <t>kilogram</t>
        </is>
      </c>
      <c r="F891" t="inlineStr">
        <is>
          <t>technosphere</t>
        </is>
      </c>
      <c r="G891" t="inlineStr">
        <is>
          <t>carbon dioxide storage at wood burning power plant 20 MW post, pipeline 200km, storage 1000m</t>
        </is>
      </c>
      <c r="I891" s="6" t="n">
        <v>473</v>
      </c>
      <c r="J891" s="11">
        <f>J878</f>
        <v>0.16673194422685259</v>
      </c>
      <c r="K891" t="n">
        <v>2</v>
      </c>
      <c r="L891" s="3">
        <f>LN(B891)</f>
        <v>-1.2375070683626588</v>
      </c>
      <c r="M891" t="n">
        <v>1</v>
      </c>
      <c r="N891" t="n">
        <v>1</v>
      </c>
      <c r="O891" t="n">
        <v>1</v>
      </c>
      <c r="P891" t="n">
        <v>1.02</v>
      </c>
      <c r="Q891" t="n">
        <v>1.2</v>
      </c>
      <c r="R891" t="n">
        <v>1</v>
      </c>
      <c r="S891" t="n">
        <v>3</v>
      </c>
      <c r="T891">
        <f>LN(SQRT(EXP(
SQRT(
+POWER(LN(M891),2)
+POWER(LN(N891),2)
+POWER(LN(O891),2)
+POWER(LN(P891),2)
+POWER(LN(Q891),2)
+POWER(LN(R891),2)
+POWER(LN(S891),2)
)
)))</f>
        <v>0.5569071410325479</v>
      </c>
    </row>
    <row r="892">
      <c r="A892" t="inlineStr">
        <is>
          <t>Water, cooling, unspecified natural origin</t>
        </is>
      </c>
      <c r="B892">
        <f>unallocated!B329/I892*J892</f>
        <v>0</v>
      </c>
      <c r="D892" t="inlineStr">
        <is>
          <t>cubic meter</t>
        </is>
      </c>
      <c r="E892" t="inlineStr">
        <is>
          <t>natural resource::in water</t>
        </is>
      </c>
      <c r="F892" t="inlineStr">
        <is>
          <t>biosphere</t>
        </is>
      </c>
      <c r="I892" s="6" t="n">
        <v>473</v>
      </c>
      <c r="J892" s="11">
        <f>J878</f>
        <v>0.16673194422685259</v>
      </c>
      <c r="K892" t="n">
        <v>0</v>
      </c>
      <c r="L892" s="3" t="n"/>
    </row>
    <row r="893">
      <c r="A893" t="inlineStr">
        <is>
          <t>Sulfur dioxide</t>
        </is>
      </c>
      <c r="B893">
        <f>unallocated!B330/I893*J893</f>
        <v>2.1149929500235002E-6</v>
      </c>
      <c r="D893" t="inlineStr">
        <is>
          <t>kilogram</t>
        </is>
      </c>
      <c r="E893" t="inlineStr">
        <is>
          <t>air::urban air close to ground</t>
        </is>
      </c>
      <c r="F893" t="inlineStr">
        <is>
          <t>biosphere</t>
        </is>
      </c>
      <c r="I893" s="6" t="n">
        <v>473</v>
      </c>
      <c r="J893" s="11">
        <f>J878</f>
        <v>0.16673194422685259</v>
      </c>
      <c r="K893" t="n">
        <v>2</v>
      </c>
      <c r="L893" s="3">
        <f>LN(B893)</f>
        <v>-13.066459078793811</v>
      </c>
      <c r="M893" t="n">
        <v>1</v>
      </c>
      <c r="N893" t="n">
        <v>1</v>
      </c>
      <c r="O893" t="n">
        <v>1</v>
      </c>
      <c r="P893" t="n">
        <v>1.02</v>
      </c>
      <c r="Q893" t="n">
        <v>1.2</v>
      </c>
      <c r="R893" t="n">
        <v>1</v>
      </c>
      <c r="S893" t="n">
        <v>1.05</v>
      </c>
      <c r="T893">
        <f>LN(SQRT(EXP(
SQRT(
+POWER(LN(M893),2)
+POWER(LN(N893),2)
+POWER(LN(O893),2)
+POWER(LN(P893),2)
+POWER(LN(Q893),2)
+POWER(LN(R893),2)
+POWER(LN(S893),2)
)
)))</f>
        <v>9.4886477223156879E-2</v>
      </c>
    </row>
    <row r="894">
      <c r="A894" t="inlineStr">
        <is>
          <t>Hydrochloric acid</t>
        </is>
      </c>
      <c r="B894">
        <f>unallocated!B331/I894*J894</f>
        <v>1.0574964750117501E-6</v>
      </c>
      <c r="D894" t="inlineStr">
        <is>
          <t>kilogram</t>
        </is>
      </c>
      <c r="E894" t="inlineStr">
        <is>
          <t>air</t>
        </is>
      </c>
      <c r="F894" t="inlineStr">
        <is>
          <t>biosphere</t>
        </is>
      </c>
      <c r="I894" s="6" t="n">
        <v>473</v>
      </c>
      <c r="J894" s="11">
        <f>J878</f>
        <v>0.16673194422685259</v>
      </c>
      <c r="K894" t="n">
        <v>2</v>
      </c>
      <c r="L894" s="3">
        <f>LN(B894)</f>
        <v>-13.759606259353756</v>
      </c>
      <c r="M894" t="n">
        <v>1</v>
      </c>
      <c r="N894" t="n">
        <v>1</v>
      </c>
      <c r="O894" t="n">
        <v>1</v>
      </c>
      <c r="P894" t="n">
        <v>1.02</v>
      </c>
      <c r="Q894" t="n">
        <v>1.2</v>
      </c>
      <c r="R894" t="n">
        <v>1</v>
      </c>
      <c r="S894" t="n">
        <v>1.5</v>
      </c>
      <c r="T894">
        <f>LN(SQRT(EXP(
SQRT(
+POWER(LN(M894),2)
+POWER(LN(N894),2)
+POWER(LN(O894),2)
+POWER(LN(P894),2)
+POWER(LN(Q894),2)
+POWER(LN(R894),2)
+POWER(LN(S894),2)
)
)))</f>
        <v>0.22250575723605889</v>
      </c>
    </row>
    <row r="895">
      <c r="A895" t="inlineStr">
        <is>
          <t>Nitrogen oxides</t>
        </is>
      </c>
      <c r="B895">
        <f>unallocated!B332/I895*J895</f>
        <v>2.386417045276516E-4</v>
      </c>
      <c r="D895" t="inlineStr">
        <is>
          <t>kilogram</t>
        </is>
      </c>
      <c r="E895" t="inlineStr">
        <is>
          <t>air::urban air close to ground</t>
        </is>
      </c>
      <c r="F895" t="inlineStr">
        <is>
          <t>biosphere</t>
        </is>
      </c>
      <c r="I895" s="6" t="n">
        <v>473</v>
      </c>
      <c r="J895" s="11">
        <f>J878</f>
        <v>0.16673194422685259</v>
      </c>
      <c r="K895" t="n">
        <v>2</v>
      </c>
      <c r="L895" s="3">
        <f>LN(B895)</f>
        <v>-8.340547275109591</v>
      </c>
      <c r="M895" t="n">
        <v>1</v>
      </c>
      <c r="N895" t="n">
        <v>1</v>
      </c>
      <c r="O895" t="n">
        <v>1</v>
      </c>
      <c r="P895" t="n">
        <v>1.02</v>
      </c>
      <c r="Q895" t="n">
        <v>1.2</v>
      </c>
      <c r="R895" t="n">
        <v>1</v>
      </c>
      <c r="S895" t="n">
        <v>1.5</v>
      </c>
      <c r="T895">
        <f>LN(SQRT(EXP(
SQRT(
+POWER(LN(M895),2)
+POWER(LN(N895),2)
+POWER(LN(O895),2)
+POWER(LN(P895),2)
+POWER(LN(Q895),2)
+POWER(LN(R895),2)
+POWER(LN(S895),2)
)
)))</f>
        <v>0.22250575723605889</v>
      </c>
    </row>
    <row r="896">
      <c r="A896" t="inlineStr">
        <is>
          <t>Ammonia</t>
        </is>
      </c>
      <c r="B896">
        <f>unallocated!B333/I896*J896</f>
        <v>7.0499765000783338E-6</v>
      </c>
      <c r="D896" t="inlineStr">
        <is>
          <t>kilogram</t>
        </is>
      </c>
      <c r="E896" t="inlineStr">
        <is>
          <t>air::urban air close to ground</t>
        </is>
      </c>
      <c r="F896" t="inlineStr">
        <is>
          <t>biosphere</t>
        </is>
      </c>
      <c r="I896" s="6" t="n">
        <v>473</v>
      </c>
      <c r="J896" s="11">
        <f>J878</f>
        <v>0.16673194422685259</v>
      </c>
      <c r="K896" t="n">
        <v>2</v>
      </c>
      <c r="L896" s="3">
        <f>LN(B896)</f>
        <v>-11.862486274467875</v>
      </c>
      <c r="M896" t="n">
        <v>1</v>
      </c>
      <c r="N896" t="n">
        <v>1</v>
      </c>
      <c r="O896" t="n">
        <v>1</v>
      </c>
      <c r="P896" t="n">
        <v>1.02</v>
      </c>
      <c r="Q896" t="n">
        <v>1.2</v>
      </c>
      <c r="R896" t="n">
        <v>1</v>
      </c>
      <c r="S896" t="n">
        <v>1.5</v>
      </c>
      <c r="T896">
        <f>LN(SQRT(EXP(
SQRT(
+POWER(LN(M896),2)
+POWER(LN(N896),2)
+POWER(LN(O896),2)
+POWER(LN(P896),2)
+POWER(LN(Q896),2)
+POWER(LN(R896),2)
+POWER(LN(S896),2)
)
)))</f>
        <v>0.22250575723605889</v>
      </c>
    </row>
    <row r="897">
      <c r="A897" t="inlineStr">
        <is>
          <t>Particulate Matter, &lt; 2.5 um</t>
        </is>
      </c>
      <c r="B897">
        <f>unallocated!B334/I897*J897</f>
        <v>2.1149929500235002E-6</v>
      </c>
      <c r="D897" t="inlineStr">
        <is>
          <t>kilogram</t>
        </is>
      </c>
      <c r="E897" t="inlineStr">
        <is>
          <t>air::urban air close to ground</t>
        </is>
      </c>
      <c r="F897" t="inlineStr">
        <is>
          <t>biosphere</t>
        </is>
      </c>
      <c r="I897" s="6" t="n">
        <v>473</v>
      </c>
      <c r="J897" s="11">
        <f>J878</f>
        <v>0.16673194422685259</v>
      </c>
      <c r="K897" t="n">
        <v>2</v>
      </c>
      <c r="L897" s="3">
        <f>LN(B897)</f>
        <v>-13.066459078793811</v>
      </c>
      <c r="M897" t="n">
        <v>1</v>
      </c>
      <c r="N897" t="n">
        <v>1</v>
      </c>
      <c r="O897" t="n">
        <v>1</v>
      </c>
      <c r="P897" t="n">
        <v>1.02</v>
      </c>
      <c r="Q897" t="n">
        <v>1.2</v>
      </c>
      <c r="R897" t="n">
        <v>1</v>
      </c>
      <c r="S897" t="n">
        <v>3</v>
      </c>
      <c r="T897">
        <f>LN(SQRT(EXP(
SQRT(
+POWER(LN(M897),2)
+POWER(LN(N897),2)
+POWER(LN(O897),2)
+POWER(LN(P897),2)
+POWER(LN(Q897),2)
+POWER(LN(R897),2)
+POWER(LN(S897),2)
)
)))</f>
        <v>0.5569071410325479</v>
      </c>
    </row>
    <row r="898">
      <c r="A898" t="inlineStr">
        <is>
          <t>Mercury II</t>
        </is>
      </c>
      <c r="B898">
        <f>unallocated!B335/I898*J898</f>
        <v>2.1149929500235003E-9</v>
      </c>
      <c r="D898" t="inlineStr">
        <is>
          <t>kilogram</t>
        </is>
      </c>
      <c r="E898" t="inlineStr">
        <is>
          <t>air::urban air close to ground</t>
        </is>
      </c>
      <c r="F898" t="inlineStr">
        <is>
          <t>biosphere</t>
        </is>
      </c>
      <c r="I898" s="6" t="n">
        <v>473</v>
      </c>
      <c r="J898" s="11">
        <f>J878</f>
        <v>0.16673194422685259</v>
      </c>
      <c r="K898" t="n">
        <v>2</v>
      </c>
      <c r="L898" s="3">
        <f>LN(B898)</f>
        <v>-19.974214357775949</v>
      </c>
      <c r="M898" t="n">
        <v>1</v>
      </c>
      <c r="N898" t="n">
        <v>1</v>
      </c>
      <c r="O898" t="n">
        <v>1</v>
      </c>
      <c r="P898" t="n">
        <v>1.02</v>
      </c>
      <c r="Q898" t="n">
        <v>1.2</v>
      </c>
      <c r="R898" t="n">
        <v>1</v>
      </c>
      <c r="S898" t="n">
        <v>5</v>
      </c>
      <c r="T898">
        <f>LN(SQRT(EXP(
SQRT(
+POWER(LN(M898),2)
+POWER(LN(N898),2)
+POWER(LN(O898),2)
+POWER(LN(P898),2)
+POWER(LN(Q898),2)
+POWER(LN(R898),2)
+POWER(LN(S898),2)
)
)))</f>
        <v>0.80992649174166365</v>
      </c>
    </row>
    <row r="899">
      <c r="A899" t="inlineStr">
        <is>
          <t>Lead II</t>
        </is>
      </c>
      <c r="B899">
        <f>unallocated!B336/I899*J899</f>
        <v>2.1149929500235003E-9</v>
      </c>
      <c r="D899" t="inlineStr">
        <is>
          <t>kilogram</t>
        </is>
      </c>
      <c r="E899" t="inlineStr">
        <is>
          <t>air::urban air close to ground</t>
        </is>
      </c>
      <c r="F899" t="inlineStr">
        <is>
          <t>biosphere</t>
        </is>
      </c>
      <c r="I899" s="6" t="n">
        <v>473</v>
      </c>
      <c r="J899" s="11">
        <f>J878</f>
        <v>0.16673194422685259</v>
      </c>
      <c r="K899" t="n">
        <v>2</v>
      </c>
      <c r="L899" s="3">
        <f>LN(B899)</f>
        <v>-19.974214357775949</v>
      </c>
      <c r="M899" t="n">
        <v>1</v>
      </c>
      <c r="N899" t="n">
        <v>1</v>
      </c>
      <c r="O899" t="n">
        <v>1</v>
      </c>
      <c r="P899" t="n">
        <v>1.02</v>
      </c>
      <c r="Q899" t="n">
        <v>1.2</v>
      </c>
      <c r="R899" t="n">
        <v>1</v>
      </c>
      <c r="S899" t="n">
        <v>5</v>
      </c>
      <c r="T899">
        <f>LN(SQRT(EXP(
SQRT(
+POWER(LN(M899),2)
+POWER(LN(N899),2)
+POWER(LN(O899),2)
+POWER(LN(P899),2)
+POWER(LN(Q899),2)
+POWER(LN(R899),2)
+POWER(LN(S899),2)
)
)))</f>
        <v>0.80992649174166365</v>
      </c>
    </row>
    <row r="900">
      <c r="A900" t="inlineStr">
        <is>
          <t>Cadmium II</t>
        </is>
      </c>
      <c r="B900">
        <f>unallocated!B337/I900*J900</f>
        <v>1.0574964750117501E-9</v>
      </c>
      <c r="D900" t="inlineStr">
        <is>
          <t>kilogram</t>
        </is>
      </c>
      <c r="E900" t="inlineStr">
        <is>
          <t>air::urban air close to ground</t>
        </is>
      </c>
      <c r="F900" t="inlineStr">
        <is>
          <t>biosphere</t>
        </is>
      </c>
      <c r="I900" s="6" t="n">
        <v>473</v>
      </c>
      <c r="J900" s="11">
        <f>J878</f>
        <v>0.16673194422685259</v>
      </c>
      <c r="K900" t="n">
        <v>2</v>
      </c>
      <c r="L900" s="3">
        <f>LN(B900)</f>
        <v>-20.667361538335893</v>
      </c>
      <c r="M900" t="n">
        <v>1</v>
      </c>
      <c r="N900" t="n">
        <v>1</v>
      </c>
      <c r="O900" t="n">
        <v>1</v>
      </c>
      <c r="P900" t="n">
        <v>1.02</v>
      </c>
      <c r="Q900" t="n">
        <v>1.2</v>
      </c>
      <c r="R900" t="n">
        <v>1</v>
      </c>
      <c r="S900" t="n">
        <v>5</v>
      </c>
      <c r="T900">
        <f>LN(SQRT(EXP(
SQRT(
+POWER(LN(M900),2)
+POWER(LN(N900),2)
+POWER(LN(O900),2)
+POWER(LN(P900),2)
+POWER(LN(Q900),2)
+POWER(LN(R900),2)
+POWER(LN(S900),2)
)
)))</f>
        <v>0.80992649174166365</v>
      </c>
    </row>
    <row r="901">
      <c r="A901" t="inlineStr">
        <is>
          <t>Arsenic ion</t>
        </is>
      </c>
      <c r="B901">
        <f>unallocated!B338/I901*J901</f>
        <v>1.0574964750117501E-9</v>
      </c>
      <c r="D901" t="inlineStr">
        <is>
          <t>kilogram</t>
        </is>
      </c>
      <c r="E901" t="inlineStr">
        <is>
          <t>air::urban air close to ground</t>
        </is>
      </c>
      <c r="F901" t="inlineStr">
        <is>
          <t>biosphere</t>
        </is>
      </c>
      <c r="I901" s="6" t="n">
        <v>473</v>
      </c>
      <c r="J901" s="11">
        <f>J878</f>
        <v>0.16673194422685259</v>
      </c>
      <c r="K901" t="n">
        <v>2</v>
      </c>
      <c r="L901" s="3">
        <f>LN(B901)</f>
        <v>-20.667361538335893</v>
      </c>
      <c r="M901" t="n">
        <v>1</v>
      </c>
      <c r="N901" t="n">
        <v>1</v>
      </c>
      <c r="O901" t="n">
        <v>1</v>
      </c>
      <c r="P901" t="n">
        <v>1.02</v>
      </c>
      <c r="Q901" t="n">
        <v>1.2</v>
      </c>
      <c r="R901" t="n">
        <v>1</v>
      </c>
      <c r="S901" t="n">
        <v>5</v>
      </c>
      <c r="T901">
        <f>LN(SQRT(EXP(
SQRT(
+POWER(LN(M901),2)
+POWER(LN(N901),2)
+POWER(LN(O901),2)
+POWER(LN(P901),2)
+POWER(LN(Q901),2)
+POWER(LN(R901),2)
+POWER(LN(S901),2)
)
)))</f>
        <v>0.80992649174166365</v>
      </c>
    </row>
    <row r="902">
      <c r="A902" t="inlineStr">
        <is>
          <t>Dioxins, measured as 2,3,7,8-tetrachlorodibenzo-p-dioxin</t>
        </is>
      </c>
      <c r="B902">
        <f>unallocated!B339/I902*J902</f>
        <v>3.8774870750430841E-14</v>
      </c>
      <c r="D902" t="inlineStr">
        <is>
          <t>kilogram</t>
        </is>
      </c>
      <c r="E902" t="inlineStr">
        <is>
          <t>air::urban air close to ground</t>
        </is>
      </c>
      <c r="F902" t="inlineStr">
        <is>
          <t>biosphere</t>
        </is>
      </c>
      <c r="I902" s="6" t="n">
        <v>473</v>
      </c>
      <c r="J902" s="11">
        <f>J878</f>
        <v>0.16673194422685259</v>
      </c>
      <c r="K902" t="n">
        <v>2</v>
      </c>
      <c r="L902" s="3">
        <f>LN(B902)</f>
        <v>-30.881004019175862</v>
      </c>
      <c r="M902" t="n">
        <v>1</v>
      </c>
      <c r="N902" t="n">
        <v>1</v>
      </c>
      <c r="O902" t="n">
        <v>1</v>
      </c>
      <c r="P902" t="n">
        <v>1.02</v>
      </c>
      <c r="Q902" t="n">
        <v>1.2</v>
      </c>
      <c r="R902" t="n">
        <v>1</v>
      </c>
      <c r="S902" t="n">
        <v>5</v>
      </c>
      <c r="T902">
        <f>LN(SQRT(EXP(
SQRT(
+POWER(LN(M902),2)
+POWER(LN(N902),2)
+POWER(LN(O902),2)
+POWER(LN(P902),2)
+POWER(LN(Q902),2)
+POWER(LN(R902),2)
+POWER(LN(S902),2)
)
)))</f>
        <v>0.80992649174166365</v>
      </c>
    </row>
    <row r="903">
      <c r="A903" t="inlineStr">
        <is>
          <t>Carbon dioxide, fossil</t>
        </is>
      </c>
      <c r="B903">
        <f>unallocated!B340/I903*J903</f>
        <v>1.9739934200219331E-2</v>
      </c>
      <c r="D903" t="inlineStr">
        <is>
          <t>kilogram</t>
        </is>
      </c>
      <c r="E903" t="inlineStr">
        <is>
          <t>air::urban air close to ground</t>
        </is>
      </c>
      <c r="F903" t="inlineStr">
        <is>
          <t>biosphere</t>
        </is>
      </c>
      <c r="I903" s="6" t="n">
        <v>473</v>
      </c>
      <c r="J903" s="11">
        <f>J878</f>
        <v>0.16673194422685259</v>
      </c>
      <c r="K903" t="n">
        <v>2</v>
      </c>
      <c r="L903" s="3">
        <f>LN(B903)</f>
        <v>-3.9251115783045796</v>
      </c>
      <c r="M903" t="n">
        <v>1</v>
      </c>
      <c r="N903" t="n">
        <v>1</v>
      </c>
      <c r="O903" t="n">
        <v>1</v>
      </c>
      <c r="P903" t="n">
        <v>1.02</v>
      </c>
      <c r="Q903" t="n">
        <v>1.2</v>
      </c>
      <c r="R903" t="n">
        <v>1</v>
      </c>
      <c r="S903" t="n">
        <v>1.05</v>
      </c>
      <c r="T903">
        <f>LN(SQRT(EXP(
SQRT(
+POWER(LN(M903),2)
+POWER(LN(N903),2)
+POWER(LN(O903),2)
+POWER(LN(P903),2)
+POWER(LN(Q903),2)
+POWER(LN(R903),2)
+POWER(LN(S903),2)
)
)))</f>
        <v>9.4886477223156879E-2</v>
      </c>
    </row>
    <row r="904">
      <c r="A904" t="inlineStr">
        <is>
          <t>Carbon dioxide, non-fossil</t>
        </is>
      </c>
      <c r="B904">
        <f>unallocated!B341/I904*J904</f>
        <v>3.137239542534858E-2</v>
      </c>
      <c r="D904" t="inlineStr">
        <is>
          <t>kilogram</t>
        </is>
      </c>
      <c r="E904" t="inlineStr">
        <is>
          <t>air::urban air close to ground</t>
        </is>
      </c>
      <c r="F904" t="inlineStr">
        <is>
          <t>biosphere</t>
        </is>
      </c>
      <c r="I904" s="6" t="n">
        <v>473</v>
      </c>
      <c r="J904" s="14">
        <f>J878</f>
        <v>0.16673194422685259</v>
      </c>
      <c r="K904" t="n">
        <v>2</v>
      </c>
      <c r="L904" s="3">
        <f>LN(B904)</f>
        <v>-3.4618268993075887</v>
      </c>
      <c r="M904" t="n">
        <v>1</v>
      </c>
      <c r="N904" t="n">
        <v>1</v>
      </c>
      <c r="O904" t="n">
        <v>1</v>
      </c>
      <c r="P904" t="n">
        <v>1.02</v>
      </c>
      <c r="Q904" t="n">
        <v>1.2</v>
      </c>
      <c r="R904" t="n">
        <v>1</v>
      </c>
      <c r="S904" t="n">
        <v>1.05</v>
      </c>
      <c r="T904">
        <f>LN(SQRT(EXP(
SQRT(
+POWER(LN(M904),2)
+POWER(LN(N904),2)
+POWER(LN(O904),2)
+POWER(LN(P904),2)
+POWER(LN(Q904),2)
+POWER(LN(R904),2)
+POWER(LN(S904),2)
)
)))</f>
        <v>9.4886477223156879E-2</v>
      </c>
    </row>
    <row r="905">
      <c r="A905" t="inlineStr">
        <is>
          <t>Carbon dioxide, in air</t>
        </is>
      </c>
      <c r="B905">
        <f>unallocated!B342/I905*J905</f>
        <v>0.17801190662697794</v>
      </c>
      <c r="D905" t="inlineStr">
        <is>
          <t>kilogram</t>
        </is>
      </c>
      <c r="E905" t="inlineStr">
        <is>
          <t>natural resource::in air</t>
        </is>
      </c>
      <c r="F905" t="inlineStr">
        <is>
          <t>biosphere</t>
        </is>
      </c>
      <c r="H905" t="inlineStr">
        <is>
          <t>To reflect the permanent storage of non-fossil CO.</t>
        </is>
      </c>
      <c r="I905" s="6" t="n">
        <v>473</v>
      </c>
      <c r="J905" s="14">
        <f>J878</f>
        <v>0.16673194422685259</v>
      </c>
      <c r="K905" t="n">
        <v>2</v>
      </c>
      <c r="L905" s="3">
        <f>LN(B905)</f>
        <v>-1.7259048397643686</v>
      </c>
      <c r="M905" t="n">
        <v>1</v>
      </c>
      <c r="N905" t="n">
        <v>1</v>
      </c>
      <c r="O905" t="n">
        <v>1</v>
      </c>
      <c r="P905" t="n">
        <v>1.02</v>
      </c>
      <c r="Q905" t="n">
        <v>1.2</v>
      </c>
      <c r="R905" t="n">
        <v>1</v>
      </c>
      <c r="S905" t="n">
        <v>1.05</v>
      </c>
      <c r="T905">
        <f>LN(SQRT(EXP(
SQRT(
+POWER(LN(M905),2)
+POWER(LN(N905),2)
+POWER(LN(O905),2)
+POWER(LN(P905),2)
+POWER(LN(Q905),2)
+POWER(LN(R905),2)
+POWER(LN(S905),2)
)
)))</f>
        <v>9.4886477223156879E-2</v>
      </c>
    </row>
    <row r="906"/>
    <row r="907">
      <c r="A907" s="1" t="inlineStr">
        <is>
          <t>Activity</t>
        </is>
      </c>
      <c r="B907" s="1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</row>
    <row r="908">
      <c r="A908" t="inlineStr">
        <is>
          <t>location</t>
        </is>
      </c>
      <c r="B908" t="inlineStr">
        <is>
          <t>RER</t>
        </is>
      </c>
    </row>
    <row r="909">
      <c r="A909" t="inlineStr">
        <is>
          <t>production amount</t>
        </is>
      </c>
      <c r="B909" t="n">
        <v>1</v>
      </c>
    </row>
    <row r="910">
      <c r="A910" s="2" t="inlineStr">
        <is>
          <t>source</t>
        </is>
      </c>
      <c r="B91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911">
      <c r="A911" t="inlineStr">
        <is>
          <t>reference product</t>
        </is>
      </c>
      <c r="B911" t="inlineStr">
        <is>
          <t>heat, district or industrial, other than natural gas</t>
        </is>
      </c>
    </row>
    <row r="912">
      <c r="A912" t="inlineStr">
        <is>
          <t>type</t>
        </is>
      </c>
      <c r="B912" t="inlineStr">
        <is>
          <t>process</t>
        </is>
      </c>
    </row>
    <row r="913">
      <c r="A913" t="inlineStr">
        <is>
          <t>unit</t>
        </is>
      </c>
      <c r="B913" t="inlineStr">
        <is>
          <t>megajoule</t>
        </is>
      </c>
    </row>
    <row r="914">
      <c r="A914" t="inlineStr">
        <is>
          <t>comment</t>
        </is>
      </c>
      <c r="B91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915">
      <c r="A915" s="1" t="inlineStr">
        <is>
          <t>Exchanges</t>
        </is>
      </c>
    </row>
    <row r="916">
      <c r="A916" s="7" t="inlineStr">
        <is>
          <t>name</t>
        </is>
      </c>
      <c r="B916" s="7" t="inlineStr">
        <is>
          <t>amount</t>
        </is>
      </c>
      <c r="C916" s="7" t="inlineStr">
        <is>
          <t>location</t>
        </is>
      </c>
      <c r="D916" s="7" t="inlineStr">
        <is>
          <t>unit</t>
        </is>
      </c>
      <c r="E916" s="7" t="inlineStr">
        <is>
          <t>categories</t>
        </is>
      </c>
      <c r="F916" s="7" t="inlineStr">
        <is>
          <t>type</t>
        </is>
      </c>
      <c r="G916" s="7" t="inlineStr">
        <is>
          <t>reference product</t>
        </is>
      </c>
      <c r="H916" s="7" t="inlineStr">
        <is>
          <t>comment</t>
        </is>
      </c>
      <c r="I916" s="7" t="inlineStr">
        <is>
          <t>normalization</t>
        </is>
      </c>
      <c r="J916" s="7" t="inlineStr">
        <is>
          <t>allocation</t>
        </is>
      </c>
      <c r="K916" s="7" t="inlineStr">
        <is>
          <t>uncertainty type</t>
        </is>
      </c>
      <c r="L916" s="7" t="inlineStr">
        <is>
          <t>loc</t>
        </is>
      </c>
      <c r="M916" s="1" t="inlineStr">
        <is>
          <t>u1</t>
        </is>
      </c>
      <c r="N916" s="1" t="inlineStr">
        <is>
          <t>u2</t>
        </is>
      </c>
      <c r="O916" s="1" t="inlineStr">
        <is>
          <t>u3</t>
        </is>
      </c>
      <c r="P916" s="1" t="inlineStr">
        <is>
          <t>u4</t>
        </is>
      </c>
      <c r="Q916" s="1" t="inlineStr">
        <is>
          <t>u5</t>
        </is>
      </c>
      <c r="R916" s="1" t="inlineStr">
        <is>
          <t>u6</t>
        </is>
      </c>
      <c r="S916" s="1" t="inlineStr">
        <is>
          <t>ub</t>
        </is>
      </c>
      <c r="T916" s="1" t="inlineStr">
        <is>
          <t>scale</t>
        </is>
      </c>
      <c r="U916" s="1" t="inlineStr">
        <is>
          <t>negative</t>
        </is>
      </c>
    </row>
    <row r="917">
      <c r="A917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B917" t="n">
        <v>0</v>
      </c>
      <c r="C917" t="inlineStr">
        <is>
          <t>RER</t>
        </is>
      </c>
      <c r="D917" t="inlineStr">
        <is>
          <t>kilogram</t>
        </is>
      </c>
      <c r="F917" t="inlineStr">
        <is>
          <t>technosphere</t>
        </is>
      </c>
      <c r="G917" t="inlineStr">
        <is>
          <t>municipal solid waste</t>
        </is>
      </c>
      <c r="H917" t="inlineStr"/>
      <c r="I917" t="n">
        <v>8510</v>
      </c>
      <c r="J917" s="14">
        <f>INDEX('allocation keys'!$F$4:$H$28,MATCH('allocated (energy)'!$B$907,'allocation keys'!$B$4:$B$28,0),MATCH('allocated (energy)'!$B$911,'allocation keys'!$F$3:$H$3,0))</f>
        <v>0.83326805577314744</v>
      </c>
      <c r="K917" t="n">
        <v>0</v>
      </c>
      <c r="M917" s="5" t="n"/>
      <c r="N917" s="5" t="n"/>
      <c r="O917" s="5" t="n"/>
      <c r="P917" s="5" t="n"/>
      <c r="Q917" s="5" t="n"/>
      <c r="R917" s="5" t="n"/>
    </row>
    <row r="918">
      <c r="A918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B918" s="6" t="n">
        <v>0</v>
      </c>
      <c r="C918" t="inlineStr">
        <is>
          <t>RER</t>
        </is>
      </c>
      <c r="D918" t="inlineStr">
        <is>
          <t>kilowatt hour</t>
        </is>
      </c>
      <c r="F918" t="inlineStr">
        <is>
          <t>technosphere</t>
        </is>
      </c>
      <c r="G918" t="inlineStr">
        <is>
          <t>electricity, medium voltage</t>
        </is>
      </c>
      <c r="H918" t="inlineStr"/>
      <c r="I918" t="n">
        <v>8510</v>
      </c>
      <c r="J918" s="11">
        <f>J917</f>
        <v>0.83326805577314744</v>
      </c>
      <c r="K918" t="n">
        <v>0</v>
      </c>
      <c r="L918" s="3" t="n"/>
    </row>
    <row r="919">
      <c r="A919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B919" t="n">
        <v>1</v>
      </c>
      <c r="C919" t="inlineStr">
        <is>
          <t>RER</t>
        </is>
      </c>
      <c r="D919" t="inlineStr">
        <is>
          <t>megajoule</t>
        </is>
      </c>
      <c r="F919" t="inlineStr">
        <is>
          <t>production</t>
        </is>
      </c>
      <c r="G919" t="inlineStr">
        <is>
          <t>heat, district or industrial, other than natural gas</t>
        </is>
      </c>
      <c r="H919" t="inlineStr"/>
      <c r="I919" t="n">
        <v>8510</v>
      </c>
      <c r="J919" s="11">
        <f>J917</f>
        <v>0.83326805577314744</v>
      </c>
      <c r="K919" t="n">
        <v>0</v>
      </c>
      <c r="L919" s="3" t="n"/>
    </row>
    <row r="920">
      <c r="A920" t="inlineStr">
        <is>
          <t>market for diesel, low-sulfur</t>
        </is>
      </c>
      <c r="B920">
        <f>unallocated!B318/I920*J920</f>
        <v>8.322888923703588E-6</v>
      </c>
      <c r="C920" t="inlineStr">
        <is>
          <t>Europe without Switzerland</t>
        </is>
      </c>
      <c r="D920" t="inlineStr">
        <is>
          <t>kilogram</t>
        </is>
      </c>
      <c r="F920" t="inlineStr">
        <is>
          <t>technosphere</t>
        </is>
      </c>
      <c r="G920" t="inlineStr">
        <is>
          <t>diesel, low-sulfur</t>
        </is>
      </c>
      <c r="H920" t="inlineStr">
        <is>
          <t>Diesel density: 0.85 kg/l</t>
        </is>
      </c>
      <c r="I920" t="n">
        <v>8510</v>
      </c>
      <c r="J920" s="11">
        <f>J917</f>
        <v>0.83326805577314744</v>
      </c>
      <c r="K920" t="n">
        <v>2</v>
      </c>
      <c r="L920" s="3">
        <f>LN(B920)</f>
        <v>-11.696501136993614</v>
      </c>
      <c r="M920" t="n">
        <v>1</v>
      </c>
      <c r="N920" t="n">
        <v>1</v>
      </c>
      <c r="O920" t="n">
        <v>1</v>
      </c>
      <c r="P920" t="n">
        <v>1.02</v>
      </c>
      <c r="Q920" t="n">
        <v>1.2</v>
      </c>
      <c r="R920" t="n">
        <v>1</v>
      </c>
      <c r="S920" t="n">
        <v>1.05</v>
      </c>
      <c r="T920">
        <f>LN(SQRT(EXP(
SQRT(
+POWER(LN(M920),2)
+POWER(LN(N920),2)
+POWER(LN(O920),2)
+POWER(LN(P920),2)
+POWER(LN(Q920),2)
+POWER(LN(R920),2)
+POWER(LN(S920),2)
)
)))</f>
        <v>9.4886477223156879E-2</v>
      </c>
    </row>
    <row r="921">
      <c r="A921" t="inlineStr">
        <is>
          <t>market for activated carbon, granular</t>
        </is>
      </c>
      <c r="B921">
        <f>unallocated!B319/I921*J921</f>
        <v>3.9166536111546294E-5</v>
      </c>
      <c r="C921" t="inlineStr">
        <is>
          <t>GLO</t>
        </is>
      </c>
      <c r="D921" t="inlineStr">
        <is>
          <t>kilogram</t>
        </is>
      </c>
      <c r="F921" t="inlineStr">
        <is>
          <t>technosphere</t>
        </is>
      </c>
      <c r="G921" t="inlineStr">
        <is>
          <t>activated carbon, granular</t>
        </is>
      </c>
      <c r="I921" t="n">
        <v>8510</v>
      </c>
      <c r="J921" s="11">
        <f>J917</f>
        <v>0.83326805577314744</v>
      </c>
      <c r="K921" t="n">
        <v>2</v>
      </c>
      <c r="L921" s="3">
        <f>LN(B921)</f>
        <v>-10.147687846375948</v>
      </c>
      <c r="M921" t="n">
        <v>1</v>
      </c>
      <c r="N921" t="n">
        <v>1</v>
      </c>
      <c r="O921" t="n">
        <v>1</v>
      </c>
      <c r="P921" t="n">
        <v>1.02</v>
      </c>
      <c r="Q921" t="n">
        <v>1.2</v>
      </c>
      <c r="R921" t="n">
        <v>1</v>
      </c>
      <c r="S921" t="n">
        <v>1.05</v>
      </c>
      <c r="T921">
        <f>LN(SQRT(EXP(
SQRT(
+POWER(LN(M921),2)
+POWER(LN(N921),2)
+POWER(LN(O921),2)
+POWER(LN(P921),2)
+POWER(LN(Q921),2)
+POWER(LN(R921),2)
+POWER(LN(S921),2)
)
)))</f>
        <v>9.4886477223156879E-2</v>
      </c>
    </row>
    <row r="922">
      <c r="A922" t="inlineStr">
        <is>
          <t>market for ammonia, anhydrous, liquid</t>
        </is>
      </c>
      <c r="B922">
        <f>unallocated!B320/I922*J922</f>
        <v>9.5958013473288422E-5</v>
      </c>
      <c r="C922" t="inlineStr">
        <is>
          <t>RER</t>
        </is>
      </c>
      <c r="D922" t="inlineStr">
        <is>
          <t>kilogram</t>
        </is>
      </c>
      <c r="F922" t="inlineStr">
        <is>
          <t>technosphere</t>
        </is>
      </c>
      <c r="G922" t="inlineStr">
        <is>
          <t>ammonia, anhydrous, liquid</t>
        </is>
      </c>
      <c r="H922" t="inlineStr">
        <is>
          <t>100% liquid ammonia. In original publication, it is dilluated to 23.5% in water. We discount the original value by 75%.</t>
        </is>
      </c>
      <c r="I922" t="n">
        <v>8510</v>
      </c>
      <c r="J922" s="11">
        <f>J917</f>
        <v>0.83326805577314744</v>
      </c>
      <c r="K922" t="n">
        <v>2</v>
      </c>
      <c r="L922" s="3">
        <f>LN(B922)</f>
        <v>-9.2515998218193118</v>
      </c>
      <c r="M922" t="n">
        <v>1</v>
      </c>
      <c r="N922" t="n">
        <v>1</v>
      </c>
      <c r="O922" t="n">
        <v>1</v>
      </c>
      <c r="P922" t="n">
        <v>1.02</v>
      </c>
      <c r="Q922" t="n">
        <v>1.2</v>
      </c>
      <c r="R922" t="n">
        <v>1</v>
      </c>
      <c r="S922" t="n">
        <v>1.05</v>
      </c>
      <c r="T922">
        <f>LN(SQRT(EXP(
SQRT(
+POWER(LN(M922),2)
+POWER(LN(N922),2)
+POWER(LN(O922),2)
+POWER(LN(P922),2)
+POWER(LN(Q922),2)
+POWER(LN(R922),2)
+POWER(LN(S922),2)
)
)))</f>
        <v>9.4886477223156879E-2</v>
      </c>
    </row>
    <row r="923">
      <c r="A923" t="inlineStr">
        <is>
          <t>market for tap water</t>
        </is>
      </c>
      <c r="B923">
        <f>unallocated!B321/I923*J923</f>
        <v>2.9570734764217452E-4</v>
      </c>
      <c r="C923" t="inlineStr">
        <is>
          <t>Europe without Switzerland</t>
        </is>
      </c>
      <c r="D923" t="inlineStr">
        <is>
          <t>kilogram</t>
        </is>
      </c>
      <c r="F923" t="inlineStr">
        <is>
          <t>technosphere</t>
        </is>
      </c>
      <c r="G923" t="inlineStr">
        <is>
          <t>tap water</t>
        </is>
      </c>
      <c r="H923" t="inlineStr">
        <is>
          <t>Used to dilute the ammonia.</t>
        </is>
      </c>
      <c r="I923" t="n">
        <v>8510</v>
      </c>
      <c r="J923" s="11">
        <f>J917</f>
        <v>0.83326805577314744</v>
      </c>
      <c r="K923" t="n">
        <v>2</v>
      </c>
      <c r="L923" s="3">
        <f>LN(B923)</f>
        <v>-8.1261402831150154</v>
      </c>
      <c r="M923" t="n">
        <v>1</v>
      </c>
      <c r="N923" t="n">
        <v>1</v>
      </c>
      <c r="O923" t="n">
        <v>1</v>
      </c>
      <c r="P923" t="n">
        <v>1.02</v>
      </c>
      <c r="Q923" t="n">
        <v>1.2</v>
      </c>
      <c r="R923" t="n">
        <v>1</v>
      </c>
      <c r="S923" t="n">
        <v>1.05</v>
      </c>
      <c r="T923">
        <f>LN(SQRT(EXP(
SQRT(
+POWER(LN(M923),2)
+POWER(LN(N923),2)
+POWER(LN(O923),2)
+POWER(LN(P923),2)
+POWER(LN(Q923),2)
+POWER(LN(R923),2)
+POWER(LN(S923),2)
)
)))</f>
        <v>9.4886477223156879E-2</v>
      </c>
    </row>
    <row r="924">
      <c r="A924" t="inlineStr">
        <is>
          <t>market for calcium carbonate, precipitated</t>
        </is>
      </c>
      <c r="B924">
        <f>unallocated!B322/I924*J924</f>
        <v>6.8541438195206012E-4</v>
      </c>
      <c r="C924" t="inlineStr">
        <is>
          <t>RER</t>
        </is>
      </c>
      <c r="D924" t="inlineStr">
        <is>
          <t>kilogram</t>
        </is>
      </c>
      <c r="F924" t="inlineStr">
        <is>
          <t>technosphere</t>
        </is>
      </c>
      <c r="G924" t="inlineStr">
        <is>
          <t>calcium carbonate, precipitated</t>
        </is>
      </c>
      <c r="I924" t="n">
        <v>8510</v>
      </c>
      <c r="J924" s="11">
        <f>J917</f>
        <v>0.83326805577314744</v>
      </c>
      <c r="K924" t="n">
        <v>0</v>
      </c>
      <c r="L924" s="3" t="n"/>
    </row>
    <row r="925">
      <c r="A925" t="inlineStr">
        <is>
          <t>market for iron(III) chloride, without water, in 40% solution state</t>
        </is>
      </c>
      <c r="B925">
        <f>unallocated!B323/I925*J925</f>
        <v>4.8958170139432868E-6</v>
      </c>
      <c r="C925" t="inlineStr">
        <is>
          <t>GLO</t>
        </is>
      </c>
      <c r="D925" t="inlineStr">
        <is>
          <t>kilogram</t>
        </is>
      </c>
      <c r="F925" t="inlineStr">
        <is>
          <t>technosphere</t>
        </is>
      </c>
      <c r="G925" t="inlineStr">
        <is>
          <t>iron(III) chloride, without water, in 40% solution state</t>
        </is>
      </c>
      <c r="I925" t="n">
        <v>8510</v>
      </c>
      <c r="J925" s="11">
        <f>J917</f>
        <v>0.83326805577314744</v>
      </c>
      <c r="K925" t="n">
        <v>0</v>
      </c>
      <c r="L925" s="3" t="n"/>
    </row>
    <row r="926">
      <c r="A926" t="inlineStr">
        <is>
          <t>market for lime, hydrated, packed</t>
        </is>
      </c>
      <c r="B926">
        <f>unallocated!B324/I926*J926</f>
        <v>0</v>
      </c>
      <c r="C926" t="inlineStr">
        <is>
          <t>RER</t>
        </is>
      </c>
      <c r="D926" t="inlineStr">
        <is>
          <t>kilogram</t>
        </is>
      </c>
      <c r="F926" t="inlineStr">
        <is>
          <t>technosphere</t>
        </is>
      </c>
      <c r="G926" t="inlineStr">
        <is>
          <t>lime, hydrated, packed</t>
        </is>
      </c>
      <c r="I926" t="n">
        <v>8510</v>
      </c>
      <c r="J926" s="11">
        <f>J917</f>
        <v>0.83326805577314744</v>
      </c>
      <c r="K926" t="n">
        <v>0</v>
      </c>
      <c r="L926" s="3" t="n"/>
    </row>
    <row r="927">
      <c r="A927" t="inlineStr">
        <is>
          <t>market for sodium hydroxide, without water, in 50% solution state</t>
        </is>
      </c>
      <c r="B927">
        <f>unallocated!B325/I927*J927</f>
        <v>4.8958170139432871E-5</v>
      </c>
      <c r="C927" t="inlineStr">
        <is>
          <t>RER</t>
        </is>
      </c>
      <c r="D927" t="inlineStr">
        <is>
          <t>kilogram</t>
        </is>
      </c>
      <c r="F927" t="inlineStr">
        <is>
          <t>technosphere</t>
        </is>
      </c>
      <c r="G927" t="inlineStr">
        <is>
          <t>sodium hydroxide, without water, in 50% solution state</t>
        </is>
      </c>
      <c r="H927" t="inlineStr">
        <is>
          <t>50% liquid ammonia. In original publication, it is dilluated to 27% in water. We discount the original value by 50%.</t>
        </is>
      </c>
      <c r="I927" t="n">
        <v>8510</v>
      </c>
      <c r="J927" s="11">
        <f>J917</f>
        <v>0.83326805577314744</v>
      </c>
      <c r="K927" t="n">
        <v>0</v>
      </c>
      <c r="L927" s="3" t="n"/>
    </row>
    <row r="928">
      <c r="A928" t="inlineStr">
        <is>
          <t>market for monoethanolamine</t>
        </is>
      </c>
      <c r="B928">
        <f>unallocated!B326/I928*J928</f>
        <v>3.9166536111546297E-4</v>
      </c>
      <c r="C928" t="inlineStr">
        <is>
          <t>GLO</t>
        </is>
      </c>
      <c r="D928" t="inlineStr">
        <is>
          <t>kilogram</t>
        </is>
      </c>
      <c r="F928" t="inlineStr">
        <is>
          <t>technosphere</t>
        </is>
      </c>
      <c r="G928" t="inlineStr">
        <is>
          <t>monoethanolamine</t>
        </is>
      </c>
      <c r="I928" t="n">
        <v>8510</v>
      </c>
      <c r="J928" s="11">
        <f>J917</f>
        <v>0.83326805577314744</v>
      </c>
      <c r="K928" t="n">
        <v>0</v>
      </c>
      <c r="L928" s="3" t="n"/>
    </row>
    <row r="929">
      <c r="A929" t="inlineStr">
        <is>
          <t>municipal waste incineration facility construction</t>
        </is>
      </c>
      <c r="B929">
        <f>unallocated!B327/I929*J929</f>
        <v>2.4479085069716434E-11</v>
      </c>
      <c r="C929" t="inlineStr">
        <is>
          <t>CH</t>
        </is>
      </c>
      <c r="D929" t="inlineStr">
        <is>
          <t>unit</t>
        </is>
      </c>
      <c r="F929" t="inlineStr">
        <is>
          <t>technosphere</t>
        </is>
      </c>
      <c r="G929" t="inlineStr">
        <is>
          <t>municipal waste incineration facility</t>
        </is>
      </c>
      <c r="H929" t="inlineStr">
        <is>
          <t>Lifetime: 4'000'000 tons MSWI treated.</t>
        </is>
      </c>
      <c r="I929" t="n">
        <v>8510</v>
      </c>
      <c r="J929" s="11">
        <f>J917</f>
        <v>0.83326805577314744</v>
      </c>
      <c r="K929" t="n">
        <v>2</v>
      </c>
      <c r="L929" s="3">
        <f>LN(B929)</f>
        <v>-24.433202033585957</v>
      </c>
      <c r="M929" t="n">
        <v>1</v>
      </c>
      <c r="N929" t="n">
        <v>1</v>
      </c>
      <c r="O929" t="n">
        <v>1</v>
      </c>
      <c r="P929" t="n">
        <v>1.02</v>
      </c>
      <c r="Q929" t="n">
        <v>1.2</v>
      </c>
      <c r="R929" t="n">
        <v>1</v>
      </c>
      <c r="S929" t="n">
        <v>3</v>
      </c>
      <c r="T929">
        <f>LN(SQRT(EXP(
SQRT(
+POWER(LN(M929),2)
+POWER(LN(N929),2)
+POWER(LN(O929),2)
+POWER(LN(P929),2)
+POWER(LN(Q929),2)
+POWER(LN(R929),2)
+POWER(LN(S929),2)
)
)))</f>
        <v>0.5569071410325479</v>
      </c>
    </row>
    <row r="930">
      <c r="A930" t="inlineStr">
        <is>
          <t>carbon dioxide storage at wood burning power plant 20 MW post, pipeline 200km, storage 1000m</t>
        </is>
      </c>
      <c r="B930">
        <f>unallocated!B328/I930*J930</f>
        <v>8.0585148049506505E-2</v>
      </c>
      <c r="C930" t="inlineStr">
        <is>
          <t>RER</t>
        </is>
      </c>
      <c r="D930" t="inlineStr">
        <is>
          <t>kilogram</t>
        </is>
      </c>
      <c r="F930" t="inlineStr">
        <is>
          <t>technosphere</t>
        </is>
      </c>
      <c r="G930" t="inlineStr">
        <is>
          <t>carbon dioxide storage at wood burning power plant 20 MW post, pipeline 200km, storage 1000m</t>
        </is>
      </c>
      <c r="I930" t="n">
        <v>8510</v>
      </c>
      <c r="J930" s="11">
        <f>J917</f>
        <v>0.83326805577314744</v>
      </c>
      <c r="K930" t="n">
        <v>2</v>
      </c>
      <c r="L930" s="3">
        <f>LN(B930)</f>
        <v>-2.518440913824723</v>
      </c>
      <c r="M930" t="n">
        <v>1</v>
      </c>
      <c r="N930" t="n">
        <v>1</v>
      </c>
      <c r="O930" t="n">
        <v>1</v>
      </c>
      <c r="P930" t="n">
        <v>1.02</v>
      </c>
      <c r="Q930" t="n">
        <v>1.2</v>
      </c>
      <c r="R930" t="n">
        <v>1</v>
      </c>
      <c r="S930" t="n">
        <v>3</v>
      </c>
      <c r="T930">
        <f>LN(SQRT(EXP(
SQRT(
+POWER(LN(M930),2)
+POWER(LN(N930),2)
+POWER(LN(O930),2)
+POWER(LN(P930),2)
+POWER(LN(Q930),2)
+POWER(LN(R930),2)
+POWER(LN(S930),2)
)
)))</f>
        <v>0.5569071410325479</v>
      </c>
    </row>
    <row r="931">
      <c r="A931" t="inlineStr">
        <is>
          <t>Water, cooling, unspecified natural origin</t>
        </is>
      </c>
      <c r="B931">
        <f>unallocated!B329/I931*J931</f>
        <v>0</v>
      </c>
      <c r="D931" t="inlineStr">
        <is>
          <t>cubic meter</t>
        </is>
      </c>
      <c r="E931" t="inlineStr">
        <is>
          <t>natural resource::in water</t>
        </is>
      </c>
      <c r="F931" t="inlineStr">
        <is>
          <t>biosphere</t>
        </is>
      </c>
      <c r="I931" t="n">
        <v>8510</v>
      </c>
      <c r="J931" s="11">
        <f>J917</f>
        <v>0.83326805577314744</v>
      </c>
      <c r="K931" t="n">
        <v>0</v>
      </c>
      <c r="L931" s="3" t="n"/>
    </row>
    <row r="932">
      <c r="A932" t="inlineStr">
        <is>
          <t>Sulfur dioxide</t>
        </is>
      </c>
      <c r="B932">
        <f>unallocated!B330/I932*J932</f>
        <v>5.8749804167319444E-7</v>
      </c>
      <c r="D932" t="inlineStr">
        <is>
          <t>kilogram</t>
        </is>
      </c>
      <c r="E932" t="inlineStr">
        <is>
          <t>air::urban air close to ground</t>
        </is>
      </c>
      <c r="F932" t="inlineStr">
        <is>
          <t>biosphere</t>
        </is>
      </c>
      <c r="I932" t="n">
        <v>8510</v>
      </c>
      <c r="J932" s="11">
        <f>J917</f>
        <v>0.83326805577314744</v>
      </c>
      <c r="K932" t="n">
        <v>2</v>
      </c>
      <c r="L932" s="3">
        <f>LN(B932)</f>
        <v>-14.347392924255875</v>
      </c>
      <c r="M932" t="n">
        <v>1</v>
      </c>
      <c r="N932" t="n">
        <v>1</v>
      </c>
      <c r="O932" t="n">
        <v>1</v>
      </c>
      <c r="P932" t="n">
        <v>1.02</v>
      </c>
      <c r="Q932" t="n">
        <v>1.2</v>
      </c>
      <c r="R932" t="n">
        <v>1</v>
      </c>
      <c r="S932" t="n">
        <v>1.05</v>
      </c>
      <c r="T932">
        <f>LN(SQRT(EXP(
SQRT(
+POWER(LN(M932),2)
+POWER(LN(N932),2)
+POWER(LN(O932),2)
+POWER(LN(P932),2)
+POWER(LN(Q932),2)
+POWER(LN(R932),2)
+POWER(LN(S932),2)
)
)))</f>
        <v>9.4886477223156879E-2</v>
      </c>
    </row>
    <row r="933">
      <c r="A933" t="inlineStr">
        <is>
          <t>Hydrochloric acid</t>
        </is>
      </c>
      <c r="B933">
        <f>unallocated!B331/I933*J933</f>
        <v>2.9374902083659722E-7</v>
      </c>
      <c r="D933" t="inlineStr">
        <is>
          <t>kilogram</t>
        </is>
      </c>
      <c r="E933" t="inlineStr">
        <is>
          <t>air</t>
        </is>
      </c>
      <c r="F933" t="inlineStr">
        <is>
          <t>biosphere</t>
        </is>
      </c>
      <c r="I933" t="n">
        <v>8510</v>
      </c>
      <c r="J933" s="11">
        <f>J917</f>
        <v>0.83326805577314744</v>
      </c>
      <c r="K933" t="n">
        <v>2</v>
      </c>
      <c r="L933" s="3">
        <f>LN(B933)</f>
        <v>-15.04054010481582</v>
      </c>
      <c r="M933" t="n">
        <v>1</v>
      </c>
      <c r="N933" t="n">
        <v>1</v>
      </c>
      <c r="O933" t="n">
        <v>1</v>
      </c>
      <c r="P933" t="n">
        <v>1.02</v>
      </c>
      <c r="Q933" t="n">
        <v>1.2</v>
      </c>
      <c r="R933" t="n">
        <v>1</v>
      </c>
      <c r="S933" t="n">
        <v>1.5</v>
      </c>
      <c r="T933">
        <f>LN(SQRT(EXP(
SQRT(
+POWER(LN(M933),2)
+POWER(LN(N933),2)
+POWER(LN(O933),2)
+POWER(LN(P933),2)
+POWER(LN(Q933),2)
+POWER(LN(R933),2)
+POWER(LN(S933),2)
)
)))</f>
        <v>0.22250575723605889</v>
      </c>
    </row>
    <row r="934">
      <c r="A934" t="inlineStr">
        <is>
          <t>Nitrogen oxides</t>
        </is>
      </c>
      <c r="B934">
        <f>unallocated!B332/I934*J934</f>
        <v>6.6289362368792106E-5</v>
      </c>
      <c r="D934" t="inlineStr">
        <is>
          <t>kilogram</t>
        </is>
      </c>
      <c r="E934" t="inlineStr">
        <is>
          <t>air::urban air close to ground</t>
        </is>
      </c>
      <c r="F934" t="inlineStr">
        <is>
          <t>biosphere</t>
        </is>
      </c>
      <c r="I934" t="n">
        <v>8510</v>
      </c>
      <c r="J934" s="11">
        <f>J917</f>
        <v>0.83326805577314744</v>
      </c>
      <c r="K934" t="n">
        <v>2</v>
      </c>
      <c r="L934" s="3">
        <f>LN(B934)</f>
        <v>-9.6214811205716551</v>
      </c>
      <c r="M934" t="n">
        <v>1</v>
      </c>
      <c r="N934" t="n">
        <v>1</v>
      </c>
      <c r="O934" t="n">
        <v>1</v>
      </c>
      <c r="P934" t="n">
        <v>1.02</v>
      </c>
      <c r="Q934" t="n">
        <v>1.2</v>
      </c>
      <c r="R934" t="n">
        <v>1</v>
      </c>
      <c r="S934" t="n">
        <v>1.5</v>
      </c>
      <c r="T934">
        <f>LN(SQRT(EXP(
SQRT(
+POWER(LN(M934),2)
+POWER(LN(N934),2)
+POWER(LN(O934),2)
+POWER(LN(P934),2)
+POWER(LN(Q934),2)
+POWER(LN(R934),2)
+POWER(LN(S934),2)
)
)))</f>
        <v>0.22250575723605889</v>
      </c>
    </row>
    <row r="935">
      <c r="A935" t="inlineStr">
        <is>
          <t>Ammonia</t>
        </is>
      </c>
      <c r="B935">
        <f>unallocated!B333/I935*J935</f>
        <v>1.9583268055773149E-6</v>
      </c>
      <c r="D935" t="inlineStr">
        <is>
          <t>kilogram</t>
        </is>
      </c>
      <c r="E935" t="inlineStr">
        <is>
          <t>air::urban air close to ground</t>
        </is>
      </c>
      <c r="F935" t="inlineStr">
        <is>
          <t>biosphere</t>
        </is>
      </c>
      <c r="I935" t="n">
        <v>8510</v>
      </c>
      <c r="J935" s="11">
        <f>J917</f>
        <v>0.83326805577314744</v>
      </c>
      <c r="K935" t="n">
        <v>2</v>
      </c>
      <c r="L935" s="3">
        <f>LN(B935)</f>
        <v>-13.143420119929939</v>
      </c>
      <c r="M935" t="n">
        <v>1</v>
      </c>
      <c r="N935" t="n">
        <v>1</v>
      </c>
      <c r="O935" t="n">
        <v>1</v>
      </c>
      <c r="P935" t="n">
        <v>1.02</v>
      </c>
      <c r="Q935" t="n">
        <v>1.2</v>
      </c>
      <c r="R935" t="n">
        <v>1</v>
      </c>
      <c r="S935" t="n">
        <v>1.5</v>
      </c>
      <c r="T935">
        <f>LN(SQRT(EXP(
SQRT(
+POWER(LN(M935),2)
+POWER(LN(N935),2)
+POWER(LN(O935),2)
+POWER(LN(P935),2)
+POWER(LN(Q935),2)
+POWER(LN(R935),2)
+POWER(LN(S935),2)
)
)))</f>
        <v>0.22250575723605889</v>
      </c>
    </row>
    <row r="936">
      <c r="A936" t="inlineStr">
        <is>
          <t>Particulate Matter, &lt; 2.5 um</t>
        </is>
      </c>
      <c r="B936">
        <f>unallocated!B334/I936*J936</f>
        <v>5.8749804167319444E-7</v>
      </c>
      <c r="D936" t="inlineStr">
        <is>
          <t>kilogram</t>
        </is>
      </c>
      <c r="E936" t="inlineStr">
        <is>
          <t>air::urban air close to ground</t>
        </is>
      </c>
      <c r="F936" t="inlineStr">
        <is>
          <t>biosphere</t>
        </is>
      </c>
      <c r="I936" t="n">
        <v>8510</v>
      </c>
      <c r="J936" s="11">
        <f>J917</f>
        <v>0.83326805577314744</v>
      </c>
      <c r="K936" t="n">
        <v>2</v>
      </c>
      <c r="L936" s="3">
        <f>LN(B936)</f>
        <v>-14.347392924255875</v>
      </c>
      <c r="M936" t="n">
        <v>1</v>
      </c>
      <c r="N936" t="n">
        <v>1</v>
      </c>
      <c r="O936" t="n">
        <v>1</v>
      </c>
      <c r="P936" t="n">
        <v>1.02</v>
      </c>
      <c r="Q936" t="n">
        <v>1.2</v>
      </c>
      <c r="R936" t="n">
        <v>1</v>
      </c>
      <c r="S936" t="n">
        <v>3</v>
      </c>
      <c r="T936">
        <f>LN(SQRT(EXP(
SQRT(
+POWER(LN(M936),2)
+POWER(LN(N936),2)
+POWER(LN(O936),2)
+POWER(LN(P936),2)
+POWER(LN(Q936),2)
+POWER(LN(R936),2)
+POWER(LN(S936),2)
)
)))</f>
        <v>0.5569071410325479</v>
      </c>
    </row>
    <row r="937">
      <c r="A937" t="inlineStr">
        <is>
          <t>Mercury II</t>
        </is>
      </c>
      <c r="B937">
        <f>unallocated!B335/I937*J937</f>
        <v>5.8749804167319442E-10</v>
      </c>
      <c r="D937" t="inlineStr">
        <is>
          <t>kilogram</t>
        </is>
      </c>
      <c r="E937" t="inlineStr">
        <is>
          <t>air::urban air close to ground</t>
        </is>
      </c>
      <c r="F937" t="inlineStr">
        <is>
          <t>biosphere</t>
        </is>
      </c>
      <c r="I937" t="n">
        <v>8510</v>
      </c>
      <c r="J937" s="11">
        <f>J917</f>
        <v>0.83326805577314744</v>
      </c>
      <c r="K937" t="n">
        <v>2</v>
      </c>
      <c r="L937" s="3">
        <f>LN(B937)</f>
        <v>-21.255148203238011</v>
      </c>
      <c r="M937" t="n">
        <v>1</v>
      </c>
      <c r="N937" t="n">
        <v>1</v>
      </c>
      <c r="O937" t="n">
        <v>1</v>
      </c>
      <c r="P937" t="n">
        <v>1.02</v>
      </c>
      <c r="Q937" t="n">
        <v>1.2</v>
      </c>
      <c r="R937" t="n">
        <v>1</v>
      </c>
      <c r="S937" t="n">
        <v>5</v>
      </c>
      <c r="T937">
        <f>LN(SQRT(EXP(
SQRT(
+POWER(LN(M937),2)
+POWER(LN(N937),2)
+POWER(LN(O937),2)
+POWER(LN(P937),2)
+POWER(LN(Q937),2)
+POWER(LN(R937),2)
+POWER(LN(S937),2)
)
)))</f>
        <v>0.80992649174166365</v>
      </c>
    </row>
    <row r="938">
      <c r="A938" t="inlineStr">
        <is>
          <t>Lead II</t>
        </is>
      </c>
      <c r="B938">
        <f>unallocated!B336/I938*J938</f>
        <v>5.8749804167319442E-10</v>
      </c>
      <c r="D938" t="inlineStr">
        <is>
          <t>kilogram</t>
        </is>
      </c>
      <c r="E938" t="inlineStr">
        <is>
          <t>air::urban air close to ground</t>
        </is>
      </c>
      <c r="F938" t="inlineStr">
        <is>
          <t>biosphere</t>
        </is>
      </c>
      <c r="I938" t="n">
        <v>8510</v>
      </c>
      <c r="J938" s="11">
        <f>J917</f>
        <v>0.83326805577314744</v>
      </c>
      <c r="K938" t="n">
        <v>2</v>
      </c>
      <c r="L938" s="3">
        <f>LN(B938)</f>
        <v>-21.255148203238011</v>
      </c>
      <c r="M938" t="n">
        <v>1</v>
      </c>
      <c r="N938" t="n">
        <v>1</v>
      </c>
      <c r="O938" t="n">
        <v>1</v>
      </c>
      <c r="P938" t="n">
        <v>1.02</v>
      </c>
      <c r="Q938" t="n">
        <v>1.2</v>
      </c>
      <c r="R938" t="n">
        <v>1</v>
      </c>
      <c r="S938" t="n">
        <v>5</v>
      </c>
      <c r="T938">
        <f>LN(SQRT(EXP(
SQRT(
+POWER(LN(M938),2)
+POWER(LN(N938),2)
+POWER(LN(O938),2)
+POWER(LN(P938),2)
+POWER(LN(Q938),2)
+POWER(LN(R938),2)
+POWER(LN(S938),2)
)
)))</f>
        <v>0.80992649174166365</v>
      </c>
    </row>
    <row r="939">
      <c r="A939" t="inlineStr">
        <is>
          <t>Cadmium II</t>
        </is>
      </c>
      <c r="B939">
        <f>unallocated!B337/I939*J939</f>
        <v>2.9374902083659721E-10</v>
      </c>
      <c r="D939" t="inlineStr">
        <is>
          <t>kilogram</t>
        </is>
      </c>
      <c r="E939" t="inlineStr">
        <is>
          <t>air::urban air close to ground</t>
        </is>
      </c>
      <c r="F939" t="inlineStr">
        <is>
          <t>biosphere</t>
        </is>
      </c>
      <c r="I939" t="n">
        <v>8510</v>
      </c>
      <c r="J939" s="11">
        <f>J917</f>
        <v>0.83326805577314744</v>
      </c>
      <c r="K939" t="n">
        <v>2</v>
      </c>
      <c r="L939" s="3">
        <f>LN(B939)</f>
        <v>-21.948295383797959</v>
      </c>
      <c r="M939" t="n">
        <v>1</v>
      </c>
      <c r="N939" t="n">
        <v>1</v>
      </c>
      <c r="O939" t="n">
        <v>1</v>
      </c>
      <c r="P939" t="n">
        <v>1.02</v>
      </c>
      <c r="Q939" t="n">
        <v>1.2</v>
      </c>
      <c r="R939" t="n">
        <v>1</v>
      </c>
      <c r="S939" t="n">
        <v>5</v>
      </c>
      <c r="T939">
        <f>LN(SQRT(EXP(
SQRT(
+POWER(LN(M939),2)
+POWER(LN(N939),2)
+POWER(LN(O939),2)
+POWER(LN(P939),2)
+POWER(LN(Q939),2)
+POWER(LN(R939),2)
+POWER(LN(S939),2)
)
)))</f>
        <v>0.80992649174166365</v>
      </c>
    </row>
    <row r="940">
      <c r="A940" t="inlineStr">
        <is>
          <t>Arsenic ion</t>
        </is>
      </c>
      <c r="B940">
        <f>unallocated!B338/I940*J940</f>
        <v>2.9374902083659721E-10</v>
      </c>
      <c r="D940" t="inlineStr">
        <is>
          <t>kilogram</t>
        </is>
      </c>
      <c r="E940" t="inlineStr">
        <is>
          <t>air::urban air close to ground</t>
        </is>
      </c>
      <c r="F940" t="inlineStr">
        <is>
          <t>biosphere</t>
        </is>
      </c>
      <c r="I940" t="n">
        <v>8510</v>
      </c>
      <c r="J940" s="11">
        <f>J917</f>
        <v>0.83326805577314744</v>
      </c>
      <c r="K940" t="n">
        <v>2</v>
      </c>
      <c r="L940" s="3">
        <f>LN(B940)</f>
        <v>-21.948295383797959</v>
      </c>
      <c r="M940" t="n">
        <v>1</v>
      </c>
      <c r="N940" t="n">
        <v>1</v>
      </c>
      <c r="O940" t="n">
        <v>1</v>
      </c>
      <c r="P940" t="n">
        <v>1.02</v>
      </c>
      <c r="Q940" t="n">
        <v>1.2</v>
      </c>
      <c r="R940" t="n">
        <v>1</v>
      </c>
      <c r="S940" t="n">
        <v>5</v>
      </c>
      <c r="T940">
        <f>LN(SQRT(EXP(
SQRT(
+POWER(LN(M940),2)
+POWER(LN(N940),2)
+POWER(LN(O940),2)
+POWER(LN(P940),2)
+POWER(LN(Q940),2)
+POWER(LN(R940),2)
+POWER(LN(S940),2)
)
)))</f>
        <v>0.80992649174166365</v>
      </c>
    </row>
    <row r="941">
      <c r="A941" t="inlineStr">
        <is>
          <t>Dioxins, measured as 2,3,7,8-tetrachlorodibenzo-p-dioxin</t>
        </is>
      </c>
      <c r="B941">
        <f>unallocated!B339/I941*J941</f>
        <v>1.0770797430675233E-14</v>
      </c>
      <c r="D941" t="inlineStr">
        <is>
          <t>kilogram</t>
        </is>
      </c>
      <c r="E941" t="inlineStr">
        <is>
          <t>air::urban air close to ground</t>
        </is>
      </c>
      <c r="F941" t="inlineStr">
        <is>
          <t>biosphere</t>
        </is>
      </c>
      <c r="I941" t="n">
        <v>8510</v>
      </c>
      <c r="J941" s="11">
        <f>J917</f>
        <v>0.83326805577314744</v>
      </c>
      <c r="K941" t="n">
        <v>2</v>
      </c>
      <c r="L941" s="3">
        <f>LN(B941)</f>
        <v>-32.161937864637927</v>
      </c>
      <c r="M941" t="n">
        <v>1</v>
      </c>
      <c r="N941" t="n">
        <v>1</v>
      </c>
      <c r="O941" t="n">
        <v>1</v>
      </c>
      <c r="P941" t="n">
        <v>1.02</v>
      </c>
      <c r="Q941" t="n">
        <v>1.2</v>
      </c>
      <c r="R941" t="n">
        <v>1</v>
      </c>
      <c r="S941" t="n">
        <v>5</v>
      </c>
      <c r="T941">
        <f>LN(SQRT(EXP(
SQRT(
+POWER(LN(M941),2)
+POWER(LN(N941),2)
+POWER(LN(O941),2)
+POWER(LN(P941),2)
+POWER(LN(Q941),2)
+POWER(LN(R941),2)
+POWER(LN(S941),2)
)
)))</f>
        <v>0.80992649174166365</v>
      </c>
    </row>
    <row r="942">
      <c r="A942" t="inlineStr">
        <is>
          <t>Carbon dioxide, fossil</t>
        </is>
      </c>
      <c r="B942">
        <f>unallocated!B340/I942*J942</f>
        <v>5.4833150556164809E-3</v>
      </c>
      <c r="D942" t="inlineStr">
        <is>
          <t>kilogram</t>
        </is>
      </c>
      <c r="E942" t="inlineStr">
        <is>
          <t>air::urban air close to ground</t>
        </is>
      </c>
      <c r="F942" t="inlineStr">
        <is>
          <t>biosphere</t>
        </is>
      </c>
      <c r="I942" t="n">
        <v>8510</v>
      </c>
      <c r="J942" s="11">
        <f>J917</f>
        <v>0.83326805577314744</v>
      </c>
      <c r="K942" t="n">
        <v>2</v>
      </c>
      <c r="L942" s="3">
        <f>LN(B942)</f>
        <v>-5.2060454237666436</v>
      </c>
      <c r="M942" t="n">
        <v>1</v>
      </c>
      <c r="N942" t="n">
        <v>1</v>
      </c>
      <c r="O942" t="n">
        <v>1</v>
      </c>
      <c r="P942" t="n">
        <v>1.02</v>
      </c>
      <c r="Q942" t="n">
        <v>1.2</v>
      </c>
      <c r="R942" t="n">
        <v>1</v>
      </c>
      <c r="S942" t="n">
        <v>1.05</v>
      </c>
      <c r="T942">
        <f>LN(SQRT(EXP(
SQRT(
+POWER(LN(M942),2)
+POWER(LN(N942),2)
+POWER(LN(O942),2)
+POWER(LN(P942),2)
+POWER(LN(Q942),2)
+POWER(LN(R942),2)
+POWER(LN(S942),2)
)
)))</f>
        <v>9.4886477223156879E-2</v>
      </c>
    </row>
    <row r="943">
      <c r="A943" t="inlineStr">
        <is>
          <t>Carbon dioxide, non-fossil</t>
        </is>
      </c>
      <c r="B943">
        <f>unallocated!B341/I943*J943</f>
        <v>8.7145542848190514E-3</v>
      </c>
      <c r="D943" t="inlineStr">
        <is>
          <t>kilogram</t>
        </is>
      </c>
      <c r="E943" t="inlineStr">
        <is>
          <t>air::urban air close to ground</t>
        </is>
      </c>
      <c r="F943" t="inlineStr">
        <is>
          <t>biosphere</t>
        </is>
      </c>
      <c r="I943" t="n">
        <v>8510</v>
      </c>
      <c r="J943" s="14">
        <f>J917</f>
        <v>0.83326805577314744</v>
      </c>
      <c r="K943" t="n">
        <v>2</v>
      </c>
      <c r="L943" s="3">
        <f>LN(B943)</f>
        <v>-4.7427607447696527</v>
      </c>
      <c r="M943" t="n">
        <v>1</v>
      </c>
      <c r="N943" t="n">
        <v>1</v>
      </c>
      <c r="O943" t="n">
        <v>1</v>
      </c>
      <c r="P943" t="n">
        <v>1.02</v>
      </c>
      <c r="Q943" t="n">
        <v>1.2</v>
      </c>
      <c r="R943" t="n">
        <v>1</v>
      </c>
      <c r="S943" t="n">
        <v>1.05</v>
      </c>
      <c r="T943">
        <f>LN(SQRT(EXP(
SQRT(
+POWER(LN(M943),2)
+POWER(LN(N943),2)
+POWER(LN(O943),2)
+POWER(LN(P943),2)
+POWER(LN(Q943),2)
+POWER(LN(R943),2)
+POWER(LN(S943),2)
)
)))</f>
        <v>9.4886477223156879E-2</v>
      </c>
    </row>
    <row r="944">
      <c r="A944" t="inlineStr">
        <is>
          <t>Carbon dioxide, in air</t>
        </is>
      </c>
      <c r="B944">
        <f>unallocated!B342/I944*J944</f>
        <v>4.9447751840827198E-2</v>
      </c>
      <c r="D944" t="inlineStr">
        <is>
          <t>kilogram</t>
        </is>
      </c>
      <c r="E944" t="inlineStr">
        <is>
          <t>natural resource::in air</t>
        </is>
      </c>
      <c r="F944" t="inlineStr">
        <is>
          <t>biosphere</t>
        </is>
      </c>
      <c r="H944" t="inlineStr">
        <is>
          <t>To reflect the permanent storage of non-fossil CO.</t>
        </is>
      </c>
      <c r="I944" t="n">
        <v>8510</v>
      </c>
      <c r="J944" s="14">
        <f>J917</f>
        <v>0.83326805577314744</v>
      </c>
      <c r="K944" t="n">
        <v>2</v>
      </c>
      <c r="L944" s="3">
        <f>LN(B944)</f>
        <v>-3.006838685226433</v>
      </c>
      <c r="M944" t="n">
        <v>1</v>
      </c>
      <c r="N944" t="n">
        <v>1</v>
      </c>
      <c r="O944" t="n">
        <v>1</v>
      </c>
      <c r="P944" t="n">
        <v>1.02</v>
      </c>
      <c r="Q944" t="n">
        <v>1.2</v>
      </c>
      <c r="R944" t="n">
        <v>1</v>
      </c>
      <c r="S944" t="n">
        <v>1.05</v>
      </c>
      <c r="T944">
        <f>LN(SQRT(EXP(
SQRT(
+POWER(LN(M944),2)
+POWER(LN(N944),2)
+POWER(LN(O944),2)
+POWER(LN(P944),2)
+POWER(LN(Q944),2)
+POWER(LN(R944),2)
+POWER(LN(S944),2)
)
)))</f>
        <v>9.4886477223156879E-2</v>
      </c>
    </row>
  </sheetData>
  <autoFilter ref="A1:U94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21" sqref="A21"/>
    </sheetView>
  </sheetViews>
  <sheetFormatPr baseColWidth="10" defaultRowHeight="16"/>
  <cols>
    <col width="94.1640625" customWidth="1" min="1" max="1"/>
  </cols>
  <sheetData>
    <row r="1">
      <c r="A1" s="1" t="inlineStr">
        <is>
          <t>Activity</t>
        </is>
      </c>
      <c r="B1" s="1" t="inlineStr">
        <is>
          <t>municipal waste incineration, at incineration plant, with semi-dry air pollution control, without flue gas condensation, with electricity recovery only, exergy allocation</t>
        </is>
      </c>
    </row>
    <row r="2">
      <c r="A2" t="inlineStr">
        <is>
          <t>location</t>
        </is>
      </c>
      <c r="B2" t="inlineStr">
        <is>
          <t>RER</t>
        </is>
      </c>
    </row>
    <row r="3">
      <c r="A3" t="inlineStr">
        <is>
          <t>production amount</t>
        </is>
      </c>
      <c r="B3" t="n">
        <v>1</v>
      </c>
    </row>
    <row r="4">
      <c r="A4" s="2" t="inlineStr">
        <is>
          <t>source</t>
        </is>
      </c>
      <c r="B4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5">
      <c r="A5" t="inlineStr">
        <is>
          <t>reference product</t>
        </is>
      </c>
      <c r="B5" t="inlineStr">
        <is>
          <t>municipal solid waste</t>
        </is>
      </c>
    </row>
    <row r="6">
      <c r="A6" t="inlineStr">
        <is>
          <t>type</t>
        </is>
      </c>
      <c r="B6" t="inlineStr">
        <is>
          <t>process</t>
        </is>
      </c>
    </row>
    <row r="7">
      <c r="A7" t="inlineStr">
        <is>
          <t>unit</t>
        </is>
      </c>
      <c r="B7" t="inlineStr">
        <is>
          <t>kilogram</t>
        </is>
      </c>
    </row>
    <row r="8">
      <c r="A8" t="inlineStr">
        <is>
          <t>comment</t>
        </is>
      </c>
      <c r="B8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No. Electricity production per ton MSWI incinerated: 739 kWh.</t>
        </is>
      </c>
    </row>
    <row r="9">
      <c r="A9" s="1" t="inlineStr">
        <is>
          <t>Exchanges</t>
        </is>
      </c>
    </row>
    <row r="10">
      <c r="A10" s="7" t="inlineStr">
        <is>
          <t>name</t>
        </is>
      </c>
      <c r="B10" s="7" t="inlineStr">
        <is>
          <t>amount</t>
        </is>
      </c>
      <c r="C10" s="7" t="inlineStr">
        <is>
          <t>location</t>
        </is>
      </c>
      <c r="D10" s="7" t="inlineStr">
        <is>
          <t>unit</t>
        </is>
      </c>
      <c r="E10" s="7" t="inlineStr">
        <is>
          <t>categories</t>
        </is>
      </c>
      <c r="F10" s="7" t="inlineStr">
        <is>
          <t>type</t>
        </is>
      </c>
      <c r="G10" s="7" t="inlineStr">
        <is>
          <t>reference product</t>
        </is>
      </c>
      <c r="H10" s="7" t="inlineStr">
        <is>
          <t>comment</t>
        </is>
      </c>
      <c r="I10" s="7" t="inlineStr">
        <is>
          <t>normalization</t>
        </is>
      </c>
      <c r="J10" s="7" t="inlineStr">
        <is>
          <t>allocation</t>
        </is>
      </c>
      <c r="K10" s="7" t="inlineStr">
        <is>
          <t>uncertainty type</t>
        </is>
      </c>
      <c r="L10" s="7" t="inlineStr">
        <is>
          <t>loc</t>
        </is>
      </c>
      <c r="M10" s="1" t="inlineStr">
        <is>
          <t>u1</t>
        </is>
      </c>
      <c r="N10" s="1" t="inlineStr">
        <is>
          <t>u2</t>
        </is>
      </c>
      <c r="O10" s="1" t="inlineStr">
        <is>
          <t>u3</t>
        </is>
      </c>
      <c r="P10" s="1" t="inlineStr">
        <is>
          <t>u4</t>
        </is>
      </c>
      <c r="Q10" s="1" t="inlineStr">
        <is>
          <t>u5</t>
        </is>
      </c>
      <c r="R10" s="1" t="inlineStr">
        <is>
          <t>u6</t>
        </is>
      </c>
      <c r="S10" s="1" t="inlineStr">
        <is>
          <t>ub</t>
        </is>
      </c>
      <c r="T10" s="1" t="inlineStr">
        <is>
          <t>scale</t>
        </is>
      </c>
      <c r="U10" s="1" t="inlineStr">
        <is>
          <t>negative</t>
        </is>
      </c>
    </row>
    <row r="11">
      <c r="A11" t="inlineStr">
        <is>
          <t>municipal waste incineration, at incineration plant, with semi-dry air pollution control, without flue gas condensation, with electricity recovery only, exergy allocation</t>
        </is>
      </c>
      <c r="B11" t="n">
        <v>1</v>
      </c>
      <c r="C11" t="inlineStr">
        <is>
          <t>RER</t>
        </is>
      </c>
      <c r="D11" t="inlineStr">
        <is>
          <t>kilogram</t>
        </is>
      </c>
      <c r="F11" t="inlineStr">
        <is>
          <t>production</t>
        </is>
      </c>
      <c r="G11" t="inlineStr">
        <is>
          <t>municipal solid waste</t>
        </is>
      </c>
      <c r="H11" t="inlineStr"/>
      <c r="I11" t="n">
        <v>1000</v>
      </c>
      <c r="J11" s="14">
        <f>INDEX('allocation keys'!$I$4:$K$29,MATCH('allocated (exergy)'!$B$1,'allocation keys'!$B$4:$B$28,0),MATCH('allocated (exergy)'!$B$5,'allocation keys'!$I$3:$K$3,0))</f>
        <v>0</v>
      </c>
      <c r="K11" t="n">
        <v>0</v>
      </c>
      <c r="M11" s="5" t="n"/>
      <c r="N11" s="5" t="n"/>
      <c r="O11" s="5" t="n"/>
      <c r="P11" s="5" t="n"/>
      <c r="Q11" s="5" t="n"/>
      <c r="R11" s="5" t="n"/>
    </row>
    <row r="12">
      <c r="A12" t="inlineStr">
        <is>
          <t>municipal waste incineration, at incineration plant, with semi-dry air pollution control, without flue gas condensation, with electricity recovery only, exergy allocation</t>
        </is>
      </c>
      <c r="B12">
        <f>unallocated!B14/'allocated (exergy)'!I12*'allocated (exergy)'!J12</f>
        <v>0</v>
      </c>
      <c r="C12" t="inlineStr">
        <is>
          <t>RER</t>
        </is>
      </c>
      <c r="D12" t="inlineStr">
        <is>
          <t>kilowatt hour</t>
        </is>
      </c>
      <c r="F12" t="inlineStr">
        <is>
          <t>technosphere</t>
        </is>
      </c>
      <c r="G12" t="inlineStr">
        <is>
          <t>electricity, medium voltage</t>
        </is>
      </c>
      <c r="H12" t="inlineStr"/>
      <c r="I12" t="n">
        <v>1000</v>
      </c>
      <c r="J12" s="11">
        <f>J11</f>
        <v>0</v>
      </c>
      <c r="K12" t="n">
        <v>0</v>
      </c>
      <c r="L12" s="3" t="n"/>
    </row>
    <row r="13">
      <c r="A13" t="inlineStr">
        <is>
          <t>market for diesel, low-sulfur</t>
        </is>
      </c>
      <c r="B13">
        <f>unallocated!B16/'allocated (exergy)'!I13*'allocated (exergy)'!J13</f>
        <v>0</v>
      </c>
      <c r="C13" t="inlineStr">
        <is>
          <t>Europe without Switzerland</t>
        </is>
      </c>
      <c r="D13" t="inlineStr">
        <is>
          <t>kilogram</t>
        </is>
      </c>
      <c r="F13" t="inlineStr">
        <is>
          <t>technosphere</t>
        </is>
      </c>
      <c r="G13" t="inlineStr">
        <is>
          <t>diesel, low-sulfur</t>
        </is>
      </c>
      <c r="H13" t="inlineStr">
        <is>
          <t>Diesel density: 0.85 kg/l</t>
        </is>
      </c>
      <c r="I13" t="n">
        <v>1000</v>
      </c>
      <c r="J13" s="11">
        <f>J11</f>
        <v>0</v>
      </c>
      <c r="K13" t="n">
        <v>0</v>
      </c>
      <c r="L13" s="3" t="n"/>
    </row>
    <row r="14">
      <c r="A14" t="inlineStr">
        <is>
          <t>market for activated carbon, granular</t>
        </is>
      </c>
      <c r="B14">
        <f>unallocated!B17/'allocated (exergy)'!I14*'allocated (exergy)'!J14</f>
        <v>0</v>
      </c>
      <c r="C14" t="inlineStr">
        <is>
          <t>GLO</t>
        </is>
      </c>
      <c r="D14" t="inlineStr">
        <is>
          <t>kilogram</t>
        </is>
      </c>
      <c r="F14" t="inlineStr">
        <is>
          <t>technosphere</t>
        </is>
      </c>
      <c r="G14" t="inlineStr">
        <is>
          <t>activated carbon, granular</t>
        </is>
      </c>
      <c r="I14" t="n">
        <v>1000</v>
      </c>
      <c r="J14" s="11">
        <f>J11</f>
        <v>0</v>
      </c>
      <c r="K14" t="n">
        <v>0</v>
      </c>
      <c r="L14" s="3" t="n"/>
    </row>
    <row r="15">
      <c r="A15" t="inlineStr">
        <is>
          <t>market for ammonia, anhydrous, liquid</t>
        </is>
      </c>
      <c r="B15">
        <f>unallocated!B18/'allocated (exergy)'!I15*'allocated (exergy)'!J15</f>
        <v>0</v>
      </c>
      <c r="C15" t="inlineStr">
        <is>
          <t>RER</t>
        </is>
      </c>
      <c r="D15" t="inlineStr">
        <is>
          <t>kilogram</t>
        </is>
      </c>
      <c r="F15" t="inlineStr">
        <is>
          <t>technosphere</t>
        </is>
      </c>
      <c r="G15" t="inlineStr">
        <is>
          <t>ammonia, anhydrous, liquid</t>
        </is>
      </c>
      <c r="H15" t="inlineStr">
        <is>
          <t>100% liquid ammonia. In original publication, it is dilluated to 23.5% in water. We discount the original value by 75%.</t>
        </is>
      </c>
      <c r="I15" t="n">
        <v>1000</v>
      </c>
      <c r="J15" s="11">
        <f>J11</f>
        <v>0</v>
      </c>
      <c r="K15" t="n">
        <v>0</v>
      </c>
      <c r="L15" s="3" t="n"/>
    </row>
    <row r="16">
      <c r="A16" t="inlineStr">
        <is>
          <t>market for tap water</t>
        </is>
      </c>
      <c r="B16">
        <f>unallocated!B19/'allocated (exergy)'!I16*'allocated (exergy)'!J16</f>
        <v>0</v>
      </c>
      <c r="C16" t="inlineStr">
        <is>
          <t>Europe without Switzerland</t>
        </is>
      </c>
      <c r="D16" t="inlineStr">
        <is>
          <t>kilogram</t>
        </is>
      </c>
      <c r="F16" t="inlineStr">
        <is>
          <t>technosphere</t>
        </is>
      </c>
      <c r="G16" t="inlineStr">
        <is>
          <t>tap water</t>
        </is>
      </c>
      <c r="H16" t="inlineStr">
        <is>
          <t>Used to dilute the ammonia.</t>
        </is>
      </c>
      <c r="I16" t="n">
        <v>1000</v>
      </c>
      <c r="J16" s="11">
        <f>J11</f>
        <v>0</v>
      </c>
      <c r="K16" t="n">
        <v>0</v>
      </c>
      <c r="L16" s="3" t="n"/>
    </row>
    <row r="17">
      <c r="A17" t="inlineStr">
        <is>
          <t>market for calcium carbonate, precipitated</t>
        </is>
      </c>
      <c r="B17">
        <f>unallocated!B20/'allocated (exergy)'!I17*'allocated (exergy)'!J17</f>
        <v>0</v>
      </c>
      <c r="C17" t="inlineStr">
        <is>
          <t>RER</t>
        </is>
      </c>
      <c r="D17" t="inlineStr">
        <is>
          <t>kilogram</t>
        </is>
      </c>
      <c r="F17" t="inlineStr">
        <is>
          <t>technosphere</t>
        </is>
      </c>
      <c r="G17" t="inlineStr">
        <is>
          <t>calcium carbonate, precipitated</t>
        </is>
      </c>
      <c r="I17" t="n">
        <v>1000</v>
      </c>
      <c r="J17" s="11">
        <f>J11</f>
        <v>0</v>
      </c>
      <c r="K17" t="n">
        <v>0</v>
      </c>
      <c r="L17" s="3" t="n"/>
    </row>
    <row r="18">
      <c r="A18" t="inlineStr">
        <is>
          <t>market for iron(III) chloride, without water, in 40% solution state</t>
        </is>
      </c>
      <c r="B18">
        <f>unallocated!B21/'allocated (exergy)'!I18*'allocated (exergy)'!J18</f>
        <v>0</v>
      </c>
      <c r="C18" t="inlineStr">
        <is>
          <t>GLO</t>
        </is>
      </c>
      <c r="D18" t="inlineStr">
        <is>
          <t>kilogram</t>
        </is>
      </c>
      <c r="F18" t="inlineStr">
        <is>
          <t>technosphere</t>
        </is>
      </c>
      <c r="G18" t="inlineStr">
        <is>
          <t>iron(III) chloride, without water, in 40% solution state</t>
        </is>
      </c>
      <c r="I18" t="n">
        <v>1000</v>
      </c>
      <c r="J18" s="11">
        <f>J11</f>
        <v>0</v>
      </c>
      <c r="K18" t="n">
        <v>0</v>
      </c>
      <c r="L18" s="3" t="n"/>
    </row>
    <row r="19">
      <c r="A19" t="inlineStr">
        <is>
          <t>market for lime, hydrated, packed</t>
        </is>
      </c>
      <c r="B19">
        <f>unallocated!B22/'allocated (exergy)'!I19*'allocated (exergy)'!J19</f>
        <v>0</v>
      </c>
      <c r="C19" t="inlineStr">
        <is>
          <t>RER</t>
        </is>
      </c>
      <c r="D19" t="inlineStr">
        <is>
          <t>kilogram</t>
        </is>
      </c>
      <c r="F19" t="inlineStr">
        <is>
          <t>technosphere</t>
        </is>
      </c>
      <c r="G19" t="inlineStr">
        <is>
          <t>lime, hydrated, packed</t>
        </is>
      </c>
      <c r="I19" t="n">
        <v>1000</v>
      </c>
      <c r="J19" s="11">
        <f>J11</f>
        <v>0</v>
      </c>
      <c r="K19" t="n">
        <v>0</v>
      </c>
      <c r="L19" s="3" t="n"/>
    </row>
    <row r="20">
      <c r="A20" t="inlineStr">
        <is>
          <t>market for sodium hydroxide, without water, in 50% solution state</t>
        </is>
      </c>
      <c r="B20">
        <f>unallocated!B23/'allocated (exergy)'!I20*'allocated (exergy)'!J20</f>
        <v>0</v>
      </c>
      <c r="C20" t="inlineStr">
        <is>
          <t>RER</t>
        </is>
      </c>
      <c r="D20" t="inlineStr">
        <is>
          <t>kilogram</t>
        </is>
      </c>
      <c r="F20" t="inlineStr">
        <is>
          <t>technosphere</t>
        </is>
      </c>
      <c r="G20" t="inlineStr">
        <is>
          <t>sodium hydroxide, without water, in 50% solution state</t>
        </is>
      </c>
      <c r="H20" t="inlineStr">
        <is>
          <t>50% liquid ammonia. In original publication, it is dilluated to 27% in water. We discount the original value by 50%.</t>
        </is>
      </c>
      <c r="I20" t="n">
        <v>1000</v>
      </c>
      <c r="J20" s="11">
        <f>J11</f>
        <v>0</v>
      </c>
      <c r="K20" t="n">
        <v>0</v>
      </c>
      <c r="L20" s="3" t="n"/>
    </row>
    <row r="21">
      <c r="A21" t="inlineStr">
        <is>
          <t>market for monoethanolamine</t>
        </is>
      </c>
      <c r="B21">
        <f>unallocated!B24/'allocated (exergy)'!I21*'allocated (exergy)'!J21</f>
        <v>0</v>
      </c>
      <c r="C21" t="inlineStr">
        <is>
          <t>GLO</t>
        </is>
      </c>
      <c r="D21" t="inlineStr">
        <is>
          <t>kilogram</t>
        </is>
      </c>
      <c r="F21" t="inlineStr">
        <is>
          <t>technosphere</t>
        </is>
      </c>
      <c r="G21" t="inlineStr">
        <is>
          <t>monoethanolamine</t>
        </is>
      </c>
      <c r="I21" t="n">
        <v>1000</v>
      </c>
      <c r="J21" s="11">
        <f>J11</f>
        <v>0</v>
      </c>
      <c r="K21" t="n">
        <v>0</v>
      </c>
      <c r="L21" s="3" t="n"/>
    </row>
    <row r="22">
      <c r="A22" t="inlineStr">
        <is>
          <t>municipal waste incineration facility construction</t>
        </is>
      </c>
      <c r="B22">
        <f>unallocated!B25/'allocated (exergy)'!I22*'allocated (exergy)'!J22</f>
        <v>0</v>
      </c>
      <c r="C22" t="inlineStr">
        <is>
          <t>CH</t>
        </is>
      </c>
      <c r="D22" t="inlineStr">
        <is>
          <t>unit</t>
        </is>
      </c>
      <c r="F22" t="inlineStr">
        <is>
          <t>technosphere</t>
        </is>
      </c>
      <c r="G22" t="inlineStr">
        <is>
          <t>municipal waste incineration facility</t>
        </is>
      </c>
      <c r="H22" t="inlineStr">
        <is>
          <t>Lifetime: 4'000'000 tons MSWI treated.</t>
        </is>
      </c>
      <c r="I22" t="n">
        <v>1000</v>
      </c>
      <c r="J22" s="11">
        <f>J11</f>
        <v>0</v>
      </c>
      <c r="K22" t="n">
        <v>0</v>
      </c>
      <c r="L22" s="3" t="n"/>
    </row>
    <row r="23">
      <c r="A23" t="inlineStr">
        <is>
          <t>Water, cooling, unspecified natural origin</t>
        </is>
      </c>
      <c r="B23">
        <f>unallocated!B26/'allocated (exergy)'!I23*'allocated (exergy)'!J23</f>
        <v>0</v>
      </c>
      <c r="D23" t="inlineStr">
        <is>
          <t>cubic meter</t>
        </is>
      </c>
      <c r="E23" t="inlineStr">
        <is>
          <t>natural resource::in water</t>
        </is>
      </c>
      <c r="F23" t="inlineStr">
        <is>
          <t>biosphere</t>
        </is>
      </c>
      <c r="I23" t="n">
        <v>1000</v>
      </c>
      <c r="J23" s="11">
        <f>J11</f>
        <v>0</v>
      </c>
      <c r="K23" t="n">
        <v>0</v>
      </c>
      <c r="L23" s="3" t="n"/>
    </row>
    <row r="24">
      <c r="A24" t="inlineStr">
        <is>
          <t>Sulfur dioxide</t>
        </is>
      </c>
      <c r="B24">
        <f>unallocated!B27/'allocated (exergy)'!I24*'allocated (exergy)'!J24</f>
        <v>0</v>
      </c>
      <c r="D24" t="inlineStr">
        <is>
          <t>kilogram</t>
        </is>
      </c>
      <c r="E24" t="inlineStr">
        <is>
          <t>air::urban air close to ground</t>
        </is>
      </c>
      <c r="F24" t="inlineStr">
        <is>
          <t>biosphere</t>
        </is>
      </c>
      <c r="I24" t="n">
        <v>1000</v>
      </c>
      <c r="J24" s="11">
        <f>J11</f>
        <v>0</v>
      </c>
      <c r="K24" t="n">
        <v>0</v>
      </c>
      <c r="L24" s="3" t="n"/>
    </row>
    <row r="25">
      <c r="A25" t="inlineStr">
        <is>
          <t>Hydrochloric acid</t>
        </is>
      </c>
      <c r="B25">
        <f>unallocated!B28/'allocated (exergy)'!I25*'allocated (exergy)'!J25</f>
        <v>0</v>
      </c>
      <c r="D25" t="inlineStr">
        <is>
          <t>kilogram</t>
        </is>
      </c>
      <c r="E25" t="inlineStr">
        <is>
          <t>air</t>
        </is>
      </c>
      <c r="F25" t="inlineStr">
        <is>
          <t>biosphere</t>
        </is>
      </c>
      <c r="I25" t="n">
        <v>1000</v>
      </c>
      <c r="J25" s="11">
        <f>J11</f>
        <v>0</v>
      </c>
      <c r="K25" t="n">
        <v>0</v>
      </c>
      <c r="L25" s="3" t="n"/>
    </row>
    <row r="26">
      <c r="A26" t="inlineStr">
        <is>
          <t>Nitrogen oxides</t>
        </is>
      </c>
      <c r="B26">
        <f>unallocated!B29/'allocated (exergy)'!I26*'allocated (exergy)'!J26</f>
        <v>0</v>
      </c>
      <c r="D26" t="inlineStr">
        <is>
          <t>kilogram</t>
        </is>
      </c>
      <c r="E26" t="inlineStr">
        <is>
          <t>air::urban air close to ground</t>
        </is>
      </c>
      <c r="F26" t="inlineStr">
        <is>
          <t>biosphere</t>
        </is>
      </c>
      <c r="I26" t="n">
        <v>1000</v>
      </c>
      <c r="J26" s="11">
        <f>J11</f>
        <v>0</v>
      </c>
      <c r="K26" t="n">
        <v>0</v>
      </c>
      <c r="L26" s="3" t="n"/>
    </row>
    <row r="27">
      <c r="A27" t="inlineStr">
        <is>
          <t>Ammonia</t>
        </is>
      </c>
      <c r="B27">
        <f>unallocated!B30/'allocated (exergy)'!I27*'allocated (exergy)'!J27</f>
        <v>0</v>
      </c>
      <c r="D27" t="inlineStr">
        <is>
          <t>kilogram</t>
        </is>
      </c>
      <c r="E27" t="inlineStr">
        <is>
          <t>air::urban air close to ground</t>
        </is>
      </c>
      <c r="F27" t="inlineStr">
        <is>
          <t>biosphere</t>
        </is>
      </c>
      <c r="I27" t="n">
        <v>1000</v>
      </c>
      <c r="J27" s="11">
        <f>J11</f>
        <v>0</v>
      </c>
      <c r="K27" t="n">
        <v>0</v>
      </c>
      <c r="L27" s="3" t="n"/>
    </row>
    <row r="28">
      <c r="A28" t="inlineStr">
        <is>
          <t>Particulate Matter, &lt; 2.5 um</t>
        </is>
      </c>
      <c r="B28">
        <f>unallocated!B31/'allocated (exergy)'!I28*'allocated (exergy)'!J28</f>
        <v>0</v>
      </c>
      <c r="D28" t="inlineStr">
        <is>
          <t>kilogram</t>
        </is>
      </c>
      <c r="E28" t="inlineStr">
        <is>
          <t>air::urban air close to ground</t>
        </is>
      </c>
      <c r="F28" t="inlineStr">
        <is>
          <t>biosphere</t>
        </is>
      </c>
      <c r="I28" t="n">
        <v>1000</v>
      </c>
      <c r="J28" s="11">
        <f>J11</f>
        <v>0</v>
      </c>
      <c r="K28" t="n">
        <v>0</v>
      </c>
      <c r="L28" s="3" t="n"/>
    </row>
    <row r="29">
      <c r="A29" t="inlineStr">
        <is>
          <t>Mercury II</t>
        </is>
      </c>
      <c r="B29">
        <f>unallocated!B32/'allocated (exergy)'!I29*'allocated (exergy)'!J29</f>
        <v>0</v>
      </c>
      <c r="D29" t="inlineStr">
        <is>
          <t>kilogram</t>
        </is>
      </c>
      <c r="E29" t="inlineStr">
        <is>
          <t>air::urban air close to ground</t>
        </is>
      </c>
      <c r="F29" t="inlineStr">
        <is>
          <t>biosphere</t>
        </is>
      </c>
      <c r="I29" t="n">
        <v>1000</v>
      </c>
      <c r="J29" s="11">
        <f>J11</f>
        <v>0</v>
      </c>
      <c r="K29" t="n">
        <v>0</v>
      </c>
      <c r="L29" s="3" t="n"/>
    </row>
    <row r="30">
      <c r="A30" t="inlineStr">
        <is>
          <t>Lead II</t>
        </is>
      </c>
      <c r="B30">
        <f>unallocated!B33/'allocated (exergy)'!I30*'allocated (exergy)'!J30</f>
        <v>0</v>
      </c>
      <c r="D30" t="inlineStr">
        <is>
          <t>kilogram</t>
        </is>
      </c>
      <c r="E30" t="inlineStr">
        <is>
          <t>air::urban air close to ground</t>
        </is>
      </c>
      <c r="F30" t="inlineStr">
        <is>
          <t>biosphere</t>
        </is>
      </c>
      <c r="I30" t="n">
        <v>1000</v>
      </c>
      <c r="J30" s="11">
        <f>J11</f>
        <v>0</v>
      </c>
      <c r="K30" t="n">
        <v>0</v>
      </c>
      <c r="L30" s="3" t="n"/>
    </row>
    <row r="31">
      <c r="A31" t="inlineStr">
        <is>
          <t>Cadmium II</t>
        </is>
      </c>
      <c r="B31">
        <f>unallocated!B34/'allocated (exergy)'!I31*'allocated (exergy)'!J31</f>
        <v>0</v>
      </c>
      <c r="D31" t="inlineStr">
        <is>
          <t>kilogram</t>
        </is>
      </c>
      <c r="E31" t="inlineStr">
        <is>
          <t>air::urban air close to ground</t>
        </is>
      </c>
      <c r="F31" t="inlineStr">
        <is>
          <t>biosphere</t>
        </is>
      </c>
      <c r="I31" t="n">
        <v>1000</v>
      </c>
      <c r="J31" s="11">
        <f>J11</f>
        <v>0</v>
      </c>
      <c r="K31" t="n">
        <v>0</v>
      </c>
      <c r="L31" s="3" t="n"/>
    </row>
    <row r="32">
      <c r="A32" t="inlineStr">
        <is>
          <t>Arsenic ion</t>
        </is>
      </c>
      <c r="B32">
        <f>unallocated!B35/'allocated (exergy)'!I32*'allocated (exergy)'!J32</f>
        <v>0</v>
      </c>
      <c r="D32" t="inlineStr">
        <is>
          <t>kilogram</t>
        </is>
      </c>
      <c r="E32" t="inlineStr">
        <is>
          <t>air::urban air close to ground</t>
        </is>
      </c>
      <c r="F32" t="inlineStr">
        <is>
          <t>biosphere</t>
        </is>
      </c>
      <c r="I32" t="n">
        <v>1000</v>
      </c>
      <c r="J32" s="11">
        <f>J11</f>
        <v>0</v>
      </c>
      <c r="K32" t="n">
        <v>0</v>
      </c>
      <c r="L32" s="3" t="n"/>
    </row>
    <row r="33">
      <c r="A33" t="inlineStr">
        <is>
          <t>Dioxins, measured as 2,3,7,8-tetrachlorodibenzo-p-dioxin</t>
        </is>
      </c>
      <c r="B33">
        <f>unallocated!B36/'allocated (exergy)'!I33*'allocated (exergy)'!J33</f>
        <v>0</v>
      </c>
      <c r="D33" t="inlineStr">
        <is>
          <t>kilogram</t>
        </is>
      </c>
      <c r="E33" t="inlineStr">
        <is>
          <t>air::urban air close to ground</t>
        </is>
      </c>
      <c r="F33" t="inlineStr">
        <is>
          <t>biosphere</t>
        </is>
      </c>
      <c r="I33" t="n">
        <v>1000</v>
      </c>
      <c r="J33" s="11">
        <f>J11</f>
        <v>0</v>
      </c>
      <c r="K33" t="n">
        <v>0</v>
      </c>
      <c r="L33" s="3" t="n"/>
    </row>
    <row r="34">
      <c r="A34" t="inlineStr">
        <is>
          <t>Carbon dioxide, fossil</t>
        </is>
      </c>
      <c r="B34">
        <f>unallocated!B37/'allocated (exergy)'!I34*'allocated (exergy)'!J34</f>
        <v>0</v>
      </c>
      <c r="D34" t="inlineStr">
        <is>
          <t>kilogram</t>
        </is>
      </c>
      <c r="E34" t="inlineStr">
        <is>
          <t>air::urban air close to ground</t>
        </is>
      </c>
      <c r="F34" t="inlineStr">
        <is>
          <t>biosphere</t>
        </is>
      </c>
      <c r="I34" t="n">
        <v>1000</v>
      </c>
      <c r="J34" s="11">
        <f>J11</f>
        <v>0</v>
      </c>
      <c r="K34" t="n">
        <v>0</v>
      </c>
      <c r="L34" s="3" t="n"/>
    </row>
    <row r="35">
      <c r="A35" t="inlineStr">
        <is>
          <t>Carbon dioxide, non-fossil</t>
        </is>
      </c>
      <c r="B35">
        <f>unallocated!B38/'allocated (exergy)'!I35*'allocated (exergy)'!J35</f>
        <v>0</v>
      </c>
      <c r="D35" t="inlineStr">
        <is>
          <t>kilogram</t>
        </is>
      </c>
      <c r="E35" t="inlineStr">
        <is>
          <t>air::urban air close to ground</t>
        </is>
      </c>
      <c r="F35" t="inlineStr">
        <is>
          <t>biosphere</t>
        </is>
      </c>
      <c r="I35" t="n">
        <v>1000</v>
      </c>
      <c r="J35" s="11">
        <f>J11</f>
        <v>0</v>
      </c>
      <c r="K35" t="n">
        <v>0</v>
      </c>
      <c r="L35" s="3" t="n"/>
    </row>
    <row r="36"/>
    <row r="37">
      <c r="A37" s="1" t="inlineStr">
        <is>
          <t>Activity</t>
        </is>
      </c>
      <c r="B37" s="1" t="inlineStr">
        <is>
          <t>municipal waste incineration, at incineration plant, with semi-dry air pollution control, without flue gas condensation, with electricity recovery only, exergy allocation</t>
        </is>
      </c>
    </row>
    <row r="38">
      <c r="A38" t="inlineStr">
        <is>
          <t>location</t>
        </is>
      </c>
      <c r="B38" t="inlineStr">
        <is>
          <t>RER</t>
        </is>
      </c>
    </row>
    <row r="39">
      <c r="A39" t="inlineStr">
        <is>
          <t>production amount</t>
        </is>
      </c>
      <c r="B39" t="n">
        <v>1</v>
      </c>
    </row>
    <row r="40">
      <c r="A40" s="2" t="inlineStr">
        <is>
          <t>source</t>
        </is>
      </c>
      <c r="B4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1">
      <c r="A41" t="inlineStr">
        <is>
          <t>reference product</t>
        </is>
      </c>
      <c r="B41" t="inlineStr">
        <is>
          <t>electricity, medium voltage</t>
        </is>
      </c>
    </row>
    <row r="42">
      <c r="A42" t="inlineStr">
        <is>
          <t>type</t>
        </is>
      </c>
      <c r="B42" t="inlineStr">
        <is>
          <t>process</t>
        </is>
      </c>
    </row>
    <row r="43">
      <c r="A43" t="inlineStr">
        <is>
          <t>unit</t>
        </is>
      </c>
      <c r="B43" t="inlineStr">
        <is>
          <t>kilowatt hour</t>
        </is>
      </c>
    </row>
    <row r="44">
      <c r="A44" t="inlineStr">
        <is>
          <t>comment</t>
        </is>
      </c>
      <c r="B4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No. Electricity production per ton MSWI incinerated: 739 kWh.</t>
        </is>
      </c>
    </row>
    <row r="45">
      <c r="A45" s="1" t="inlineStr">
        <is>
          <t>Exchanges</t>
        </is>
      </c>
    </row>
    <row r="46">
      <c r="A46" s="7" t="inlineStr">
        <is>
          <t>name</t>
        </is>
      </c>
      <c r="B46" s="7" t="inlineStr">
        <is>
          <t>amount</t>
        </is>
      </c>
      <c r="C46" s="7" t="inlineStr">
        <is>
          <t>location</t>
        </is>
      </c>
      <c r="D46" s="7" t="inlineStr">
        <is>
          <t>unit</t>
        </is>
      </c>
      <c r="E46" s="7" t="inlineStr">
        <is>
          <t>categories</t>
        </is>
      </c>
      <c r="F46" s="7" t="inlineStr">
        <is>
          <t>type</t>
        </is>
      </c>
      <c r="G46" s="7" t="inlineStr">
        <is>
          <t>reference product</t>
        </is>
      </c>
      <c r="H46" s="7" t="inlineStr">
        <is>
          <t>comment</t>
        </is>
      </c>
      <c r="I46" s="7" t="inlineStr">
        <is>
          <t>normalization</t>
        </is>
      </c>
      <c r="J46" s="7" t="inlineStr">
        <is>
          <t>allocation</t>
        </is>
      </c>
      <c r="K46" s="7" t="inlineStr">
        <is>
          <t>uncertainty type</t>
        </is>
      </c>
      <c r="L46" s="7" t="inlineStr">
        <is>
          <t>loc</t>
        </is>
      </c>
      <c r="M46" s="1" t="inlineStr">
        <is>
          <t>u1</t>
        </is>
      </c>
      <c r="N46" s="1" t="inlineStr">
        <is>
          <t>u2</t>
        </is>
      </c>
      <c r="O46" s="1" t="inlineStr">
        <is>
          <t>u3</t>
        </is>
      </c>
      <c r="P46" s="1" t="inlineStr">
        <is>
          <t>u4</t>
        </is>
      </c>
      <c r="Q46" s="1" t="inlineStr">
        <is>
          <t>u5</t>
        </is>
      </c>
      <c r="R46" s="1" t="inlineStr">
        <is>
          <t>u6</t>
        </is>
      </c>
      <c r="S46" s="1" t="inlineStr">
        <is>
          <t>ub</t>
        </is>
      </c>
      <c r="T46" s="1" t="inlineStr">
        <is>
          <t>scale</t>
        </is>
      </c>
      <c r="U46" s="1" t="inlineStr">
        <is>
          <t>negative</t>
        </is>
      </c>
    </row>
    <row r="47">
      <c r="A47" t="inlineStr">
        <is>
          <t>municipal waste incineration, at incineration plant, with semi-dry air pollution control, without flue gas condensation, with electricity recovery only, exergy allocation</t>
        </is>
      </c>
      <c r="B47" t="n">
        <v>0</v>
      </c>
      <c r="C47" t="inlineStr">
        <is>
          <t>RER</t>
        </is>
      </c>
      <c r="D47" t="inlineStr">
        <is>
          <t>kilogram</t>
        </is>
      </c>
      <c r="F47" t="inlineStr">
        <is>
          <t>technosphere</t>
        </is>
      </c>
      <c r="G47" t="inlineStr">
        <is>
          <t>municipal solid waste</t>
        </is>
      </c>
      <c r="H47" t="inlineStr"/>
      <c r="I47" t="n">
        <v>739</v>
      </c>
      <c r="J47" s="14">
        <f>INDEX('allocation keys'!$I$4:$K$29,MATCH('allocated (exergy)'!$B$37,'allocation keys'!$B$4:$B$28,0),MATCH('allocated (exergy)'!$B$41,'allocation keys'!$I$3:$K$3,0))</f>
        <v>1</v>
      </c>
      <c r="K47" t="n">
        <v>0</v>
      </c>
      <c r="M47" s="5" t="n"/>
      <c r="N47" s="5" t="n"/>
      <c r="O47" s="5" t="n"/>
      <c r="P47" s="5" t="n"/>
      <c r="Q47" s="5" t="n"/>
      <c r="R47" s="5" t="n"/>
    </row>
    <row r="48">
      <c r="A48" t="inlineStr">
        <is>
          <t>municipal waste incineration, at incineration plant, with semi-dry air pollution control, without flue gas condensation, with electricity recovery only, exergy allocation</t>
        </is>
      </c>
      <c r="B48" t="n">
        <v>1</v>
      </c>
      <c r="C48" t="inlineStr">
        <is>
          <t>RER</t>
        </is>
      </c>
      <c r="D48" t="inlineStr">
        <is>
          <t>kilowatt hour</t>
        </is>
      </c>
      <c r="F48" t="inlineStr">
        <is>
          <t>production</t>
        </is>
      </c>
      <c r="G48" t="inlineStr">
        <is>
          <t>electricity, medium voltage</t>
        </is>
      </c>
      <c r="H48" t="inlineStr"/>
      <c r="I48" t="n">
        <v>739</v>
      </c>
      <c r="J48" s="11">
        <f>J47</f>
        <v>1</v>
      </c>
      <c r="K48" t="n">
        <v>0</v>
      </c>
      <c r="L48" s="3" t="n"/>
    </row>
    <row r="49">
      <c r="A49" t="inlineStr">
        <is>
          <t>market for diesel, low-sulfur</t>
        </is>
      </c>
      <c r="B49">
        <f>unallocated!B16/'allocated (exergy)'!I49*'allocated (exergy)'!J49</f>
        <v>1.1502029769959405E-4</v>
      </c>
      <c r="C49" t="inlineStr">
        <is>
          <t>Europe without Switzerland</t>
        </is>
      </c>
      <c r="D49" t="inlineStr">
        <is>
          <t>kilogram</t>
        </is>
      </c>
      <c r="F49" t="inlineStr">
        <is>
          <t>technosphere</t>
        </is>
      </c>
      <c r="G49" t="inlineStr">
        <is>
          <t>diesel, low-sulfur</t>
        </is>
      </c>
      <c r="H49" t="inlineStr">
        <is>
          <t>Diesel density: 0.85 kg/l</t>
        </is>
      </c>
      <c r="I49" t="n">
        <v>739</v>
      </c>
      <c r="J49" s="11">
        <f>J47</f>
        <v>1</v>
      </c>
      <c r="K49" t="n">
        <v>2</v>
      </c>
      <c r="L49" s="3">
        <f>LN(B49)</f>
        <v>-9.0704019434400216</v>
      </c>
      <c r="M49" t="n">
        <v>1</v>
      </c>
      <c r="N49" t="n">
        <v>1</v>
      </c>
      <c r="O49" t="n">
        <v>1</v>
      </c>
      <c r="P49" t="n">
        <v>1.02</v>
      </c>
      <c r="Q49" t="n">
        <v>1.2</v>
      </c>
      <c r="R49" t="n">
        <v>1</v>
      </c>
      <c r="S49" t="n">
        <v>1.05</v>
      </c>
      <c r="T49">
        <f>LN(SQRT(EXP(
SQRT(
+POWER(LN(M49),2)
+POWER(LN(N49),2)
+POWER(LN(O49),2)
+POWER(LN(P49),2)
+POWER(LN(Q49),2)
+POWER(LN(R49),2)
+POWER(LN(S49),2)
)
)))</f>
        <v>9.4886477223156879E-2</v>
      </c>
    </row>
    <row r="50">
      <c r="A50" t="inlineStr">
        <is>
          <t>market for activated carbon, granular</t>
        </is>
      </c>
      <c r="B50">
        <f>unallocated!B17/'allocated (exergy)'!I50*'allocated (exergy)'!J50</f>
        <v>5.4127198917456026E-4</v>
      </c>
      <c r="C50" t="inlineStr">
        <is>
          <t>GLO</t>
        </is>
      </c>
      <c r="D50" t="inlineStr">
        <is>
          <t>kilogram</t>
        </is>
      </c>
      <c r="F50" t="inlineStr">
        <is>
          <t>technosphere</t>
        </is>
      </c>
      <c r="G50" t="inlineStr">
        <is>
          <t>activated carbon, granular</t>
        </is>
      </c>
      <c r="I50" t="n">
        <v>739</v>
      </c>
      <c r="J50" s="11">
        <f>J47</f>
        <v>1</v>
      </c>
      <c r="K50" t="n">
        <v>2</v>
      </c>
      <c r="L50" s="3">
        <f>LN(B50)</f>
        <v>-7.5215886528223566</v>
      </c>
      <c r="M50" t="n">
        <v>1</v>
      </c>
      <c r="N50" t="n">
        <v>1</v>
      </c>
      <c r="O50" t="n">
        <v>1</v>
      </c>
      <c r="P50" t="n">
        <v>1.02</v>
      </c>
      <c r="Q50" t="n">
        <v>1.2</v>
      </c>
      <c r="R50" t="n">
        <v>1</v>
      </c>
      <c r="S50" t="n">
        <v>1.05</v>
      </c>
      <c r="T50">
        <f>LN(SQRT(EXP(
SQRT(
+POWER(LN(M50),2)
+POWER(LN(N50),2)
+POWER(LN(O50),2)
+POWER(LN(P50),2)
+POWER(LN(Q50),2)
+POWER(LN(R50),2)
+POWER(LN(S50),2)
)
)))</f>
        <v>9.4886477223156879E-2</v>
      </c>
    </row>
    <row r="51">
      <c r="A51" t="inlineStr">
        <is>
          <t>market for ammonia, anhydrous, liquid</t>
        </is>
      </c>
      <c r="B51">
        <f>unallocated!B18/'allocated (exergy)'!I51*'allocated (exergy)'!J51</f>
        <v>1.3261163734776724E-3</v>
      </c>
      <c r="C51" t="inlineStr">
        <is>
          <t>RER</t>
        </is>
      </c>
      <c r="D51" t="inlineStr">
        <is>
          <t>kilogram</t>
        </is>
      </c>
      <c r="F51" t="inlineStr">
        <is>
          <t>technosphere</t>
        </is>
      </c>
      <c r="G51" t="inlineStr">
        <is>
          <t>ammonia, anhydrous, liquid</t>
        </is>
      </c>
      <c r="H51" t="inlineStr">
        <is>
          <t>100% liquid ammonia. In original publication, it is dilluated to 23.5% in water. We discount the original value by 75%.</t>
        </is>
      </c>
      <c r="I51" t="n">
        <v>739</v>
      </c>
      <c r="J51" s="11">
        <f>J47</f>
        <v>1</v>
      </c>
      <c r="K51" t="n">
        <v>2</v>
      </c>
      <c r="L51" s="3">
        <f>LN(B51)</f>
        <v>-6.6255006282657209</v>
      </c>
      <c r="M51" t="n">
        <v>1</v>
      </c>
      <c r="N51" t="n">
        <v>1</v>
      </c>
      <c r="O51" t="n">
        <v>1</v>
      </c>
      <c r="P51" t="n">
        <v>1.02</v>
      </c>
      <c r="Q51" t="n">
        <v>1.2</v>
      </c>
      <c r="R51" t="n">
        <v>1</v>
      </c>
      <c r="S51" t="n">
        <v>1.05</v>
      </c>
      <c r="T51">
        <f>LN(SQRT(EXP(
SQRT(
+POWER(LN(M51),2)
+POWER(LN(N51),2)
+POWER(LN(O51),2)
+POWER(LN(P51),2)
+POWER(LN(Q51),2)
+POWER(LN(R51),2)
+POWER(LN(S51),2)
)
)))</f>
        <v>9.4886477223156879E-2</v>
      </c>
    </row>
    <row r="52">
      <c r="A52" t="inlineStr">
        <is>
          <t>market for tap water</t>
        </is>
      </c>
      <c r="B52">
        <f>unallocated!B19/'allocated (exergy)'!I52*'allocated (exergy)'!J52</f>
        <v>4.0866035182679297E-3</v>
      </c>
      <c r="C52" t="inlineStr">
        <is>
          <t>Europe without Switzerland</t>
        </is>
      </c>
      <c r="D52" t="inlineStr">
        <is>
          <t>kilogram</t>
        </is>
      </c>
      <c r="E52" t="inlineStr">
        <is>
          <t>tap water</t>
        </is>
      </c>
      <c r="F52" t="inlineStr">
        <is>
          <t>technosphere</t>
        </is>
      </c>
      <c r="G52" t="inlineStr">
        <is>
          <t>tap water</t>
        </is>
      </c>
      <c r="H52" t="inlineStr">
        <is>
          <t>Used to dilute the ammonia.</t>
        </is>
      </c>
      <c r="I52" t="n">
        <v>739</v>
      </c>
      <c r="J52" s="11">
        <f>J47</f>
        <v>1</v>
      </c>
      <c r="K52" t="n">
        <v>2</v>
      </c>
      <c r="L52" s="3">
        <f>LN(B52)</f>
        <v>-5.5000410895614236</v>
      </c>
      <c r="M52" t="n">
        <v>1</v>
      </c>
      <c r="N52" t="n">
        <v>1</v>
      </c>
      <c r="O52" t="n">
        <v>1</v>
      </c>
      <c r="P52" t="n">
        <v>1.02</v>
      </c>
      <c r="Q52" t="n">
        <v>1.2</v>
      </c>
      <c r="R52" t="n">
        <v>1</v>
      </c>
      <c r="S52" t="n">
        <v>1.05</v>
      </c>
      <c r="T52">
        <f>LN(SQRT(EXP(
SQRT(
+POWER(LN(M52),2)
+POWER(LN(N52),2)
+POWER(LN(O52),2)
+POWER(LN(P52),2)
+POWER(LN(Q52),2)
+POWER(LN(R52),2)
+POWER(LN(S52),2)
)
)))</f>
        <v>9.4886477223156879E-2</v>
      </c>
    </row>
    <row r="53">
      <c r="A53" t="inlineStr">
        <is>
          <t>market for calcium carbonate, precipitated</t>
        </is>
      </c>
      <c r="B53">
        <f>unallocated!B20/'allocated (exergy)'!I53*'allocated (exergy)'!J53</f>
        <v>0</v>
      </c>
      <c r="C53" t="inlineStr">
        <is>
          <t>RER</t>
        </is>
      </c>
      <c r="D53" t="inlineStr">
        <is>
          <t>kilogram</t>
        </is>
      </c>
      <c r="F53" t="inlineStr">
        <is>
          <t>technosphere</t>
        </is>
      </c>
      <c r="G53" t="inlineStr">
        <is>
          <t>calcium carbonate, precipitated</t>
        </is>
      </c>
      <c r="I53" t="n">
        <v>739</v>
      </c>
      <c r="J53" s="11">
        <f>J47</f>
        <v>1</v>
      </c>
      <c r="K53" t="n">
        <v>0</v>
      </c>
      <c r="L53" s="3" t="n"/>
    </row>
    <row r="54">
      <c r="A54" t="inlineStr">
        <is>
          <t>market for iron(III) chloride, without water, in 40% solution state</t>
        </is>
      </c>
      <c r="B54">
        <f>unallocated!B21/'allocated (exergy)'!I54*'allocated (exergy)'!J54</f>
        <v>0</v>
      </c>
      <c r="C54" t="inlineStr">
        <is>
          <t>GLO</t>
        </is>
      </c>
      <c r="D54" t="inlineStr">
        <is>
          <t>kilogram</t>
        </is>
      </c>
      <c r="F54" t="inlineStr">
        <is>
          <t>technosphere</t>
        </is>
      </c>
      <c r="G54" t="inlineStr">
        <is>
          <t>iron(III) chloride, without water, in 40% solution state</t>
        </is>
      </c>
      <c r="I54" t="n">
        <v>739</v>
      </c>
      <c r="J54" s="11">
        <f>J47</f>
        <v>1</v>
      </c>
      <c r="K54" t="n">
        <v>0</v>
      </c>
      <c r="L54" s="3" t="n"/>
    </row>
    <row r="55">
      <c r="A55" t="inlineStr">
        <is>
          <t>market for lime, hydrated, packed</t>
        </is>
      </c>
      <c r="B55">
        <f>unallocated!B22/'allocated (exergy)'!I55*'allocated (exergy)'!J55</f>
        <v>1.4884979702300407E-2</v>
      </c>
      <c r="C55" t="inlineStr">
        <is>
          <t>RER</t>
        </is>
      </c>
      <c r="D55" t="inlineStr">
        <is>
          <t>kilogram</t>
        </is>
      </c>
      <c r="F55" t="inlineStr">
        <is>
          <t>technosphere</t>
        </is>
      </c>
      <c r="G55" t="inlineStr">
        <is>
          <t>lime, hydrated, packed</t>
        </is>
      </c>
      <c r="I55" t="n">
        <v>739</v>
      </c>
      <c r="J55" s="11">
        <f>J47</f>
        <v>1</v>
      </c>
      <c r="K55" t="n">
        <v>2</v>
      </c>
      <c r="L55" s="3">
        <f>LN(B55)</f>
        <v>-4.2074026481498308</v>
      </c>
      <c r="M55" t="n">
        <v>1</v>
      </c>
      <c r="N55" t="n">
        <v>1</v>
      </c>
      <c r="O55" t="n">
        <v>1</v>
      </c>
      <c r="P55" t="n">
        <v>1.02</v>
      </c>
      <c r="Q55" t="n">
        <v>1.2</v>
      </c>
      <c r="R55" t="n">
        <v>1</v>
      </c>
      <c r="S55" t="n">
        <v>1.05</v>
      </c>
      <c r="T55">
        <f>LN(SQRT(EXP(
SQRT(
+POWER(LN(M55),2)
+POWER(LN(N55),2)
+POWER(LN(O55),2)
+POWER(LN(P55),2)
+POWER(LN(Q55),2)
+POWER(LN(R55),2)
+POWER(LN(S55),2)
)
)))</f>
        <v>9.4886477223156879E-2</v>
      </c>
    </row>
    <row r="56">
      <c r="A56" t="inlineStr">
        <is>
          <t>market for sodium hydroxide, without water, in 50% solution state</t>
        </is>
      </c>
      <c r="B56">
        <f>unallocated!B23/'allocated (exergy)'!I56*'allocated (exergy)'!J56</f>
        <v>0</v>
      </c>
      <c r="C56" t="inlineStr">
        <is>
          <t>RER</t>
        </is>
      </c>
      <c r="D56" t="inlineStr">
        <is>
          <t>kilogram</t>
        </is>
      </c>
      <c r="F56" t="inlineStr">
        <is>
          <t>technosphere</t>
        </is>
      </c>
      <c r="G56" t="inlineStr">
        <is>
          <t>sodium hydroxide, without water, in 50% solution state</t>
        </is>
      </c>
      <c r="H56" t="inlineStr">
        <is>
          <t>50% liquid ammonia. In original publication, it is dilluated to 27% in water. We discount the original value by 50%.</t>
        </is>
      </c>
      <c r="I56" t="n">
        <v>739</v>
      </c>
      <c r="J56" s="11">
        <f>J47</f>
        <v>1</v>
      </c>
      <c r="K56" t="n">
        <v>0</v>
      </c>
      <c r="L56" s="3" t="n"/>
    </row>
    <row r="57">
      <c r="A57" t="inlineStr">
        <is>
          <t>market for monoethanolamine</t>
        </is>
      </c>
      <c r="B57">
        <f>unallocated!B24/'allocated (exergy)'!I57*'allocated (exergy)'!J57</f>
        <v>0</v>
      </c>
      <c r="C57" t="inlineStr">
        <is>
          <t>GLO</t>
        </is>
      </c>
      <c r="D57" t="inlineStr">
        <is>
          <t>kilogram</t>
        </is>
      </c>
      <c r="F57" t="inlineStr">
        <is>
          <t>technosphere</t>
        </is>
      </c>
      <c r="G57" t="inlineStr">
        <is>
          <t>monoethanolamine</t>
        </is>
      </c>
      <c r="I57" t="n">
        <v>739</v>
      </c>
      <c r="J57" s="11">
        <f>J47</f>
        <v>1</v>
      </c>
      <c r="K57" t="n">
        <v>0</v>
      </c>
      <c r="L57" s="3" t="n"/>
    </row>
    <row r="58">
      <c r="A58" t="inlineStr">
        <is>
          <t>municipal waste incineration facility construction</t>
        </is>
      </c>
      <c r="B58">
        <f>unallocated!B25/'allocated (exergy)'!I58*'allocated (exergy)'!J58</f>
        <v>3.3829499323410014E-10</v>
      </c>
      <c r="C58" t="inlineStr">
        <is>
          <t>CH</t>
        </is>
      </c>
      <c r="D58" t="inlineStr">
        <is>
          <t>unit</t>
        </is>
      </c>
      <c r="F58" t="inlineStr">
        <is>
          <t>technosphere</t>
        </is>
      </c>
      <c r="G58" t="inlineStr">
        <is>
          <t>municipal waste incineration facility</t>
        </is>
      </c>
      <c r="H58" t="inlineStr">
        <is>
          <t>Lifetime: 4'000'000 tons MSWI treated.</t>
        </is>
      </c>
      <c r="I58" t="n">
        <v>739</v>
      </c>
      <c r="J58" s="11">
        <f>J47</f>
        <v>1</v>
      </c>
      <c r="K58" t="n">
        <v>2</v>
      </c>
      <c r="L58" s="3">
        <f>LN(B58)</f>
        <v>-21.807102840032368</v>
      </c>
      <c r="M58" t="n">
        <v>1</v>
      </c>
      <c r="N58" t="n">
        <v>1</v>
      </c>
      <c r="O58" t="n">
        <v>1</v>
      </c>
      <c r="P58" t="n">
        <v>1.02</v>
      </c>
      <c r="Q58" t="n">
        <v>1.2</v>
      </c>
      <c r="R58" t="n">
        <v>1</v>
      </c>
      <c r="S58" t="n">
        <v>3</v>
      </c>
      <c r="T58">
        <f>LN(SQRT(EXP(
SQRT(
+POWER(LN(M58),2)
+POWER(LN(N58),2)
+POWER(LN(O58),2)
+POWER(LN(P58),2)
+POWER(LN(Q58),2)
+POWER(LN(R58),2)
+POWER(LN(S58),2)
)
)))</f>
        <v>0.5569071410325479</v>
      </c>
    </row>
    <row r="59">
      <c r="A59" t="inlineStr">
        <is>
          <t>Water, cooling, unspecified natural origin</t>
        </is>
      </c>
      <c r="B59">
        <f>unallocated!B26/'allocated (exergy)'!I59*'allocated (exergy)'!J59</f>
        <v>2.0297699594046007E-4</v>
      </c>
      <c r="D59" t="inlineStr">
        <is>
          <t>cubic meter</t>
        </is>
      </c>
      <c r="E59" t="inlineStr">
        <is>
          <t>natural resource::in water</t>
        </is>
      </c>
      <c r="F59" t="inlineStr">
        <is>
          <t>biosphere</t>
        </is>
      </c>
      <c r="I59" t="n">
        <v>739</v>
      </c>
      <c r="J59" s="11">
        <f>J47</f>
        <v>1</v>
      </c>
      <c r="K59" t="n">
        <v>2</v>
      </c>
      <c r="L59" s="3">
        <f>LN(B59)</f>
        <v>-8.5024179058340827</v>
      </c>
      <c r="M59" t="n">
        <v>1</v>
      </c>
      <c r="N59" t="n">
        <v>1</v>
      </c>
      <c r="O59" t="n">
        <v>1</v>
      </c>
      <c r="P59" t="n">
        <v>1.02</v>
      </c>
      <c r="Q59" t="n">
        <v>1.2</v>
      </c>
      <c r="R59" t="n">
        <v>1</v>
      </c>
      <c r="S59" t="n">
        <v>1.05</v>
      </c>
      <c r="T59">
        <f>LN(SQRT(EXP(
SQRT(
+POWER(LN(M59),2)
+POWER(LN(N59),2)
+POWER(LN(O59),2)
+POWER(LN(P59),2)
+POWER(LN(Q59),2)
+POWER(LN(R59),2)
+POWER(LN(S59),2)
)
)))</f>
        <v>9.4886477223156879E-2</v>
      </c>
    </row>
    <row r="60">
      <c r="A60" t="inlineStr">
        <is>
          <t>Sulfur dioxide</t>
        </is>
      </c>
      <c r="B60">
        <f>unallocated!B27/'allocated (exergy)'!I60*'allocated (exergy)'!J60</f>
        <v>1.5290933694181327E-4</v>
      </c>
      <c r="D60" t="inlineStr">
        <is>
          <t>kilogram</t>
        </is>
      </c>
      <c r="E60" t="inlineStr">
        <is>
          <t>air::urban air close to ground</t>
        </is>
      </c>
      <c r="F60" t="inlineStr">
        <is>
          <t>biosphere</t>
        </is>
      </c>
      <c r="I60" t="n">
        <v>739</v>
      </c>
      <c r="J60" s="11">
        <f>J47</f>
        <v>1</v>
      </c>
      <c r="K60" t="n">
        <v>2</v>
      </c>
      <c r="L60" s="3">
        <f>LN(B60)</f>
        <v>-8.7856653812179974</v>
      </c>
      <c r="M60" t="n">
        <v>1</v>
      </c>
      <c r="N60" t="n">
        <v>1</v>
      </c>
      <c r="O60" t="n">
        <v>1</v>
      </c>
      <c r="P60" t="n">
        <v>1.02</v>
      </c>
      <c r="Q60" t="n">
        <v>1.2</v>
      </c>
      <c r="R60" t="n">
        <v>1</v>
      </c>
      <c r="S60" t="n">
        <v>1.05</v>
      </c>
      <c r="T60">
        <f>LN(SQRT(EXP(
SQRT(
+POWER(LN(M60),2)
+POWER(LN(N60),2)
+POWER(LN(O60),2)
+POWER(LN(P60),2)
+POWER(LN(Q60),2)
+POWER(LN(R60),2)
+POWER(LN(S60),2)
)
)))</f>
        <v>9.4886477223156879E-2</v>
      </c>
    </row>
    <row r="61">
      <c r="A61" t="inlineStr">
        <is>
          <t>Hydrochloric acid</t>
        </is>
      </c>
      <c r="B61">
        <f>unallocated!B28/'allocated (exergy)'!I61*'allocated (exergy)'!J61</f>
        <v>3.7889039242219218E-5</v>
      </c>
      <c r="D61" t="inlineStr">
        <is>
          <t>kilogram</t>
        </is>
      </c>
      <c r="E61" t="inlineStr">
        <is>
          <t>air</t>
        </is>
      </c>
      <c r="F61" t="inlineStr">
        <is>
          <t>biosphere</t>
        </is>
      </c>
      <c r="I61" t="n">
        <v>739</v>
      </c>
      <c r="J61" s="11">
        <f>J47</f>
        <v>1</v>
      </c>
      <c r="K61" t="n">
        <v>2</v>
      </c>
      <c r="L61" s="3">
        <f>LN(B61)</f>
        <v>-10.180848689755134</v>
      </c>
      <c r="M61" t="n">
        <v>1</v>
      </c>
      <c r="N61" t="n">
        <v>1</v>
      </c>
      <c r="O61" t="n">
        <v>1</v>
      </c>
      <c r="P61" t="n">
        <v>1.02</v>
      </c>
      <c r="Q61" t="n">
        <v>1.2</v>
      </c>
      <c r="R61" t="n">
        <v>1</v>
      </c>
      <c r="S61" t="n">
        <v>1.5</v>
      </c>
      <c r="T61">
        <f>LN(SQRT(EXP(
SQRT(
+POWER(LN(M61),2)
+POWER(LN(N61),2)
+POWER(LN(O61),2)
+POWER(LN(P61),2)
+POWER(LN(Q61),2)
+POWER(LN(R61),2)
+POWER(LN(S61),2)
)
)))</f>
        <v>0.22250575723605889</v>
      </c>
    </row>
    <row r="62">
      <c r="A62" t="inlineStr">
        <is>
          <t>Nitrogen oxides</t>
        </is>
      </c>
      <c r="B62">
        <f>unallocated!B29/'allocated (exergy)'!I62*'allocated (exergy)'!J62</f>
        <v>9.1610284167794318E-4</v>
      </c>
      <c r="D62" t="inlineStr">
        <is>
          <t>kilogram</t>
        </is>
      </c>
      <c r="E62" t="inlineStr">
        <is>
          <t>air::urban air close to ground</t>
        </is>
      </c>
      <c r="F62" t="inlineStr">
        <is>
          <t>biosphere</t>
        </is>
      </c>
      <c r="I62" t="n">
        <v>739</v>
      </c>
      <c r="J62" s="11">
        <f>J47</f>
        <v>1</v>
      </c>
      <c r="K62" t="n">
        <v>2</v>
      </c>
      <c r="L62" s="3">
        <f>LN(B62)</f>
        <v>-6.9953819270180642</v>
      </c>
      <c r="M62" t="n">
        <v>1</v>
      </c>
      <c r="N62" t="n">
        <v>1</v>
      </c>
      <c r="O62" t="n">
        <v>1</v>
      </c>
      <c r="P62" t="n">
        <v>1.02</v>
      </c>
      <c r="Q62" t="n">
        <v>1.2</v>
      </c>
      <c r="R62" t="n">
        <v>1</v>
      </c>
      <c r="S62" t="n">
        <v>1.5</v>
      </c>
      <c r="T62">
        <f>LN(SQRT(EXP(
SQRT(
+POWER(LN(M62),2)
+POWER(LN(N62),2)
+POWER(LN(O62),2)
+POWER(LN(P62),2)
+POWER(LN(Q62),2)
+POWER(LN(R62),2)
+POWER(LN(S62),2)
)
)))</f>
        <v>0.22250575723605889</v>
      </c>
    </row>
    <row r="63">
      <c r="A63" t="inlineStr">
        <is>
          <t>Ammonia</t>
        </is>
      </c>
      <c r="B63">
        <f>unallocated!B30/'allocated (exergy)'!I63*'allocated (exergy)'!J63</f>
        <v>6.0893098782138022E-5</v>
      </c>
      <c r="D63" t="inlineStr">
        <is>
          <t>kilogram</t>
        </is>
      </c>
      <c r="E63" t="inlineStr">
        <is>
          <t>air::urban air close to ground</t>
        </is>
      </c>
      <c r="F63" t="inlineStr">
        <is>
          <t>biosphere</t>
        </is>
      </c>
      <c r="I63" t="n">
        <v>739</v>
      </c>
      <c r="J63" s="11">
        <f>J47</f>
        <v>1</v>
      </c>
      <c r="K63" t="n">
        <v>2</v>
      </c>
      <c r="L63" s="3">
        <f>LN(B63)</f>
        <v>-9.7063907101600186</v>
      </c>
      <c r="M63" t="n">
        <v>1</v>
      </c>
      <c r="N63" t="n">
        <v>1</v>
      </c>
      <c r="O63" t="n">
        <v>1</v>
      </c>
      <c r="P63" t="n">
        <v>1.02</v>
      </c>
      <c r="Q63" t="n">
        <v>1.2</v>
      </c>
      <c r="R63" t="n">
        <v>1</v>
      </c>
      <c r="S63" t="n">
        <v>1.5</v>
      </c>
      <c r="T63">
        <f>LN(SQRT(EXP(
SQRT(
+POWER(LN(M63),2)
+POWER(LN(N63),2)
+POWER(LN(O63),2)
+POWER(LN(P63),2)
+POWER(LN(Q63),2)
+POWER(LN(R63),2)
+POWER(LN(S63),2)
)
)))</f>
        <v>0.22250575723605889</v>
      </c>
    </row>
    <row r="64">
      <c r="A64" t="inlineStr">
        <is>
          <t>Particulate Matter, &lt; 2.5 um</t>
        </is>
      </c>
      <c r="B64">
        <f>unallocated!B31/'allocated (exergy)'!I64*'allocated (exergy)'!J64</f>
        <v>8.1190798376184039E-6</v>
      </c>
      <c r="D64" t="inlineStr">
        <is>
          <t>kilogram</t>
        </is>
      </c>
      <c r="E64" t="inlineStr">
        <is>
          <t>air::urban air close to ground</t>
        </is>
      </c>
      <c r="F64" t="inlineStr">
        <is>
          <t>biosphere</t>
        </is>
      </c>
      <c r="I64" t="n">
        <v>739</v>
      </c>
      <c r="J64" s="11">
        <f>J47</f>
        <v>1</v>
      </c>
      <c r="K64" t="n">
        <v>2</v>
      </c>
      <c r="L64" s="3">
        <f>LN(B64)</f>
        <v>-11.721293730702284</v>
      </c>
      <c r="M64" t="n">
        <v>1</v>
      </c>
      <c r="N64" t="n">
        <v>1</v>
      </c>
      <c r="O64" t="n">
        <v>1</v>
      </c>
      <c r="P64" t="n">
        <v>1.02</v>
      </c>
      <c r="Q64" t="n">
        <v>1.2</v>
      </c>
      <c r="R64" t="n">
        <v>1</v>
      </c>
      <c r="S64" t="n">
        <v>3</v>
      </c>
      <c r="T64">
        <f>LN(SQRT(EXP(
SQRT(
+POWER(LN(M64),2)
+POWER(LN(N64),2)
+POWER(LN(O64),2)
+POWER(LN(P64),2)
+POWER(LN(Q64),2)
+POWER(LN(R64),2)
+POWER(LN(S64),2)
)
)))</f>
        <v>0.5569071410325479</v>
      </c>
    </row>
    <row r="65">
      <c r="A65" t="inlineStr">
        <is>
          <t>Mercury II</t>
        </is>
      </c>
      <c r="B65">
        <f>unallocated!B32/'allocated (exergy)'!I65*'allocated (exergy)'!J65</f>
        <v>3.1123139377537211E-8</v>
      </c>
      <c r="D65" t="inlineStr">
        <is>
          <t>kilogram</t>
        </is>
      </c>
      <c r="E65" t="inlineStr">
        <is>
          <t>air::urban air close to ground</t>
        </is>
      </c>
      <c r="F65" t="inlineStr">
        <is>
          <t>biosphere</t>
        </is>
      </c>
      <c r="I65" t="n">
        <v>739</v>
      </c>
      <c r="J65" s="11">
        <f>J47</f>
        <v>1</v>
      </c>
      <c r="K65" t="n">
        <v>2</v>
      </c>
      <c r="L65" s="3">
        <f>LN(B65)</f>
        <v>-17.285314262983327</v>
      </c>
      <c r="M65" t="n">
        <v>1</v>
      </c>
      <c r="N65" t="n">
        <v>1</v>
      </c>
      <c r="O65" t="n">
        <v>1</v>
      </c>
      <c r="P65" t="n">
        <v>1.02</v>
      </c>
      <c r="Q65" t="n">
        <v>1.2</v>
      </c>
      <c r="R65" t="n">
        <v>1</v>
      </c>
      <c r="S65" t="n">
        <v>5</v>
      </c>
      <c r="T65">
        <f>LN(SQRT(EXP(
SQRT(
+POWER(LN(M65),2)
+POWER(LN(N65),2)
+POWER(LN(O65),2)
+POWER(LN(P65),2)
+POWER(LN(Q65),2)
+POWER(LN(R65),2)
+POWER(LN(S65),2)
)
)))</f>
        <v>0.80992649174166365</v>
      </c>
    </row>
    <row r="66">
      <c r="A66" t="inlineStr">
        <is>
          <t>Lead II</t>
        </is>
      </c>
      <c r="B66">
        <f>unallocated!B33/'allocated (exergy)'!I66*'allocated (exergy)'!J66</f>
        <v>7.5778078484438429E-8</v>
      </c>
      <c r="D66" t="inlineStr">
        <is>
          <t>kilogram</t>
        </is>
      </c>
      <c r="E66" t="inlineStr">
        <is>
          <t>air::urban air close to ground</t>
        </is>
      </c>
      <c r="F66" t="inlineStr">
        <is>
          <t>biosphere</t>
        </is>
      </c>
      <c r="I66" t="n">
        <v>739</v>
      </c>
      <c r="J66" s="11">
        <f>J47</f>
        <v>1</v>
      </c>
      <c r="K66" t="n">
        <v>2</v>
      </c>
      <c r="L66" s="3">
        <f>LN(B66)</f>
        <v>-16.395456788177327</v>
      </c>
      <c r="M66" t="n">
        <v>1</v>
      </c>
      <c r="N66" t="n">
        <v>1</v>
      </c>
      <c r="O66" t="n">
        <v>1</v>
      </c>
      <c r="P66" t="n">
        <v>1.02</v>
      </c>
      <c r="Q66" t="n">
        <v>1.2</v>
      </c>
      <c r="R66" t="n">
        <v>1</v>
      </c>
      <c r="S66" t="n">
        <v>5</v>
      </c>
      <c r="T66">
        <f>LN(SQRT(EXP(
SQRT(
+POWER(LN(M66),2)
+POWER(LN(N66),2)
+POWER(LN(O66),2)
+POWER(LN(P66),2)
+POWER(LN(Q66),2)
+POWER(LN(R66),2)
+POWER(LN(S66),2)
)
)))</f>
        <v>0.80992649174166365</v>
      </c>
    </row>
    <row r="67">
      <c r="A67" t="inlineStr">
        <is>
          <t>Cadmium II</t>
        </is>
      </c>
      <c r="B67">
        <f>unallocated!B34/'allocated (exergy)'!I67*'allocated (exergy)'!J67</f>
        <v>3.7889039242219214E-8</v>
      </c>
      <c r="D67" t="inlineStr">
        <is>
          <t>kilogram</t>
        </is>
      </c>
      <c r="E67" t="inlineStr">
        <is>
          <t>air::urban air close to ground</t>
        </is>
      </c>
      <c r="F67" t="inlineStr">
        <is>
          <t>biosphere</t>
        </is>
      </c>
      <c r="I67" t="n">
        <v>739</v>
      </c>
      <c r="J67" s="11">
        <f>J47</f>
        <v>1</v>
      </c>
      <c r="K67" t="n">
        <v>2</v>
      </c>
      <c r="L67" s="3">
        <f>LN(B67)</f>
        <v>-17.088603968737271</v>
      </c>
      <c r="M67" t="n">
        <v>1</v>
      </c>
      <c r="N67" t="n">
        <v>1</v>
      </c>
      <c r="O67" t="n">
        <v>1</v>
      </c>
      <c r="P67" t="n">
        <v>1.02</v>
      </c>
      <c r="Q67" t="n">
        <v>1.2</v>
      </c>
      <c r="R67" t="n">
        <v>1</v>
      </c>
      <c r="S67" t="n">
        <v>5</v>
      </c>
      <c r="T67">
        <f>LN(SQRT(EXP(
SQRT(
+POWER(LN(M67),2)
+POWER(LN(N67),2)
+POWER(LN(O67),2)
+POWER(LN(P67),2)
+POWER(LN(Q67),2)
+POWER(LN(R67),2)
+POWER(LN(S67),2)
)
)))</f>
        <v>0.80992649174166365</v>
      </c>
    </row>
    <row r="68">
      <c r="A68" t="inlineStr">
        <is>
          <t>Arsenic ion</t>
        </is>
      </c>
      <c r="B68">
        <f>unallocated!B35/'allocated (exergy)'!I68*'allocated (exergy)'!J68</f>
        <v>8.1190798376184028E-9</v>
      </c>
      <c r="D68" t="inlineStr">
        <is>
          <t>kilogram</t>
        </is>
      </c>
      <c r="E68" t="inlineStr">
        <is>
          <t>air::urban air close to ground</t>
        </is>
      </c>
      <c r="F68" t="inlineStr">
        <is>
          <t>biosphere</t>
        </is>
      </c>
      <c r="I68" t="n">
        <v>739</v>
      </c>
      <c r="J68" s="11">
        <f>J47</f>
        <v>1</v>
      </c>
      <c r="K68" t="n">
        <v>2</v>
      </c>
      <c r="L68" s="3">
        <f>LN(B68)</f>
        <v>-18.629049009684422</v>
      </c>
      <c r="M68" t="n">
        <v>1</v>
      </c>
      <c r="N68" t="n">
        <v>1</v>
      </c>
      <c r="O68" t="n">
        <v>1</v>
      </c>
      <c r="P68" t="n">
        <v>1.02</v>
      </c>
      <c r="Q68" t="n">
        <v>1.2</v>
      </c>
      <c r="R68" t="n">
        <v>1</v>
      </c>
      <c r="S68" t="n">
        <v>5</v>
      </c>
      <c r="T68">
        <f>LN(SQRT(EXP(
SQRT(
+POWER(LN(M68),2)
+POWER(LN(N68),2)
+POWER(LN(O68),2)
+POWER(LN(P68),2)
+POWER(LN(Q68),2)
+POWER(LN(R68),2)
+POWER(LN(S68),2)
)
)))</f>
        <v>0.80992649174166365</v>
      </c>
    </row>
    <row r="69">
      <c r="A69" t="inlineStr">
        <is>
          <t>Dioxins, measured as 2,3,7,8-tetrachlorodibenzo-p-dioxin</t>
        </is>
      </c>
      <c r="B69">
        <f>unallocated!B36/'allocated (exergy)'!I69*'allocated (exergy)'!J69</f>
        <v>1.4884979702300406E-13</v>
      </c>
      <c r="D69" t="inlineStr">
        <is>
          <t>kilogram</t>
        </is>
      </c>
      <c r="E69" t="inlineStr">
        <is>
          <t>air::urban air close to ground</t>
        </is>
      </c>
      <c r="F69" t="inlineStr">
        <is>
          <t>biosphere</t>
        </is>
      </c>
      <c r="I69" t="n">
        <v>739</v>
      </c>
      <c r="J69" s="11">
        <f>J47</f>
        <v>1</v>
      </c>
      <c r="K69" t="n">
        <v>2</v>
      </c>
      <c r="L69" s="3">
        <f>LN(B69)</f>
        <v>-29.535838671084335</v>
      </c>
      <c r="M69" t="n">
        <v>1</v>
      </c>
      <c r="N69" t="n">
        <v>1</v>
      </c>
      <c r="O69" t="n">
        <v>1</v>
      </c>
      <c r="P69" t="n">
        <v>1.02</v>
      </c>
      <c r="Q69" t="n">
        <v>1.2</v>
      </c>
      <c r="R69" t="n">
        <v>1</v>
      </c>
      <c r="S69" t="n">
        <v>5</v>
      </c>
      <c r="T69">
        <f>LN(SQRT(EXP(
SQRT(
+POWER(LN(M69),2)
+POWER(LN(N69),2)
+POWER(LN(O69),2)
+POWER(LN(P69),2)
+POWER(LN(Q69),2)
+POWER(LN(R69),2)
+POWER(LN(S69),2)
)
)))</f>
        <v>0.80992649174166365</v>
      </c>
    </row>
    <row r="70">
      <c r="A70" t="inlineStr">
        <is>
          <t>Carbon dioxide, fossil</t>
        </is>
      </c>
      <c r="B70">
        <f>unallocated!B37/'allocated (exergy)'!I70*'allocated (exergy)'!J70</f>
        <v>0.50608930987821377</v>
      </c>
      <c r="D70" t="inlineStr">
        <is>
          <t>kilogram</t>
        </is>
      </c>
      <c r="E70" t="inlineStr">
        <is>
          <t>air::urban air close to ground</t>
        </is>
      </c>
      <c r="F70" t="inlineStr">
        <is>
          <t>biosphere</t>
        </is>
      </c>
      <c r="I70" t="n">
        <v>739</v>
      </c>
      <c r="J70" s="11">
        <f>J47</f>
        <v>1</v>
      </c>
      <c r="K70" t="n">
        <v>2</v>
      </c>
      <c r="L70" s="3">
        <f>LN(B70)</f>
        <v>-0.68104212353366989</v>
      </c>
      <c r="M70" t="n">
        <v>1</v>
      </c>
      <c r="N70" t="n">
        <v>1</v>
      </c>
      <c r="O70" t="n">
        <v>1</v>
      </c>
      <c r="P70" t="n">
        <v>1.02</v>
      </c>
      <c r="Q70" t="n">
        <v>1.2</v>
      </c>
      <c r="R70" t="n">
        <v>1</v>
      </c>
      <c r="S70" t="n">
        <v>1.05</v>
      </c>
      <c r="T70">
        <f>LN(SQRT(EXP(
SQRT(
+POWER(LN(M70),2)
+POWER(LN(N70),2)
+POWER(LN(O70),2)
+POWER(LN(P70),2)
+POWER(LN(Q70),2)
+POWER(LN(R70),2)
+POWER(LN(S70),2)
)
)))</f>
        <v>9.4886477223156879E-2</v>
      </c>
    </row>
    <row r="71">
      <c r="A71" t="inlineStr">
        <is>
          <t>Carbon dioxide, non-fossil</t>
        </is>
      </c>
      <c r="B71">
        <f>unallocated!B38/'allocated (exergy)'!I71*'allocated (exergy)'!J71</f>
        <v>0.80378890392422198</v>
      </c>
      <c r="D71" t="inlineStr">
        <is>
          <t>kilogram</t>
        </is>
      </c>
      <c r="E71" t="inlineStr">
        <is>
          <t>air::urban air close to ground</t>
        </is>
      </c>
      <c r="F71" t="inlineStr">
        <is>
          <t>biosphere</t>
        </is>
      </c>
      <c r="I71" t="n">
        <v>739</v>
      </c>
      <c r="J71" s="11">
        <f>J47</f>
        <v>1</v>
      </c>
      <c r="K71" t="n">
        <v>2</v>
      </c>
      <c r="L71" s="3">
        <f>LN(B71)</f>
        <v>-0.21841860158555679</v>
      </c>
      <c r="M71" t="n">
        <v>1</v>
      </c>
      <c r="N71" t="n">
        <v>1</v>
      </c>
      <c r="O71" t="n">
        <v>1</v>
      </c>
      <c r="P71" t="n">
        <v>1.02</v>
      </c>
      <c r="Q71" t="n">
        <v>1.2</v>
      </c>
      <c r="R71" t="n">
        <v>1</v>
      </c>
      <c r="S71" t="n">
        <v>1.05</v>
      </c>
      <c r="T71">
        <f>LN(SQRT(EXP(
SQRT(
+POWER(LN(M71),2)
+POWER(LN(N71),2)
+POWER(LN(O71),2)
+POWER(LN(P71),2)
+POWER(LN(Q71),2)
+POWER(LN(R71),2)
+POWER(LN(S71),2)
)
)))</f>
        <v>9.4886477223156879E-2</v>
      </c>
    </row>
    <row r="72"/>
    <row r="73">
      <c r="A73" s="1" t="inlineStr">
        <is>
          <t>Activity</t>
        </is>
      </c>
      <c r="B73" s="1" t="inlineStr">
        <is>
          <t>municipal waste incineration, at incineration plant, with semi-dry air pollution control, without flue gas condensation, with electricity and heat recovery, exergy allocation</t>
        </is>
      </c>
    </row>
    <row r="74">
      <c r="A74" t="inlineStr">
        <is>
          <t>location</t>
        </is>
      </c>
      <c r="B74" t="inlineStr">
        <is>
          <t>RER</t>
        </is>
      </c>
    </row>
    <row r="75">
      <c r="A75" t="inlineStr">
        <is>
          <t>production amount</t>
        </is>
      </c>
      <c r="B75" t="n">
        <v>1</v>
      </c>
    </row>
    <row r="76">
      <c r="A76" s="2" t="inlineStr">
        <is>
          <t>source</t>
        </is>
      </c>
      <c r="B76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7">
      <c r="A77" t="inlineStr">
        <is>
          <t>reference product</t>
        </is>
      </c>
      <c r="B77" t="inlineStr">
        <is>
          <t>municipal solid waste</t>
        </is>
      </c>
    </row>
    <row r="78">
      <c r="A78" t="inlineStr">
        <is>
          <t>type</t>
        </is>
      </c>
      <c r="B78" t="inlineStr">
        <is>
          <t>process</t>
        </is>
      </c>
    </row>
    <row r="79">
      <c r="A79" t="inlineStr">
        <is>
          <t>unit</t>
        </is>
      </c>
      <c r="B79" t="inlineStr">
        <is>
          <t>kilogram</t>
        </is>
      </c>
    </row>
    <row r="80">
      <c r="A80" t="inlineStr">
        <is>
          <t>comment</t>
        </is>
      </c>
      <c r="B80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638 kWh. Heat production per ton MSWI incinerated: 6'170 MJ.</t>
        </is>
      </c>
    </row>
    <row r="81">
      <c r="A81" s="1" t="inlineStr">
        <is>
          <t>Exchanges</t>
        </is>
      </c>
    </row>
    <row r="82">
      <c r="A82" s="7" t="inlineStr">
        <is>
          <t>name</t>
        </is>
      </c>
      <c r="B82" s="7" t="inlineStr">
        <is>
          <t>amount</t>
        </is>
      </c>
      <c r="C82" s="7" t="inlineStr">
        <is>
          <t>location</t>
        </is>
      </c>
      <c r="D82" s="7" t="inlineStr">
        <is>
          <t>unit</t>
        </is>
      </c>
      <c r="E82" s="7" t="inlineStr">
        <is>
          <t>categories</t>
        </is>
      </c>
      <c r="F82" s="7" t="inlineStr">
        <is>
          <t>type</t>
        </is>
      </c>
      <c r="G82" s="7" t="inlineStr">
        <is>
          <t>reference product</t>
        </is>
      </c>
      <c r="H82" s="7" t="inlineStr">
        <is>
          <t>comment</t>
        </is>
      </c>
      <c r="I82" s="7" t="inlineStr">
        <is>
          <t>normalization</t>
        </is>
      </c>
      <c r="J82" s="7" t="inlineStr">
        <is>
          <t>allocation</t>
        </is>
      </c>
      <c r="K82" s="7" t="inlineStr">
        <is>
          <t>uncertainty type</t>
        </is>
      </c>
      <c r="L82" s="7" t="inlineStr">
        <is>
          <t>loc</t>
        </is>
      </c>
      <c r="M82" s="1" t="inlineStr">
        <is>
          <t>u1</t>
        </is>
      </c>
      <c r="N82" s="1" t="inlineStr">
        <is>
          <t>u2</t>
        </is>
      </c>
      <c r="O82" s="1" t="inlineStr">
        <is>
          <t>u3</t>
        </is>
      </c>
      <c r="P82" s="1" t="inlineStr">
        <is>
          <t>u4</t>
        </is>
      </c>
      <c r="Q82" s="1" t="inlineStr">
        <is>
          <t>u5</t>
        </is>
      </c>
      <c r="R82" s="1" t="inlineStr">
        <is>
          <t>u6</t>
        </is>
      </c>
      <c r="S82" s="1" t="inlineStr">
        <is>
          <t>ub</t>
        </is>
      </c>
      <c r="T82" s="1" t="inlineStr">
        <is>
          <t>scale</t>
        </is>
      </c>
    </row>
    <row r="83">
      <c r="A83" t="inlineStr">
        <is>
          <t>municipal waste incineration, at incineration plant, with semi-dry air pollution control, without flue gas condensation, with electricity and heat recovery, exergy allocation</t>
        </is>
      </c>
      <c r="B83" t="n">
        <v>1</v>
      </c>
      <c r="C83" t="inlineStr">
        <is>
          <t>RER</t>
        </is>
      </c>
      <c r="D83" t="inlineStr">
        <is>
          <t>kilogram</t>
        </is>
      </c>
      <c r="F83" t="inlineStr">
        <is>
          <t>production</t>
        </is>
      </c>
      <c r="G83" t="inlineStr">
        <is>
          <t>municipal solid waste</t>
        </is>
      </c>
      <c r="H83" t="inlineStr"/>
      <c r="I83" t="n">
        <v>1000</v>
      </c>
      <c r="J83" s="14">
        <f>INDEX('allocation keys'!$I$4:$K$29,MATCH('allocated (exergy)'!$B$73,'allocation keys'!$B$4:$B$28,0),MATCH('allocated (exergy)'!$B$77,'allocation keys'!$I$3:$K$3,0))</f>
        <v>0</v>
      </c>
      <c r="K83" t="n">
        <v>0</v>
      </c>
      <c r="M83" s="5" t="n"/>
      <c r="N83" s="5" t="n"/>
      <c r="O83" s="5" t="n"/>
      <c r="P83" s="5" t="n"/>
      <c r="Q83" s="5" t="n"/>
      <c r="R83" s="5" t="n"/>
    </row>
    <row r="84">
      <c r="A84" t="inlineStr">
        <is>
          <t>municipal waste incineration, at incineration plant, with semi-dry air pollution control, without flue gas condensation, with electricity and heat recovery, exergy allocation</t>
        </is>
      </c>
      <c r="B84" s="6" t="n">
        <v>0</v>
      </c>
      <c r="C84" t="inlineStr">
        <is>
          <t>RER</t>
        </is>
      </c>
      <c r="D84" t="inlineStr">
        <is>
          <t>kilowatt hour</t>
        </is>
      </c>
      <c r="F84" t="inlineStr">
        <is>
          <t>technosphere</t>
        </is>
      </c>
      <c r="G84" t="inlineStr">
        <is>
          <t>electricity, medium voltage</t>
        </is>
      </c>
      <c r="H84" t="inlineStr"/>
      <c r="I84" t="n">
        <v>1000</v>
      </c>
      <c r="J84" s="11">
        <f>J83</f>
        <v>0</v>
      </c>
      <c r="K84" t="n">
        <v>0</v>
      </c>
      <c r="L84" s="3" t="n"/>
    </row>
    <row r="85">
      <c r="A85" t="inlineStr">
        <is>
          <t>municipal waste incineration, at incineration plant, with semi-dry air pollution control, without flue gas condensation, with electricity and heat recovery, exergy allocation</t>
        </is>
      </c>
      <c r="B85" t="n">
        <v>0</v>
      </c>
      <c r="C85" t="inlineStr">
        <is>
          <t>RER</t>
        </is>
      </c>
      <c r="D85" t="inlineStr">
        <is>
          <t>megajoule</t>
        </is>
      </c>
      <c r="F85" t="inlineStr">
        <is>
          <t>technosphere</t>
        </is>
      </c>
      <c r="G85" t="inlineStr">
        <is>
          <t>heat, district or industrial, other than natural gas</t>
        </is>
      </c>
      <c r="H85" t="inlineStr"/>
      <c r="I85" t="n">
        <v>1000</v>
      </c>
      <c r="J85" s="11">
        <f>J83</f>
        <v>0</v>
      </c>
      <c r="K85" t="n">
        <v>0</v>
      </c>
      <c r="L85" s="3" t="n"/>
    </row>
    <row r="86">
      <c r="A86" t="inlineStr">
        <is>
          <t>market for diesel, low-sulfur</t>
        </is>
      </c>
      <c r="B86">
        <f>unallocated!B53/'allocated (exergy)'!I86*'allocated (exergy)'!J86</f>
        <v>0</v>
      </c>
      <c r="C86" t="inlineStr">
        <is>
          <t>Europe without Switzerland</t>
        </is>
      </c>
      <c r="D86" t="inlineStr">
        <is>
          <t>kilogram</t>
        </is>
      </c>
      <c r="F86" t="inlineStr">
        <is>
          <t>technosphere</t>
        </is>
      </c>
      <c r="G86" t="inlineStr">
        <is>
          <t>diesel, low-sulfur</t>
        </is>
      </c>
      <c r="H86" t="inlineStr">
        <is>
          <t>Diesel density: 0.85 kg/l</t>
        </is>
      </c>
      <c r="I86" t="n">
        <v>1000</v>
      </c>
      <c r="J86" s="11">
        <f>J83</f>
        <v>0</v>
      </c>
      <c r="K86" t="n">
        <v>0</v>
      </c>
      <c r="L86" s="3" t="n"/>
    </row>
    <row r="87">
      <c r="A87" t="inlineStr">
        <is>
          <t>market for activated carbon, granular</t>
        </is>
      </c>
      <c r="B87">
        <f>unallocated!B54/'allocated (exergy)'!I87*'allocated (exergy)'!J87</f>
        <v>0</v>
      </c>
      <c r="C87" t="inlineStr">
        <is>
          <t>GLO</t>
        </is>
      </c>
      <c r="D87" t="inlineStr">
        <is>
          <t>kilogram</t>
        </is>
      </c>
      <c r="F87" t="inlineStr">
        <is>
          <t>technosphere</t>
        </is>
      </c>
      <c r="G87" t="inlineStr">
        <is>
          <t>activated carbon, granular</t>
        </is>
      </c>
      <c r="I87" t="n">
        <v>1000</v>
      </c>
      <c r="J87" s="11">
        <f>J83</f>
        <v>0</v>
      </c>
      <c r="K87" t="n">
        <v>0</v>
      </c>
      <c r="L87" s="3" t="n"/>
    </row>
    <row r="88">
      <c r="A88" t="inlineStr">
        <is>
          <t>market for ammonia, anhydrous, liquid</t>
        </is>
      </c>
      <c r="B88">
        <f>unallocated!B55/'allocated (exergy)'!I88*'allocated (exergy)'!J88</f>
        <v>0</v>
      </c>
      <c r="C88" t="inlineStr">
        <is>
          <t>RER</t>
        </is>
      </c>
      <c r="D88" t="inlineStr">
        <is>
          <t>kilogram</t>
        </is>
      </c>
      <c r="F88" t="inlineStr">
        <is>
          <t>technosphere</t>
        </is>
      </c>
      <c r="G88" t="inlineStr">
        <is>
          <t>ammonia, anhydrous, liquid</t>
        </is>
      </c>
      <c r="H88" t="inlineStr">
        <is>
          <t>100% liquid ammonia. In original publication, it is dilluated to 23.5% in water. We discount the original value by 75%.</t>
        </is>
      </c>
      <c r="I88" t="n">
        <v>1000</v>
      </c>
      <c r="J88" s="11">
        <f>J83</f>
        <v>0</v>
      </c>
      <c r="K88" t="n">
        <v>0</v>
      </c>
      <c r="L88" s="3" t="n"/>
    </row>
    <row r="89">
      <c r="A89" t="inlineStr">
        <is>
          <t>market for tap water</t>
        </is>
      </c>
      <c r="B89">
        <f>unallocated!B56/'allocated (exergy)'!I89*'allocated (exergy)'!J89</f>
        <v>0</v>
      </c>
      <c r="C89" t="inlineStr">
        <is>
          <t>Europe without Switzerland</t>
        </is>
      </c>
      <c r="D89" t="inlineStr">
        <is>
          <t>kilogram</t>
        </is>
      </c>
      <c r="F89" t="inlineStr">
        <is>
          <t>technosphere</t>
        </is>
      </c>
      <c r="G89" s="27" t="inlineStr">
        <is>
          <t>tap water</t>
        </is>
      </c>
      <c r="H89" t="inlineStr">
        <is>
          <t>Used to dilute the ammonia.</t>
        </is>
      </c>
      <c r="I89" t="n">
        <v>1000</v>
      </c>
      <c r="J89" s="11">
        <f>J83</f>
        <v>0</v>
      </c>
      <c r="K89" t="n">
        <v>0</v>
      </c>
      <c r="L89" s="3" t="n"/>
    </row>
    <row r="90">
      <c r="A90" t="inlineStr">
        <is>
          <t>market for calcium carbonate, precipitated</t>
        </is>
      </c>
      <c r="B90">
        <f>unallocated!B57/'allocated (exergy)'!I90*'allocated (exergy)'!J90</f>
        <v>0</v>
      </c>
      <c r="C90" t="inlineStr">
        <is>
          <t>RER</t>
        </is>
      </c>
      <c r="D90" t="inlineStr">
        <is>
          <t>kilogram</t>
        </is>
      </c>
      <c r="F90" t="inlineStr">
        <is>
          <t>technosphere</t>
        </is>
      </c>
      <c r="G90" t="inlineStr">
        <is>
          <t>calcium carbonate, precipitated</t>
        </is>
      </c>
      <c r="I90" t="n">
        <v>1000</v>
      </c>
      <c r="J90" s="11">
        <f>J83</f>
        <v>0</v>
      </c>
      <c r="K90" t="n">
        <v>0</v>
      </c>
      <c r="L90" s="3" t="n"/>
    </row>
    <row r="91">
      <c r="A91" t="inlineStr">
        <is>
          <t>market for iron(III) chloride, without water, in 40% solution state</t>
        </is>
      </c>
      <c r="B91">
        <f>unallocated!B58/'allocated (exergy)'!I91*'allocated (exergy)'!J91</f>
        <v>0</v>
      </c>
      <c r="C91" t="inlineStr">
        <is>
          <t>GLO</t>
        </is>
      </c>
      <c r="D91" t="inlineStr">
        <is>
          <t>kilogram</t>
        </is>
      </c>
      <c r="F91" t="inlineStr">
        <is>
          <t>technosphere</t>
        </is>
      </c>
      <c r="G91" t="inlineStr">
        <is>
          <t>iron(III) chloride, without water, in 40% solution state</t>
        </is>
      </c>
      <c r="I91" t="n">
        <v>1000</v>
      </c>
      <c r="J91" s="11">
        <f>J83</f>
        <v>0</v>
      </c>
      <c r="K91" t="n">
        <v>0</v>
      </c>
      <c r="L91" s="3" t="n"/>
    </row>
    <row r="92">
      <c r="A92" t="inlineStr">
        <is>
          <t>market for lime, hydrated, packed</t>
        </is>
      </c>
      <c r="B92">
        <f>unallocated!B59/'allocated (exergy)'!I92*'allocated (exergy)'!J92</f>
        <v>0</v>
      </c>
      <c r="C92" t="inlineStr">
        <is>
          <t>RER</t>
        </is>
      </c>
      <c r="D92" t="inlineStr">
        <is>
          <t>kilogram</t>
        </is>
      </c>
      <c r="F92" t="inlineStr">
        <is>
          <t>technosphere</t>
        </is>
      </c>
      <c r="G92" t="inlineStr">
        <is>
          <t>lime, hydrated, packed</t>
        </is>
      </c>
      <c r="I92" t="n">
        <v>1000</v>
      </c>
      <c r="J92" s="11">
        <f>J83</f>
        <v>0</v>
      </c>
      <c r="K92" t="n">
        <v>0</v>
      </c>
      <c r="L92" s="3" t="n"/>
    </row>
    <row r="93">
      <c r="A93" t="inlineStr">
        <is>
          <t>market for sodium hydroxide, without water, in 50% solution state</t>
        </is>
      </c>
      <c r="B93">
        <f>unallocated!B60/'allocated (exergy)'!I93*'allocated (exergy)'!J93</f>
        <v>0</v>
      </c>
      <c r="C93" t="inlineStr">
        <is>
          <t>RER</t>
        </is>
      </c>
      <c r="D93" t="inlineStr">
        <is>
          <t>kilogram</t>
        </is>
      </c>
      <c r="F93" t="inlineStr">
        <is>
          <t>technosphere</t>
        </is>
      </c>
      <c r="G93" t="inlineStr">
        <is>
          <t>sodium hydroxide, without water, in 50% solution state</t>
        </is>
      </c>
      <c r="H93" t="inlineStr">
        <is>
          <t>50% liquid ammonia. In original publication, it is dilluated to 27% in water. We discount the original value by 50%.</t>
        </is>
      </c>
      <c r="I93" t="n">
        <v>1000</v>
      </c>
      <c r="J93" s="11">
        <f>J83</f>
        <v>0</v>
      </c>
      <c r="K93" t="n">
        <v>0</v>
      </c>
      <c r="L93" s="3" t="n"/>
    </row>
    <row r="94">
      <c r="A94" t="inlineStr">
        <is>
          <t>market for monoethanolamine</t>
        </is>
      </c>
      <c r="B94">
        <f>unallocated!B61/'allocated (exergy)'!I94*'allocated (exergy)'!J94</f>
        <v>0</v>
      </c>
      <c r="C94" t="inlineStr">
        <is>
          <t>GLO</t>
        </is>
      </c>
      <c r="D94" t="inlineStr">
        <is>
          <t>kilogram</t>
        </is>
      </c>
      <c r="F94" t="inlineStr">
        <is>
          <t>technosphere</t>
        </is>
      </c>
      <c r="G94" t="inlineStr">
        <is>
          <t>monoethanolamine</t>
        </is>
      </c>
      <c r="I94" t="n">
        <v>1000</v>
      </c>
      <c r="J94" s="11">
        <f>J83</f>
        <v>0</v>
      </c>
      <c r="K94" t="n">
        <v>0</v>
      </c>
      <c r="L94" s="3" t="n"/>
    </row>
    <row r="95">
      <c r="A95" t="inlineStr">
        <is>
          <t>municipal waste incineration facility construction</t>
        </is>
      </c>
      <c r="B95" s="8">
        <f>unallocated!B62/'allocated (exergy)'!I95*'allocated (exergy)'!J95</f>
        <v>0</v>
      </c>
      <c r="C95" t="inlineStr">
        <is>
          <t>CH</t>
        </is>
      </c>
      <c r="D95" t="inlineStr">
        <is>
          <t>unit</t>
        </is>
      </c>
      <c r="F95" t="inlineStr">
        <is>
          <t>technosphere</t>
        </is>
      </c>
      <c r="G95" t="inlineStr">
        <is>
          <t>municipal waste incineration facility</t>
        </is>
      </c>
      <c r="H95" t="inlineStr">
        <is>
          <t>Lifetime: 4'000'000 tons MSWI treated.</t>
        </is>
      </c>
      <c r="I95" t="n">
        <v>1000</v>
      </c>
      <c r="J95" s="11">
        <f>J83</f>
        <v>0</v>
      </c>
      <c r="K95" t="n">
        <v>0</v>
      </c>
      <c r="L95" s="3" t="n"/>
    </row>
    <row r="96">
      <c r="A96" t="inlineStr">
        <is>
          <t>Water, cooling, unspecified natural origin</t>
        </is>
      </c>
      <c r="B96">
        <f>unallocated!B63/'allocated (exergy)'!I96*'allocated (exergy)'!J96</f>
        <v>0</v>
      </c>
      <c r="D96" t="inlineStr">
        <is>
          <t>cubic meter</t>
        </is>
      </c>
      <c r="E96" t="inlineStr">
        <is>
          <t>natural resource::in water</t>
        </is>
      </c>
      <c r="F96" t="inlineStr">
        <is>
          <t>biosphere</t>
        </is>
      </c>
      <c r="I96" t="n">
        <v>1000</v>
      </c>
      <c r="J96" s="11">
        <f>J83</f>
        <v>0</v>
      </c>
      <c r="K96" t="n">
        <v>0</v>
      </c>
      <c r="L96" s="3" t="n"/>
    </row>
    <row r="97">
      <c r="A97" t="inlineStr">
        <is>
          <t>Sulfur dioxide</t>
        </is>
      </c>
      <c r="B97">
        <f>unallocated!B64/'allocated (exergy)'!I97*'allocated (exergy)'!J97</f>
        <v>0</v>
      </c>
      <c r="D97" t="inlineStr">
        <is>
          <t>kilogram</t>
        </is>
      </c>
      <c r="E97" t="inlineStr">
        <is>
          <t>air::urban air close to ground</t>
        </is>
      </c>
      <c r="F97" t="inlineStr">
        <is>
          <t>biosphere</t>
        </is>
      </c>
      <c r="I97" t="n">
        <v>1000</v>
      </c>
      <c r="J97" s="11">
        <f>J83</f>
        <v>0</v>
      </c>
      <c r="K97" t="n">
        <v>0</v>
      </c>
      <c r="L97" s="3" t="n"/>
    </row>
    <row r="98">
      <c r="A98" t="inlineStr">
        <is>
          <t>Hydrochloric acid</t>
        </is>
      </c>
      <c r="B98">
        <f>unallocated!B65/'allocated (exergy)'!I98*'allocated (exergy)'!J98</f>
        <v>0</v>
      </c>
      <c r="D98" t="inlineStr">
        <is>
          <t>kilogram</t>
        </is>
      </c>
      <c r="E98" t="inlineStr">
        <is>
          <t>air</t>
        </is>
      </c>
      <c r="F98" t="inlineStr">
        <is>
          <t>biosphere</t>
        </is>
      </c>
      <c r="I98" t="n">
        <v>1000</v>
      </c>
      <c r="J98" s="11">
        <f>J83</f>
        <v>0</v>
      </c>
      <c r="K98" t="n">
        <v>0</v>
      </c>
      <c r="L98" s="3" t="n"/>
    </row>
    <row r="99">
      <c r="A99" t="inlineStr">
        <is>
          <t>Nitrogen oxides</t>
        </is>
      </c>
      <c r="B99">
        <f>unallocated!B66/'allocated (exergy)'!I99*'allocated (exergy)'!J99</f>
        <v>0</v>
      </c>
      <c r="D99" t="inlineStr">
        <is>
          <t>kilogram</t>
        </is>
      </c>
      <c r="E99" t="inlineStr">
        <is>
          <t>air::urban air close to ground</t>
        </is>
      </c>
      <c r="F99" t="inlineStr">
        <is>
          <t>biosphere</t>
        </is>
      </c>
      <c r="I99" t="n">
        <v>1000</v>
      </c>
      <c r="J99" s="11">
        <f>J83</f>
        <v>0</v>
      </c>
      <c r="K99" t="n">
        <v>0</v>
      </c>
      <c r="L99" s="3" t="n"/>
    </row>
    <row r="100">
      <c r="A100" t="inlineStr">
        <is>
          <t>Ammonia</t>
        </is>
      </c>
      <c r="B100">
        <f>unallocated!B67/'allocated (exergy)'!I100*'allocated (exergy)'!J100</f>
        <v>0</v>
      </c>
      <c r="D100" t="inlineStr">
        <is>
          <t>kilogram</t>
        </is>
      </c>
      <c r="E100" t="inlineStr">
        <is>
          <t>air::urban air close to ground</t>
        </is>
      </c>
      <c r="F100" t="inlineStr">
        <is>
          <t>biosphere</t>
        </is>
      </c>
      <c r="I100" t="n">
        <v>1000</v>
      </c>
      <c r="J100" s="11">
        <f>J83</f>
        <v>0</v>
      </c>
      <c r="K100" t="n">
        <v>0</v>
      </c>
      <c r="L100" s="3" t="n"/>
    </row>
    <row r="101">
      <c r="A101" t="inlineStr">
        <is>
          <t>Particulate Matter, &lt; 2.5 um</t>
        </is>
      </c>
      <c r="B101">
        <f>unallocated!B68/'allocated (exergy)'!I101*'allocated (exergy)'!J101</f>
        <v>0</v>
      </c>
      <c r="D101" t="inlineStr">
        <is>
          <t>kilogram</t>
        </is>
      </c>
      <c r="E101" t="inlineStr">
        <is>
          <t>air::urban air close to ground</t>
        </is>
      </c>
      <c r="F101" t="inlineStr">
        <is>
          <t>biosphere</t>
        </is>
      </c>
      <c r="I101" t="n">
        <v>1000</v>
      </c>
      <c r="J101" s="11">
        <f>J83</f>
        <v>0</v>
      </c>
      <c r="K101" t="n">
        <v>0</v>
      </c>
      <c r="L101" s="3" t="n"/>
    </row>
    <row r="102">
      <c r="A102" t="inlineStr">
        <is>
          <t>Mercury II</t>
        </is>
      </c>
      <c r="B102">
        <f>unallocated!B69/'allocated (exergy)'!I102*'allocated (exergy)'!J102</f>
        <v>0</v>
      </c>
      <c r="D102" t="inlineStr">
        <is>
          <t>kilogram</t>
        </is>
      </c>
      <c r="E102" t="inlineStr">
        <is>
          <t>air::urban air close to ground</t>
        </is>
      </c>
      <c r="F102" t="inlineStr">
        <is>
          <t>biosphere</t>
        </is>
      </c>
      <c r="I102" t="n">
        <v>1000</v>
      </c>
      <c r="J102" s="11">
        <f>J83</f>
        <v>0</v>
      </c>
      <c r="K102" t="n">
        <v>0</v>
      </c>
      <c r="L102" s="3" t="n"/>
    </row>
    <row r="103">
      <c r="A103" t="inlineStr">
        <is>
          <t>Lead II</t>
        </is>
      </c>
      <c r="B103">
        <f>unallocated!B70/'allocated (exergy)'!I103*'allocated (exergy)'!J103</f>
        <v>0</v>
      </c>
      <c r="D103" t="inlineStr">
        <is>
          <t>kilogram</t>
        </is>
      </c>
      <c r="E103" t="inlineStr">
        <is>
          <t>air::urban air close to ground</t>
        </is>
      </c>
      <c r="F103" t="inlineStr">
        <is>
          <t>biosphere</t>
        </is>
      </c>
      <c r="I103" t="n">
        <v>1000</v>
      </c>
      <c r="J103" s="11">
        <f>J83</f>
        <v>0</v>
      </c>
      <c r="K103" t="n">
        <v>0</v>
      </c>
      <c r="L103" s="3" t="n"/>
    </row>
    <row r="104">
      <c r="A104" t="inlineStr">
        <is>
          <t>Cadmium II</t>
        </is>
      </c>
      <c r="B104">
        <f>unallocated!B71/'allocated (exergy)'!I104*'allocated (exergy)'!J104</f>
        <v>0</v>
      </c>
      <c r="D104" t="inlineStr">
        <is>
          <t>kilogram</t>
        </is>
      </c>
      <c r="E104" t="inlineStr">
        <is>
          <t>air::urban air close to ground</t>
        </is>
      </c>
      <c r="F104" t="inlineStr">
        <is>
          <t>biosphere</t>
        </is>
      </c>
      <c r="I104" t="n">
        <v>1000</v>
      </c>
      <c r="J104" s="11">
        <f>J83</f>
        <v>0</v>
      </c>
      <c r="K104" t="n">
        <v>0</v>
      </c>
      <c r="L104" s="3" t="n"/>
    </row>
    <row r="105">
      <c r="A105" t="inlineStr">
        <is>
          <t>Arsenic ion</t>
        </is>
      </c>
      <c r="B105">
        <f>unallocated!B72/'allocated (exergy)'!I105*'allocated (exergy)'!J105</f>
        <v>0</v>
      </c>
      <c r="D105" t="inlineStr">
        <is>
          <t>kilogram</t>
        </is>
      </c>
      <c r="E105" t="inlineStr">
        <is>
          <t>air::urban air close to ground</t>
        </is>
      </c>
      <c r="F105" t="inlineStr">
        <is>
          <t>biosphere</t>
        </is>
      </c>
      <c r="I105" t="n">
        <v>1000</v>
      </c>
      <c r="J105" s="11">
        <f>J83</f>
        <v>0</v>
      </c>
      <c r="K105" t="n">
        <v>0</v>
      </c>
      <c r="L105" s="3" t="n"/>
    </row>
    <row r="106">
      <c r="A106" t="inlineStr">
        <is>
          <t>Dioxins, measured as 2,3,7,8-tetrachlorodibenzo-p-dioxin</t>
        </is>
      </c>
      <c r="B106">
        <f>unallocated!B73/'allocated (exergy)'!I106*'allocated (exergy)'!J106</f>
        <v>0</v>
      </c>
      <c r="D106" t="inlineStr">
        <is>
          <t>kilogram</t>
        </is>
      </c>
      <c r="E106" t="inlineStr">
        <is>
          <t>air::urban air close to ground</t>
        </is>
      </c>
      <c r="F106" t="inlineStr">
        <is>
          <t>biosphere</t>
        </is>
      </c>
      <c r="I106" t="n">
        <v>1000</v>
      </c>
      <c r="J106" s="11">
        <f>J83</f>
        <v>0</v>
      </c>
      <c r="K106" t="n">
        <v>0</v>
      </c>
      <c r="L106" s="3" t="n"/>
    </row>
    <row r="107">
      <c r="A107" t="inlineStr">
        <is>
          <t>Carbon dioxide, fossil</t>
        </is>
      </c>
      <c r="B107">
        <f>unallocated!B74/'allocated (exergy)'!I107*'allocated (exergy)'!J107</f>
        <v>0</v>
      </c>
      <c r="D107" t="inlineStr">
        <is>
          <t>kilogram</t>
        </is>
      </c>
      <c r="E107" t="inlineStr">
        <is>
          <t>air::urban air close to ground</t>
        </is>
      </c>
      <c r="F107" t="inlineStr">
        <is>
          <t>biosphere</t>
        </is>
      </c>
      <c r="I107" t="n">
        <v>1000</v>
      </c>
      <c r="J107" s="11">
        <f>J83</f>
        <v>0</v>
      </c>
      <c r="K107" t="n">
        <v>0</v>
      </c>
      <c r="L107" s="3" t="n"/>
    </row>
    <row r="108">
      <c r="A108" t="inlineStr">
        <is>
          <t>Carbon dioxide, non-fossil</t>
        </is>
      </c>
      <c r="B108">
        <f>unallocated!B75/'allocated (exergy)'!I108*'allocated (exergy)'!J108</f>
        <v>0</v>
      </c>
      <c r="D108" t="inlineStr">
        <is>
          <t>kilogram</t>
        </is>
      </c>
      <c r="E108" t="inlineStr">
        <is>
          <t>air::urban air close to ground</t>
        </is>
      </c>
      <c r="F108" t="inlineStr">
        <is>
          <t>biosphere</t>
        </is>
      </c>
      <c r="I108" t="n">
        <v>1000</v>
      </c>
      <c r="J108" s="11">
        <f>J83</f>
        <v>0</v>
      </c>
      <c r="K108" t="n">
        <v>0</v>
      </c>
      <c r="L108" s="3" t="n"/>
    </row>
    <row r="109"/>
    <row r="110">
      <c r="A110" s="1" t="inlineStr">
        <is>
          <t>Activity</t>
        </is>
      </c>
      <c r="B110" s="1" t="inlineStr">
        <is>
          <t>municipal waste incineration, at incineration plant, with semi-dry air pollution control, without flue gas condensation, with electricity and heat recovery, exergy allocation</t>
        </is>
      </c>
    </row>
    <row r="111">
      <c r="A111" t="inlineStr">
        <is>
          <t>location</t>
        </is>
      </c>
      <c r="B111" t="inlineStr">
        <is>
          <t>RER</t>
        </is>
      </c>
    </row>
    <row r="112">
      <c r="A112" t="inlineStr">
        <is>
          <t>production amount</t>
        </is>
      </c>
      <c r="B112" t="n">
        <v>1</v>
      </c>
    </row>
    <row r="113">
      <c r="A113" s="2" t="inlineStr">
        <is>
          <t>source</t>
        </is>
      </c>
      <c r="B113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14">
      <c r="A114" t="inlineStr">
        <is>
          <t>reference product</t>
        </is>
      </c>
      <c r="B114" t="inlineStr">
        <is>
          <t>electricity, medium voltage</t>
        </is>
      </c>
    </row>
    <row r="115">
      <c r="A115" t="inlineStr">
        <is>
          <t>type</t>
        </is>
      </c>
      <c r="B115" t="inlineStr">
        <is>
          <t>process</t>
        </is>
      </c>
    </row>
    <row r="116">
      <c r="A116" t="inlineStr">
        <is>
          <t>unit</t>
        </is>
      </c>
      <c r="B116" t="inlineStr">
        <is>
          <t>kilowatt hour</t>
        </is>
      </c>
    </row>
    <row r="117">
      <c r="A117" t="inlineStr">
        <is>
          <t>comment</t>
        </is>
      </c>
      <c r="B117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638 kWh. Heat production per ton MSWI incinerated: 6'170 MJ.</t>
        </is>
      </c>
    </row>
    <row r="118">
      <c r="A118" s="1" t="inlineStr">
        <is>
          <t>Exchanges</t>
        </is>
      </c>
    </row>
    <row r="119">
      <c r="A119" s="7" t="inlineStr">
        <is>
          <t>name</t>
        </is>
      </c>
      <c r="B119" s="7" t="inlineStr">
        <is>
          <t>amount</t>
        </is>
      </c>
      <c r="C119" s="7" t="inlineStr">
        <is>
          <t>location</t>
        </is>
      </c>
      <c r="D119" s="7" t="inlineStr">
        <is>
          <t>unit</t>
        </is>
      </c>
      <c r="E119" s="7" t="inlineStr">
        <is>
          <t>categories</t>
        </is>
      </c>
      <c r="F119" s="7" t="inlineStr">
        <is>
          <t>type</t>
        </is>
      </c>
      <c r="G119" s="7" t="inlineStr">
        <is>
          <t>reference product</t>
        </is>
      </c>
      <c r="H119" s="7" t="inlineStr">
        <is>
          <t>comment</t>
        </is>
      </c>
      <c r="I119" s="7" t="inlineStr">
        <is>
          <t>normalization</t>
        </is>
      </c>
      <c r="J119" s="7" t="inlineStr">
        <is>
          <t>allocation</t>
        </is>
      </c>
      <c r="K119" s="7" t="inlineStr">
        <is>
          <t>uncertainty type</t>
        </is>
      </c>
      <c r="L119" s="7" t="inlineStr">
        <is>
          <t>loc</t>
        </is>
      </c>
      <c r="M119" s="1" t="inlineStr">
        <is>
          <t>u1</t>
        </is>
      </c>
      <c r="N119" s="1" t="inlineStr">
        <is>
          <t>u2</t>
        </is>
      </c>
      <c r="O119" s="1" t="inlineStr">
        <is>
          <t>u3</t>
        </is>
      </c>
      <c r="P119" s="1" t="inlineStr">
        <is>
          <t>u4</t>
        </is>
      </c>
      <c r="Q119" s="1" t="inlineStr">
        <is>
          <t>u5</t>
        </is>
      </c>
      <c r="R119" s="1" t="inlineStr">
        <is>
          <t>u6</t>
        </is>
      </c>
      <c r="S119" s="1" t="inlineStr">
        <is>
          <t>ub</t>
        </is>
      </c>
      <c r="T119" s="1" t="inlineStr">
        <is>
          <t>scale</t>
        </is>
      </c>
    </row>
    <row r="120">
      <c r="A120" t="inlineStr">
        <is>
          <t>municipal waste incineration, at incineration plant, with semi-dry air pollution control, without flue gas condensation, with electricity and heat recovery, exergy allocation</t>
        </is>
      </c>
      <c r="B120" t="n">
        <v>0</v>
      </c>
      <c r="C120" t="inlineStr">
        <is>
          <t>RER</t>
        </is>
      </c>
      <c r="D120" t="inlineStr">
        <is>
          <t>kilogram</t>
        </is>
      </c>
      <c r="F120" t="inlineStr">
        <is>
          <t>technosphere</t>
        </is>
      </c>
      <c r="G120" t="inlineStr">
        <is>
          <t>municipal solid waste</t>
        </is>
      </c>
      <c r="H120" t="inlineStr"/>
      <c r="I120" t="n">
        <v>638</v>
      </c>
      <c r="J120" s="14">
        <f>INDEX('allocation keys'!$I$4:$K$29,MATCH('allocated (exergy)'!$B$110,'allocation keys'!$B$4:$B$28,0),MATCH('allocated (exergy)'!$B$114,'allocation keys'!$I$3:$K$3,0))</f>
        <v>0.7461876861157688</v>
      </c>
      <c r="K120" t="n">
        <v>0</v>
      </c>
      <c r="M120" s="5" t="n"/>
      <c r="N120" s="5" t="n"/>
      <c r="O120" s="5" t="n"/>
      <c r="P120" s="5" t="n"/>
      <c r="Q120" s="5" t="n"/>
      <c r="R120" s="5" t="n"/>
    </row>
    <row r="121">
      <c r="A121" t="inlineStr">
        <is>
          <t>municipal waste incineration, at incineration plant, with semi-dry air pollution control, without flue gas condensation, with electricity and heat recovery, exergy allocation</t>
        </is>
      </c>
      <c r="B121" s="6" t="n">
        <v>1</v>
      </c>
      <c r="C121" t="inlineStr">
        <is>
          <t>RER</t>
        </is>
      </c>
      <c r="D121" t="inlineStr">
        <is>
          <t>kilowatt hour</t>
        </is>
      </c>
      <c r="F121" t="inlineStr">
        <is>
          <t>production</t>
        </is>
      </c>
      <c r="G121" t="inlineStr">
        <is>
          <t>electricity, medium voltage</t>
        </is>
      </c>
      <c r="H121" t="inlineStr"/>
      <c r="I121" t="n">
        <v>638</v>
      </c>
      <c r="J121" s="11">
        <f>J120</f>
        <v>0.7461876861157688</v>
      </c>
      <c r="K121" t="n">
        <v>0</v>
      </c>
      <c r="L121" s="3" t="n"/>
    </row>
    <row r="122">
      <c r="A122" t="inlineStr">
        <is>
          <t>municipal waste incineration, at incineration plant, with semi-dry air pollution control, without flue gas condensation, with electricity and heat recovery, exergy allocation</t>
        </is>
      </c>
      <c r="B122" t="n">
        <v>0</v>
      </c>
      <c r="C122" t="inlineStr">
        <is>
          <t>RER</t>
        </is>
      </c>
      <c r="D122" t="inlineStr">
        <is>
          <t>megajoule</t>
        </is>
      </c>
      <c r="F122" t="inlineStr">
        <is>
          <t>technosphere</t>
        </is>
      </c>
      <c r="G122" t="inlineStr">
        <is>
          <t>heat, district or industrial, other than natural gas</t>
        </is>
      </c>
      <c r="H122" t="inlineStr"/>
      <c r="I122" t="n">
        <v>638</v>
      </c>
      <c r="J122" s="11">
        <f>J120</f>
        <v>0.7461876861157688</v>
      </c>
      <c r="K122" t="n">
        <v>0</v>
      </c>
      <c r="L122" s="3" t="n"/>
    </row>
    <row r="123">
      <c r="A123" t="inlineStr">
        <is>
          <t>market for diesel, low-sulfur</t>
        </is>
      </c>
      <c r="B123">
        <f>unallocated!B53/'allocated (exergy)'!I123*'allocated (exergy)'!J123</f>
        <v>9.9413719937053839E-5</v>
      </c>
      <c r="C123" t="inlineStr">
        <is>
          <t>Europe without Switzerland</t>
        </is>
      </c>
      <c r="D123" t="inlineStr">
        <is>
          <t>kilogram</t>
        </is>
      </c>
      <c r="F123" t="inlineStr">
        <is>
          <t>technosphere</t>
        </is>
      </c>
      <c r="G123" t="inlineStr">
        <is>
          <t>diesel, low-sulfur</t>
        </is>
      </c>
      <c r="H123" t="inlineStr">
        <is>
          <t>Diesel density: 0.85 kg/l</t>
        </is>
      </c>
      <c r="I123" t="n">
        <v>638</v>
      </c>
      <c r="J123" s="11">
        <f>J120</f>
        <v>0.7461876861157688</v>
      </c>
      <c r="K123" t="n">
        <v>2</v>
      </c>
      <c r="L123" s="3">
        <f>LN(B123)</f>
        <v>-9.2162204262909171</v>
      </c>
      <c r="M123" t="n">
        <v>1</v>
      </c>
      <c r="N123" t="n">
        <v>1</v>
      </c>
      <c r="O123" t="n">
        <v>1</v>
      </c>
      <c r="P123" t="n">
        <v>1.02</v>
      </c>
      <c r="Q123" t="n">
        <v>1.2</v>
      </c>
      <c r="R123" t="n">
        <v>1</v>
      </c>
      <c r="S123" t="n">
        <v>1.05</v>
      </c>
      <c r="T123">
        <f>LN(SQRT(EXP(
SQRT(
+POWER(LN(M123),2)
+POWER(LN(N123),2)
+POWER(LN(O123),2)
+POWER(LN(P123),2)
+POWER(LN(Q123),2)
+POWER(LN(R123),2)
+POWER(LN(S123),2)
)
)))</f>
        <v>9.4886477223156879E-2</v>
      </c>
    </row>
    <row r="124">
      <c r="A124" t="inlineStr">
        <is>
          <t>market for activated carbon, granular</t>
        </is>
      </c>
      <c r="B124">
        <f>unallocated!B54/'allocated (exergy)'!I124*'allocated (exergy)'!J124</f>
        <v>4.6782927029201811E-4</v>
      </c>
      <c r="C124" t="inlineStr">
        <is>
          <t>GLO</t>
        </is>
      </c>
      <c r="D124" t="inlineStr">
        <is>
          <t>kilogram</t>
        </is>
      </c>
      <c r="F124" t="inlineStr">
        <is>
          <t>technosphere</t>
        </is>
      </c>
      <c r="G124" t="inlineStr">
        <is>
          <t>activated carbon, granular</t>
        </is>
      </c>
      <c r="I124" t="n">
        <v>638</v>
      </c>
      <c r="J124" s="11">
        <f>J120</f>
        <v>0.7461876861157688</v>
      </c>
      <c r="K124" t="n">
        <v>2</v>
      </c>
      <c r="L124" s="3">
        <f>LN(B124)</f>
        <v>-7.6674071356732512</v>
      </c>
      <c r="M124" t="n">
        <v>1</v>
      </c>
      <c r="N124" t="n">
        <v>1</v>
      </c>
      <c r="O124" t="n">
        <v>1</v>
      </c>
      <c r="P124" t="n">
        <v>1.02</v>
      </c>
      <c r="Q124" t="n">
        <v>1.2</v>
      </c>
      <c r="R124" t="n">
        <v>1</v>
      </c>
      <c r="S124" t="n">
        <v>1.05</v>
      </c>
      <c r="T124">
        <f>LN(SQRT(EXP(
SQRT(
+POWER(LN(M124),2)
+POWER(LN(N124),2)
+POWER(LN(O124),2)
+POWER(LN(P124),2)
+POWER(LN(Q124),2)
+POWER(LN(R124),2)
+POWER(LN(S124),2)
)
)))</f>
        <v>9.4886477223156879E-2</v>
      </c>
    </row>
    <row r="125">
      <c r="A125" t="inlineStr">
        <is>
          <t>market for ammonia, anhydrous, liquid</t>
        </is>
      </c>
      <c r="B125">
        <f>unallocated!B55/'allocated (exergy)'!I125*'allocated (exergy)'!J125</f>
        <v>1.1461817122154442E-3</v>
      </c>
      <c r="C125" t="inlineStr">
        <is>
          <t>RER</t>
        </is>
      </c>
      <c r="D125" t="inlineStr">
        <is>
          <t>kilogram</t>
        </is>
      </c>
      <c r="F125" t="inlineStr">
        <is>
          <t>technosphere</t>
        </is>
      </c>
      <c r="G125" t="inlineStr">
        <is>
          <t>ammonia, anhydrous, liquid</t>
        </is>
      </c>
      <c r="H125" t="inlineStr">
        <is>
          <t>100% liquid ammonia. In original publication, it is dilluated to 23.5% in water. We discount the original value by 75%.</t>
        </is>
      </c>
      <c r="I125" t="n">
        <v>638</v>
      </c>
      <c r="J125" s="11">
        <f>J120</f>
        <v>0.7461876861157688</v>
      </c>
      <c r="K125" t="n">
        <v>2</v>
      </c>
      <c r="L125" s="3">
        <f>LN(B125)</f>
        <v>-6.7713191111166156</v>
      </c>
      <c r="M125" t="n">
        <v>1</v>
      </c>
      <c r="N125" t="n">
        <v>1</v>
      </c>
      <c r="O125" t="n">
        <v>1</v>
      </c>
      <c r="P125" t="n">
        <v>1.02</v>
      </c>
      <c r="Q125" t="n">
        <v>1.2</v>
      </c>
      <c r="R125" t="n">
        <v>1</v>
      </c>
      <c r="S125" t="n">
        <v>1.05</v>
      </c>
      <c r="T125">
        <f>LN(SQRT(EXP(
SQRT(
+POWER(LN(M125),2)
+POWER(LN(N125),2)
+POWER(LN(O125),2)
+POWER(LN(P125),2)
+POWER(LN(Q125),2)
+POWER(LN(R125),2)
+POWER(LN(S125),2)
)
)))</f>
        <v>9.4886477223156879E-2</v>
      </c>
    </row>
    <row r="126">
      <c r="A126" t="inlineStr">
        <is>
          <t>market for tap water</t>
        </is>
      </c>
      <c r="B126">
        <f>unallocated!B56/'allocated (exergy)'!I126*'allocated (exergy)'!J126</f>
        <v>3.5321109907047363E-3</v>
      </c>
      <c r="C126" t="inlineStr">
        <is>
          <t>Europe without Switzerland</t>
        </is>
      </c>
      <c r="D126" t="inlineStr">
        <is>
          <t>kilogram</t>
        </is>
      </c>
      <c r="F126" t="inlineStr">
        <is>
          <t>technosphere</t>
        </is>
      </c>
      <c r="G126" t="inlineStr">
        <is>
          <t>tap water</t>
        </is>
      </c>
      <c r="H126" t="inlineStr">
        <is>
          <t>Used to dilute the ammonia.</t>
        </is>
      </c>
      <c r="I126" t="n">
        <v>638</v>
      </c>
      <c r="J126" s="11">
        <f>J120</f>
        <v>0.7461876861157688</v>
      </c>
      <c r="K126" t="n">
        <v>2</v>
      </c>
      <c r="L126" s="3">
        <f>LN(B126)</f>
        <v>-5.6458595724123182</v>
      </c>
      <c r="M126" t="n">
        <v>1</v>
      </c>
      <c r="N126" t="n">
        <v>1</v>
      </c>
      <c r="O126" t="n">
        <v>1</v>
      </c>
      <c r="P126" t="n">
        <v>1.02</v>
      </c>
      <c r="Q126" t="n">
        <v>1.2</v>
      </c>
      <c r="R126" t="n">
        <v>1</v>
      </c>
      <c r="S126" t="n">
        <v>1.05</v>
      </c>
      <c r="T126">
        <f>LN(SQRT(EXP(
SQRT(
+POWER(LN(M126),2)
+POWER(LN(N126),2)
+POWER(LN(O126),2)
+POWER(LN(P126),2)
+POWER(LN(Q126),2)
+POWER(LN(R126),2)
+POWER(LN(S126),2)
)
)))</f>
        <v>9.4886477223156879E-2</v>
      </c>
    </row>
    <row r="127">
      <c r="A127" t="inlineStr">
        <is>
          <t>market for calcium carbonate, precipitated</t>
        </is>
      </c>
      <c r="B127">
        <f>unallocated!B57/'allocated (exergy)'!I127*'allocated (exergy)'!J127</f>
        <v>0</v>
      </c>
      <c r="C127" t="inlineStr">
        <is>
          <t>RER</t>
        </is>
      </c>
      <c r="D127" t="inlineStr">
        <is>
          <t>kilogram</t>
        </is>
      </c>
      <c r="F127" t="inlineStr">
        <is>
          <t>technosphere</t>
        </is>
      </c>
      <c r="G127" t="inlineStr">
        <is>
          <t>calcium carbonate, precipitated</t>
        </is>
      </c>
      <c r="I127" t="n">
        <v>638</v>
      </c>
      <c r="J127" s="11">
        <f>J120</f>
        <v>0.7461876861157688</v>
      </c>
      <c r="K127" t="n">
        <v>0</v>
      </c>
      <c r="L127" s="3" t="n"/>
    </row>
    <row r="128">
      <c r="A128" t="inlineStr">
        <is>
          <t>market for iron(III) chloride, without water, in 40% solution state</t>
        </is>
      </c>
      <c r="B128">
        <f>unallocated!B58/'allocated (exergy)'!I128*'allocated (exergy)'!J128</f>
        <v>0</v>
      </c>
      <c r="C128" t="inlineStr">
        <is>
          <t>GLO</t>
        </is>
      </c>
      <c r="D128" t="inlineStr">
        <is>
          <t>kilogram</t>
        </is>
      </c>
      <c r="F128" t="inlineStr">
        <is>
          <t>technosphere</t>
        </is>
      </c>
      <c r="G128" t="inlineStr">
        <is>
          <t>iron(III) chloride, without water, in 40% solution state</t>
        </is>
      </c>
      <c r="I128" t="n">
        <v>638</v>
      </c>
      <c r="J128" s="11">
        <f>J120</f>
        <v>0.7461876861157688</v>
      </c>
      <c r="K128" t="n">
        <v>0</v>
      </c>
      <c r="L128" s="3" t="n"/>
    </row>
    <row r="129">
      <c r="A129" t="inlineStr">
        <is>
          <t>market for lime, hydrated, packed</t>
        </is>
      </c>
      <c r="B129">
        <f>unallocated!B59/'allocated (exergy)'!I129*'allocated (exergy)'!J129</f>
        <v>1.2865304933030496E-2</v>
      </c>
      <c r="C129" t="inlineStr">
        <is>
          <t>RER</t>
        </is>
      </c>
      <c r="D129" t="inlineStr">
        <is>
          <t>kilogram</t>
        </is>
      </c>
      <c r="F129" t="inlineStr">
        <is>
          <t>technosphere</t>
        </is>
      </c>
      <c r="G129" t="inlineStr">
        <is>
          <t>lime, hydrated, packed</t>
        </is>
      </c>
      <c r="I129" t="n">
        <v>638</v>
      </c>
      <c r="J129" s="11">
        <f>J120</f>
        <v>0.7461876861157688</v>
      </c>
      <c r="K129" t="n">
        <v>2</v>
      </c>
      <c r="L129" s="3">
        <f>LN(B129)</f>
        <v>-4.3532211310007254</v>
      </c>
      <c r="M129" t="n">
        <v>1</v>
      </c>
      <c r="N129" t="n">
        <v>1</v>
      </c>
      <c r="O129" t="n">
        <v>1</v>
      </c>
      <c r="P129" t="n">
        <v>1.02</v>
      </c>
      <c r="Q129" t="n">
        <v>1.2</v>
      </c>
      <c r="R129" t="n">
        <v>1</v>
      </c>
      <c r="S129" t="n">
        <v>1.05</v>
      </c>
      <c r="T129">
        <f>LN(SQRT(EXP(
SQRT(
+POWER(LN(M129),2)
+POWER(LN(N129),2)
+POWER(LN(O129),2)
+POWER(LN(P129),2)
+POWER(LN(Q129),2)
+POWER(LN(R129),2)
+POWER(LN(S129),2)
)
)))</f>
        <v>9.4886477223156879E-2</v>
      </c>
    </row>
    <row r="130">
      <c r="A130" t="inlineStr">
        <is>
          <t>market for sodium hydroxide, without water, in 50% solution state</t>
        </is>
      </c>
      <c r="B130">
        <f>unallocated!B60/'allocated (exergy)'!I130*'allocated (exergy)'!J130</f>
        <v>0</v>
      </c>
      <c r="C130" t="inlineStr">
        <is>
          <t>RER</t>
        </is>
      </c>
      <c r="D130" t="inlineStr">
        <is>
          <t>kilogram</t>
        </is>
      </c>
      <c r="F130" t="inlineStr">
        <is>
          <t>technosphere</t>
        </is>
      </c>
      <c r="G130" t="inlineStr">
        <is>
          <t>sodium hydroxide, without water, in 50% solution state</t>
        </is>
      </c>
      <c r="H130" t="inlineStr">
        <is>
          <t>50% liquid ammonia. In original publication, it is dilluated to 27% in water. We discount the original value by 50%.</t>
        </is>
      </c>
      <c r="I130" t="n">
        <v>638</v>
      </c>
      <c r="J130" s="11">
        <f>J120</f>
        <v>0.7461876861157688</v>
      </c>
      <c r="K130" t="n">
        <v>0</v>
      </c>
      <c r="L130" s="3" t="n"/>
    </row>
    <row r="131">
      <c r="A131" t="inlineStr">
        <is>
          <t>market for monoethanolamine</t>
        </is>
      </c>
      <c r="B131">
        <f>unallocated!B61/'allocated (exergy)'!I131*'allocated (exergy)'!J131</f>
        <v>0</v>
      </c>
      <c r="C131" t="inlineStr">
        <is>
          <t>GLO</t>
        </is>
      </c>
      <c r="D131" t="inlineStr">
        <is>
          <t>kilogram</t>
        </is>
      </c>
      <c r="F131" t="inlineStr">
        <is>
          <t>technosphere</t>
        </is>
      </c>
      <c r="G131" t="inlineStr">
        <is>
          <t>monoethanolamine</t>
        </is>
      </c>
      <c r="I131" t="n">
        <v>638</v>
      </c>
      <c r="J131" s="11">
        <f>J120</f>
        <v>0.7461876861157688</v>
      </c>
      <c r="K131" t="n">
        <v>0</v>
      </c>
      <c r="L131" s="3" t="n"/>
    </row>
    <row r="132">
      <c r="A132" t="inlineStr">
        <is>
          <t>municipal waste incineration facility construction</t>
        </is>
      </c>
      <c r="B132" s="8">
        <f>unallocated!B62/'allocated (exergy)'!I132*'allocated (exergy)'!J132</f>
        <v>2.9239329393251128E-10</v>
      </c>
      <c r="C132" t="inlineStr">
        <is>
          <t>CH</t>
        </is>
      </c>
      <c r="D132" t="inlineStr">
        <is>
          <t>unit</t>
        </is>
      </c>
      <c r="F132" t="inlineStr">
        <is>
          <t>technosphere</t>
        </is>
      </c>
      <c r="G132" t="inlineStr">
        <is>
          <t>municipal waste incineration facility</t>
        </is>
      </c>
      <c r="H132" t="inlineStr">
        <is>
          <t>Lifetime: 4'000'000 tons MSWI treated.</t>
        </is>
      </c>
      <c r="I132" t="n">
        <v>638</v>
      </c>
      <c r="J132" s="11">
        <f>J120</f>
        <v>0.7461876861157688</v>
      </c>
      <c r="K132" t="n">
        <v>2</v>
      </c>
      <c r="L132" s="3">
        <f>LN(B132)</f>
        <v>-21.95292132288326</v>
      </c>
      <c r="M132" t="n">
        <v>1</v>
      </c>
      <c r="N132" t="n">
        <v>1</v>
      </c>
      <c r="O132" t="n">
        <v>1</v>
      </c>
      <c r="P132" t="n">
        <v>1.02</v>
      </c>
      <c r="Q132" t="n">
        <v>1.2</v>
      </c>
      <c r="R132" t="n">
        <v>1</v>
      </c>
      <c r="S132" t="n">
        <v>3</v>
      </c>
      <c r="T132">
        <f>LN(SQRT(EXP(
SQRT(
+POWER(LN(M132),2)
+POWER(LN(N132),2)
+POWER(LN(O132),2)
+POWER(LN(P132),2)
+POWER(LN(Q132),2)
+POWER(LN(R132),2)
+POWER(LN(S132),2)
)
)))</f>
        <v>0.5569071410325479</v>
      </c>
    </row>
    <row r="133">
      <c r="A133" t="inlineStr">
        <is>
          <t>Water, cooling, unspecified natural origin</t>
        </is>
      </c>
      <c r="B133">
        <f>unallocated!B63/'allocated (exergy)'!I133*'allocated (exergy)'!J133</f>
        <v>1.7543597635950677E-4</v>
      </c>
      <c r="D133" t="inlineStr">
        <is>
          <t>cubic meter</t>
        </is>
      </c>
      <c r="E133" t="inlineStr">
        <is>
          <t>natural resource::in water</t>
        </is>
      </c>
      <c r="F133" t="inlineStr">
        <is>
          <t>biosphere</t>
        </is>
      </c>
      <c r="I133" t="n">
        <v>638</v>
      </c>
      <c r="J133" s="11">
        <f>J120</f>
        <v>0.7461876861157688</v>
      </c>
      <c r="K133" t="n">
        <v>2</v>
      </c>
      <c r="L133" s="3">
        <f>LN(B133)</f>
        <v>-8.6482363886849782</v>
      </c>
      <c r="M133" t="n">
        <v>1</v>
      </c>
      <c r="N133" t="n">
        <v>1</v>
      </c>
      <c r="O133" t="n">
        <v>1</v>
      </c>
      <c r="P133" t="n">
        <v>1.02</v>
      </c>
      <c r="Q133" t="n">
        <v>1.2</v>
      </c>
      <c r="R133" t="n">
        <v>1</v>
      </c>
      <c r="S133" t="n">
        <v>1.05</v>
      </c>
      <c r="T133">
        <f>LN(SQRT(EXP(
SQRT(
+POWER(LN(M133),2)
+POWER(LN(N133),2)
+POWER(LN(O133),2)
+POWER(LN(P133),2)
+POWER(LN(Q133),2)
+POWER(LN(R133),2)
+POWER(LN(S133),2)
)
)))</f>
        <v>9.4886477223156879E-2</v>
      </c>
    </row>
    <row r="134">
      <c r="A134" t="inlineStr">
        <is>
          <t>Sulfur dioxide</t>
        </is>
      </c>
      <c r="B134">
        <f>unallocated!B64/'allocated (exergy)'!I134*'allocated (exergy)'!J134</f>
        <v>1.3216176885749511E-4</v>
      </c>
      <c r="D134" t="inlineStr">
        <is>
          <t>kilogram</t>
        </is>
      </c>
      <c r="E134" t="inlineStr">
        <is>
          <t>air::urban air close to ground</t>
        </is>
      </c>
      <c r="F134" t="inlineStr">
        <is>
          <t>biosphere</t>
        </is>
      </c>
      <c r="I134" t="n">
        <v>638</v>
      </c>
      <c r="J134" s="11">
        <f>J120</f>
        <v>0.7461876861157688</v>
      </c>
      <c r="K134" t="n">
        <v>2</v>
      </c>
      <c r="L134" s="3">
        <f>LN(B134)</f>
        <v>-8.9314838640688929</v>
      </c>
      <c r="M134" t="n">
        <v>1</v>
      </c>
      <c r="N134" t="n">
        <v>1</v>
      </c>
      <c r="O134" t="n">
        <v>1</v>
      </c>
      <c r="P134" t="n">
        <v>1.02</v>
      </c>
      <c r="Q134" t="n">
        <v>1.2</v>
      </c>
      <c r="R134" t="n">
        <v>1</v>
      </c>
      <c r="S134" t="n">
        <v>1.05</v>
      </c>
      <c r="T134">
        <f>LN(SQRT(EXP(
SQRT(
+POWER(LN(M134),2)
+POWER(LN(N134),2)
+POWER(LN(O134),2)
+POWER(LN(P134),2)
+POWER(LN(Q134),2)
+POWER(LN(R134),2)
+POWER(LN(S134),2)
)
)))</f>
        <v>9.4886477223156879E-2</v>
      </c>
    </row>
    <row r="135">
      <c r="A135" t="inlineStr">
        <is>
          <t>Hydrochloric acid</t>
        </is>
      </c>
      <c r="B135">
        <f>unallocated!B65/'allocated (exergy)'!I135*'allocated (exergy)'!J135</f>
        <v>3.2748048920441264E-5</v>
      </c>
      <c r="D135" t="inlineStr">
        <is>
          <t>kilogram</t>
        </is>
      </c>
      <c r="E135" t="inlineStr">
        <is>
          <t>air</t>
        </is>
      </c>
      <c r="F135" t="inlineStr">
        <is>
          <t>biosphere</t>
        </is>
      </c>
      <c r="I135" t="n">
        <v>638</v>
      </c>
      <c r="J135" s="11">
        <f>J120</f>
        <v>0.7461876861157688</v>
      </c>
      <c r="K135" t="n">
        <v>2</v>
      </c>
      <c r="L135" s="3">
        <f>LN(B135)</f>
        <v>-10.32666717260603</v>
      </c>
      <c r="M135" t="n">
        <v>1</v>
      </c>
      <c r="N135" t="n">
        <v>1</v>
      </c>
      <c r="O135" t="n">
        <v>1</v>
      </c>
      <c r="P135" t="n">
        <v>1.02</v>
      </c>
      <c r="Q135" t="n">
        <v>1.2</v>
      </c>
      <c r="R135" t="n">
        <v>1</v>
      </c>
      <c r="S135" t="n">
        <v>1.5</v>
      </c>
      <c r="T135">
        <f>LN(SQRT(EXP(
SQRT(
+POWER(LN(M135),2)
+POWER(LN(N135),2)
+POWER(LN(O135),2)
+POWER(LN(P135),2)
+POWER(LN(Q135),2)
+POWER(LN(R135),2)
+POWER(LN(S135),2)
)
)))</f>
        <v>0.22250575723605889</v>
      </c>
    </row>
    <row r="136">
      <c r="A136" t="inlineStr">
        <is>
          <t>Nitrogen oxides</t>
        </is>
      </c>
      <c r="B136">
        <f>unallocated!B66/'allocated (exergy)'!I136*'allocated (exergy)'!J136</f>
        <v>7.9180103996924066E-4</v>
      </c>
      <c r="D136" t="inlineStr">
        <is>
          <t>kilogram</t>
        </is>
      </c>
      <c r="E136" t="inlineStr">
        <is>
          <t>air::urban air close to ground</t>
        </is>
      </c>
      <c r="F136" t="inlineStr">
        <is>
          <t>biosphere</t>
        </is>
      </c>
      <c r="I136" t="n">
        <v>638</v>
      </c>
      <c r="J136" s="11">
        <f>J120</f>
        <v>0.7461876861157688</v>
      </c>
      <c r="K136" t="n">
        <v>2</v>
      </c>
      <c r="L136" s="3">
        <f>LN(B136)</f>
        <v>-7.1412004098689579</v>
      </c>
      <c r="M136" t="n">
        <v>1</v>
      </c>
      <c r="N136" t="n">
        <v>1</v>
      </c>
      <c r="O136" t="n">
        <v>1</v>
      </c>
      <c r="P136" t="n">
        <v>1.02</v>
      </c>
      <c r="Q136" t="n">
        <v>1.2</v>
      </c>
      <c r="R136" t="n">
        <v>1</v>
      </c>
      <c r="S136" t="n">
        <v>1.5</v>
      </c>
      <c r="T136">
        <f>LN(SQRT(EXP(
SQRT(
+POWER(LN(M136),2)
+POWER(LN(N136),2)
+POWER(LN(O136),2)
+POWER(LN(P136),2)
+POWER(LN(Q136),2)
+POWER(LN(R136),2)
+POWER(LN(S136),2)
)
)))</f>
        <v>0.22250575723605889</v>
      </c>
    </row>
    <row r="137">
      <c r="A137" t="inlineStr">
        <is>
          <t>Ammonia</t>
        </is>
      </c>
      <c r="B137">
        <f>unallocated!B67/'allocated (exergy)'!I137*'allocated (exergy)'!J137</f>
        <v>5.2630792907852036E-5</v>
      </c>
      <c r="D137" t="inlineStr">
        <is>
          <t>kilogram</t>
        </is>
      </c>
      <c r="E137" t="inlineStr">
        <is>
          <t>air::urban air close to ground</t>
        </is>
      </c>
      <c r="F137" t="inlineStr">
        <is>
          <t>biosphere</t>
        </is>
      </c>
      <c r="I137" t="n">
        <v>638</v>
      </c>
      <c r="J137" s="11">
        <f>J120</f>
        <v>0.7461876861157688</v>
      </c>
      <c r="K137" t="n">
        <v>2</v>
      </c>
      <c r="L137" s="3">
        <f>LN(B137)</f>
        <v>-9.8522091930109141</v>
      </c>
      <c r="M137" t="n">
        <v>1</v>
      </c>
      <c r="N137" t="n">
        <v>1</v>
      </c>
      <c r="O137" t="n">
        <v>1</v>
      </c>
      <c r="P137" t="n">
        <v>1.02</v>
      </c>
      <c r="Q137" t="n">
        <v>1.2</v>
      </c>
      <c r="R137" t="n">
        <v>1</v>
      </c>
      <c r="S137" t="n">
        <v>1.5</v>
      </c>
      <c r="T137">
        <f>LN(SQRT(EXP(
SQRT(
+POWER(LN(M137),2)
+POWER(LN(N137),2)
+POWER(LN(O137),2)
+POWER(LN(P137),2)
+POWER(LN(Q137),2)
+POWER(LN(R137),2)
+POWER(LN(S137),2)
)
)))</f>
        <v>0.22250575723605889</v>
      </c>
    </row>
    <row r="138">
      <c r="A138" t="inlineStr">
        <is>
          <t>Particulate Matter, &lt; 2.5 um</t>
        </is>
      </c>
      <c r="B138">
        <f>unallocated!B68/'allocated (exergy)'!I138*'allocated (exergy)'!J138</f>
        <v>7.0174390543802716E-6</v>
      </c>
      <c r="D138" t="inlineStr">
        <is>
          <t>kilogram</t>
        </is>
      </c>
      <c r="E138" t="inlineStr">
        <is>
          <t>air::urban air close to ground</t>
        </is>
      </c>
      <c r="F138" t="inlineStr">
        <is>
          <t>biosphere</t>
        </is>
      </c>
      <c r="I138" t="n">
        <v>638</v>
      </c>
      <c r="J138" s="11">
        <f>J120</f>
        <v>0.7461876861157688</v>
      </c>
      <c r="K138" t="n">
        <v>2</v>
      </c>
      <c r="L138" s="3">
        <f>LN(B138)</f>
        <v>-11.867112213553177</v>
      </c>
      <c r="M138" t="n">
        <v>1</v>
      </c>
      <c r="N138" t="n">
        <v>1</v>
      </c>
      <c r="O138" t="n">
        <v>1</v>
      </c>
      <c r="P138" t="n">
        <v>1.02</v>
      </c>
      <c r="Q138" t="n">
        <v>1.2</v>
      </c>
      <c r="R138" t="n">
        <v>1</v>
      </c>
      <c r="S138" t="n">
        <v>3</v>
      </c>
      <c r="T138">
        <f>LN(SQRT(EXP(
SQRT(
+POWER(LN(M138),2)
+POWER(LN(N138),2)
+POWER(LN(O138),2)
+POWER(LN(P138),2)
+POWER(LN(Q138),2)
+POWER(LN(R138),2)
+POWER(LN(S138),2)
)
)))</f>
        <v>0.5569071410325479</v>
      </c>
    </row>
    <row r="139">
      <c r="A139" t="inlineStr">
        <is>
          <t>Mercury II</t>
        </is>
      </c>
      <c r="B139">
        <f>unallocated!B69/'allocated (exergy)'!I139*'allocated (exergy)'!J139</f>
        <v>2.6900183041791042E-8</v>
      </c>
      <c r="D139" t="inlineStr">
        <is>
          <t>kilogram</t>
        </is>
      </c>
      <c r="E139" t="inlineStr">
        <is>
          <t>air::urban air close to ground</t>
        </is>
      </c>
      <c r="F139" t="inlineStr">
        <is>
          <t>biosphere</t>
        </is>
      </c>
      <c r="I139" t="n">
        <v>638</v>
      </c>
      <c r="J139" s="11">
        <f>J120</f>
        <v>0.7461876861157688</v>
      </c>
      <c r="K139" t="n">
        <v>2</v>
      </c>
      <c r="L139" s="3">
        <f>LN(B139)</f>
        <v>-17.431132745834219</v>
      </c>
      <c r="M139" t="n">
        <v>1</v>
      </c>
      <c r="N139" t="n">
        <v>1</v>
      </c>
      <c r="O139" t="n">
        <v>1</v>
      </c>
      <c r="P139" t="n">
        <v>1.02</v>
      </c>
      <c r="Q139" t="n">
        <v>1.2</v>
      </c>
      <c r="R139" t="n">
        <v>1</v>
      </c>
      <c r="S139" t="n">
        <v>5</v>
      </c>
      <c r="T139">
        <f>LN(SQRT(EXP(
SQRT(
+POWER(LN(M139),2)
+POWER(LN(N139),2)
+POWER(LN(O139),2)
+POWER(LN(P139),2)
+POWER(LN(Q139),2)
+POWER(LN(R139),2)
+POWER(LN(S139),2)
)
)))</f>
        <v>0.80992649174166365</v>
      </c>
    </row>
    <row r="140">
      <c r="A140" t="inlineStr">
        <is>
          <t>Lead II</t>
        </is>
      </c>
      <c r="B140">
        <f>unallocated!B70/'allocated (exergy)'!I140*'allocated (exergy)'!J140</f>
        <v>6.5496097840882536E-8</v>
      </c>
      <c r="D140" t="inlineStr">
        <is>
          <t>kilogram</t>
        </is>
      </c>
      <c r="E140" t="inlineStr">
        <is>
          <t>air::urban air close to ground</t>
        </is>
      </c>
      <c r="F140" t="inlineStr">
        <is>
          <t>biosphere</t>
        </is>
      </c>
      <c r="I140" t="n">
        <v>638</v>
      </c>
      <c r="J140" s="11">
        <f>J120</f>
        <v>0.7461876861157688</v>
      </c>
      <c r="K140" t="n">
        <v>2</v>
      </c>
      <c r="L140" s="3">
        <f>LN(B140)</f>
        <v>-16.541275271028219</v>
      </c>
      <c r="M140" t="n">
        <v>1</v>
      </c>
      <c r="N140" t="n">
        <v>1</v>
      </c>
      <c r="O140" t="n">
        <v>1</v>
      </c>
      <c r="P140" t="n">
        <v>1.02</v>
      </c>
      <c r="Q140" t="n">
        <v>1.2</v>
      </c>
      <c r="R140" t="n">
        <v>1</v>
      </c>
      <c r="S140" t="n">
        <v>5</v>
      </c>
      <c r="T140">
        <f>LN(SQRT(EXP(
SQRT(
+POWER(LN(M140),2)
+POWER(LN(N140),2)
+POWER(LN(O140),2)
+POWER(LN(P140),2)
+POWER(LN(Q140),2)
+POWER(LN(R140),2)
+POWER(LN(S140),2)
)
)))</f>
        <v>0.80992649174166365</v>
      </c>
    </row>
    <row r="141">
      <c r="A141" t="inlineStr">
        <is>
          <t>Cadmium II</t>
        </is>
      </c>
      <c r="B141">
        <f>unallocated!B71/'allocated (exergy)'!I141*'allocated (exergy)'!J141</f>
        <v>3.2748048920441268E-8</v>
      </c>
      <c r="D141" t="inlineStr">
        <is>
          <t>kilogram</t>
        </is>
      </c>
      <c r="E141" t="inlineStr">
        <is>
          <t>air::urban air close to ground</t>
        </is>
      </c>
      <c r="F141" t="inlineStr">
        <is>
          <t>biosphere</t>
        </is>
      </c>
      <c r="I141" t="n">
        <v>638</v>
      </c>
      <c r="J141" s="11">
        <f>J120</f>
        <v>0.7461876861157688</v>
      </c>
      <c r="K141" t="n">
        <v>2</v>
      </c>
      <c r="L141" s="3">
        <f>LN(B141)</f>
        <v>-17.234422451588166</v>
      </c>
      <c r="M141" t="n">
        <v>1</v>
      </c>
      <c r="N141" t="n">
        <v>1</v>
      </c>
      <c r="O141" t="n">
        <v>1</v>
      </c>
      <c r="P141" t="n">
        <v>1.02</v>
      </c>
      <c r="Q141" t="n">
        <v>1.2</v>
      </c>
      <c r="R141" t="n">
        <v>1</v>
      </c>
      <c r="S141" t="n">
        <v>5</v>
      </c>
      <c r="T141">
        <f>LN(SQRT(EXP(
SQRT(
+POWER(LN(M141),2)
+POWER(LN(N141),2)
+POWER(LN(O141),2)
+POWER(LN(P141),2)
+POWER(LN(Q141),2)
+POWER(LN(R141),2)
+POWER(LN(S141),2)
)
)))</f>
        <v>0.80992649174166365</v>
      </c>
    </row>
    <row r="142">
      <c r="A142" t="inlineStr">
        <is>
          <t>Arsenic ion</t>
        </is>
      </c>
      <c r="B142">
        <f>unallocated!B72/'allocated (exergy)'!I142*'allocated (exergy)'!J142</f>
        <v>7.0174390543802706E-9</v>
      </c>
      <c r="D142" t="inlineStr">
        <is>
          <t>kilogram</t>
        </is>
      </c>
      <c r="E142" t="inlineStr">
        <is>
          <t>air::urban air close to ground</t>
        </is>
      </c>
      <c r="F142" t="inlineStr">
        <is>
          <t>biosphere</t>
        </is>
      </c>
      <c r="I142" t="n">
        <v>638</v>
      </c>
      <c r="J142" s="11">
        <f>J120</f>
        <v>0.7461876861157688</v>
      </c>
      <c r="K142" t="n">
        <v>2</v>
      </c>
      <c r="L142" s="3">
        <f>LN(B142)</f>
        <v>-18.774867492535314</v>
      </c>
      <c r="M142" t="n">
        <v>1</v>
      </c>
      <c r="N142" t="n">
        <v>1</v>
      </c>
      <c r="O142" t="n">
        <v>1</v>
      </c>
      <c r="P142" t="n">
        <v>1.02</v>
      </c>
      <c r="Q142" t="n">
        <v>1.2</v>
      </c>
      <c r="R142" t="n">
        <v>1</v>
      </c>
      <c r="S142" t="n">
        <v>5</v>
      </c>
      <c r="T142">
        <f>LN(SQRT(EXP(
SQRT(
+POWER(LN(M142),2)
+POWER(LN(N142),2)
+POWER(LN(O142),2)
+POWER(LN(P142),2)
+POWER(LN(Q142),2)
+POWER(LN(R142),2)
+POWER(LN(S142),2)
)
)))</f>
        <v>0.80992649174166365</v>
      </c>
    </row>
    <row r="143">
      <c r="A143" t="inlineStr">
        <is>
          <t>Dioxins, measured as 2,3,7,8-tetrachlorodibenzo-p-dioxin</t>
        </is>
      </c>
      <c r="B143">
        <f>unallocated!B73/'allocated (exergy)'!I143*'allocated (exergy)'!J143</f>
        <v>1.2865304933030496E-13</v>
      </c>
      <c r="D143" t="inlineStr">
        <is>
          <t>kilogram</t>
        </is>
      </c>
      <c r="E143" t="inlineStr">
        <is>
          <t>air::urban air close to ground</t>
        </is>
      </c>
      <c r="F143" t="inlineStr">
        <is>
          <t>biosphere</t>
        </is>
      </c>
      <c r="I143" t="n">
        <v>638</v>
      </c>
      <c r="J143" s="11">
        <f>J120</f>
        <v>0.7461876861157688</v>
      </c>
      <c r="K143" t="n">
        <v>2</v>
      </c>
      <c r="L143" s="3">
        <f>LN(B143)</f>
        <v>-29.681657153935227</v>
      </c>
      <c r="M143" t="n">
        <v>1</v>
      </c>
      <c r="N143" t="n">
        <v>1</v>
      </c>
      <c r="O143" t="n">
        <v>1</v>
      </c>
      <c r="P143" t="n">
        <v>1.02</v>
      </c>
      <c r="Q143" t="n">
        <v>1.2</v>
      </c>
      <c r="R143" t="n">
        <v>1</v>
      </c>
      <c r="S143" t="n">
        <v>5</v>
      </c>
      <c r="T143">
        <f>LN(SQRT(EXP(
SQRT(
+POWER(LN(M143),2)
+POWER(LN(N143),2)
+POWER(LN(O143),2)
+POWER(LN(P143),2)
+POWER(LN(Q143),2)
+POWER(LN(R143),2)
+POWER(LN(S143),2)
)
)))</f>
        <v>0.80992649174166365</v>
      </c>
    </row>
    <row r="144">
      <c r="A144" t="inlineStr">
        <is>
          <t>Carbon dioxide, fossil</t>
        </is>
      </c>
      <c r="B144">
        <f>unallocated!B74/'allocated (exergy)'!I144*'allocated (exergy)'!J144</f>
        <v>0.43742036772303683</v>
      </c>
      <c r="D144" t="inlineStr">
        <is>
          <t>kilogram</t>
        </is>
      </c>
      <c r="E144" t="inlineStr">
        <is>
          <t>air::urban air close to ground</t>
        </is>
      </c>
      <c r="F144" t="inlineStr">
        <is>
          <t>biosphere</t>
        </is>
      </c>
      <c r="I144" t="n">
        <v>638</v>
      </c>
      <c r="J144" s="11">
        <f>J120</f>
        <v>0.7461876861157688</v>
      </c>
      <c r="K144" t="n">
        <v>2</v>
      </c>
      <c r="L144" s="3">
        <f>LN(B144)</f>
        <v>-0.82686060638456427</v>
      </c>
      <c r="M144" t="n">
        <v>1</v>
      </c>
      <c r="N144" t="n">
        <v>1</v>
      </c>
      <c r="O144" t="n">
        <v>1</v>
      </c>
      <c r="P144" t="n">
        <v>1.02</v>
      </c>
      <c r="Q144" t="n">
        <v>1.2</v>
      </c>
      <c r="R144" t="n">
        <v>1</v>
      </c>
      <c r="S144" t="n">
        <v>1.05</v>
      </c>
      <c r="T144">
        <f>LN(SQRT(EXP(
SQRT(
+POWER(LN(M144),2)
+POWER(LN(N144),2)
+POWER(LN(O144),2)
+POWER(LN(P144),2)
+POWER(LN(Q144),2)
+POWER(LN(R144),2)
+POWER(LN(S144),2)
)
)))</f>
        <v>9.4886477223156879E-2</v>
      </c>
    </row>
    <row r="145">
      <c r="A145" t="inlineStr">
        <is>
          <t>Carbon dioxide, non-fossil</t>
        </is>
      </c>
      <c r="B145">
        <f>unallocated!B75/'allocated (exergy)'!I145*'allocated (exergy)'!J145</f>
        <v>0.69472646638364677</v>
      </c>
      <c r="D145" t="inlineStr">
        <is>
          <t>kilogram</t>
        </is>
      </c>
      <c r="E145" t="inlineStr">
        <is>
          <t>air::urban air close to ground</t>
        </is>
      </c>
      <c r="F145" t="inlineStr">
        <is>
          <t>biosphere</t>
        </is>
      </c>
      <c r="I145" t="n">
        <v>638</v>
      </c>
      <c r="J145" s="11">
        <f>J120</f>
        <v>0.7461876861157688</v>
      </c>
      <c r="K145" t="n">
        <v>2</v>
      </c>
      <c r="L145" s="3">
        <f>LN(B145)</f>
        <v>-0.36423708443645125</v>
      </c>
      <c r="M145" t="n">
        <v>1</v>
      </c>
      <c r="N145" t="n">
        <v>1</v>
      </c>
      <c r="O145" t="n">
        <v>1</v>
      </c>
      <c r="P145" t="n">
        <v>1.02</v>
      </c>
      <c r="Q145" t="n">
        <v>1.2</v>
      </c>
      <c r="R145" t="n">
        <v>1</v>
      </c>
      <c r="S145" t="n">
        <v>1.05</v>
      </c>
      <c r="T145">
        <f>LN(SQRT(EXP(
SQRT(
+POWER(LN(M145),2)
+POWER(LN(N145),2)
+POWER(LN(O145),2)
+POWER(LN(P145),2)
+POWER(LN(Q145),2)
+POWER(LN(R145),2)
+POWER(LN(S145),2)
)
)))</f>
        <v>9.4886477223156879E-2</v>
      </c>
    </row>
    <row r="146"/>
    <row r="147">
      <c r="A147" s="1" t="inlineStr">
        <is>
          <t>Activity</t>
        </is>
      </c>
      <c r="B147" s="1" t="inlineStr">
        <is>
          <t>municipal waste incineration, at incineration plant, with semi-dry air pollution control, without flue gas condensation, with electricity and heat recovery, exergy allocation</t>
        </is>
      </c>
    </row>
    <row r="148">
      <c r="A148" t="inlineStr">
        <is>
          <t>location</t>
        </is>
      </c>
      <c r="B148" t="inlineStr">
        <is>
          <t>RER</t>
        </is>
      </c>
    </row>
    <row r="149">
      <c r="A149" t="inlineStr">
        <is>
          <t>production amount</t>
        </is>
      </c>
      <c r="B149" t="n">
        <v>1</v>
      </c>
    </row>
    <row r="150">
      <c r="A150" s="2" t="inlineStr">
        <is>
          <t>source</t>
        </is>
      </c>
      <c r="B15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51">
      <c r="A151" t="inlineStr">
        <is>
          <t>reference product</t>
        </is>
      </c>
      <c r="B151" t="inlineStr">
        <is>
          <t>heat, district or industrial, other than natural gas</t>
        </is>
      </c>
    </row>
    <row r="152">
      <c r="A152" t="inlineStr">
        <is>
          <t>type</t>
        </is>
      </c>
      <c r="B152" t="inlineStr">
        <is>
          <t>process</t>
        </is>
      </c>
    </row>
    <row r="153">
      <c r="A153" t="inlineStr">
        <is>
          <t>unit</t>
        </is>
      </c>
      <c r="B153" t="inlineStr">
        <is>
          <t>megajoule</t>
        </is>
      </c>
    </row>
    <row r="154">
      <c r="A154" t="inlineStr">
        <is>
          <t>comment</t>
        </is>
      </c>
      <c r="B15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638 kWh. Heat production per ton MSWI incinerated: 6'170 MJ.</t>
        </is>
      </c>
    </row>
    <row r="155">
      <c r="A155" s="1" t="inlineStr">
        <is>
          <t>Exchanges</t>
        </is>
      </c>
    </row>
    <row r="156">
      <c r="A156" s="7" t="inlineStr">
        <is>
          <t>name</t>
        </is>
      </c>
      <c r="B156" s="7" t="inlineStr">
        <is>
          <t>amount</t>
        </is>
      </c>
      <c r="C156" s="7" t="inlineStr">
        <is>
          <t>location</t>
        </is>
      </c>
      <c r="D156" s="7" t="inlineStr">
        <is>
          <t>unit</t>
        </is>
      </c>
      <c r="E156" s="7" t="inlineStr">
        <is>
          <t>categories</t>
        </is>
      </c>
      <c r="F156" s="7" t="inlineStr">
        <is>
          <t>type</t>
        </is>
      </c>
      <c r="G156" s="7" t="inlineStr">
        <is>
          <t>reference product</t>
        </is>
      </c>
      <c r="H156" s="7" t="inlineStr">
        <is>
          <t>comment</t>
        </is>
      </c>
      <c r="I156" s="7" t="inlineStr">
        <is>
          <t>normalization</t>
        </is>
      </c>
      <c r="J156" s="7" t="inlineStr">
        <is>
          <t>allocation</t>
        </is>
      </c>
      <c r="K156" s="7" t="inlineStr">
        <is>
          <t>uncertainty type</t>
        </is>
      </c>
      <c r="L156" s="7" t="inlineStr">
        <is>
          <t>loc</t>
        </is>
      </c>
      <c r="M156" s="1" t="inlineStr">
        <is>
          <t>u1</t>
        </is>
      </c>
      <c r="N156" s="1" t="inlineStr">
        <is>
          <t>u2</t>
        </is>
      </c>
      <c r="O156" s="1" t="inlineStr">
        <is>
          <t>u3</t>
        </is>
      </c>
      <c r="P156" s="1" t="inlineStr">
        <is>
          <t>u4</t>
        </is>
      </c>
      <c r="Q156" s="1" t="inlineStr">
        <is>
          <t>u5</t>
        </is>
      </c>
      <c r="R156" s="1" t="inlineStr">
        <is>
          <t>u6</t>
        </is>
      </c>
      <c r="S156" s="1" t="inlineStr">
        <is>
          <t>ub</t>
        </is>
      </c>
      <c r="T156" s="1" t="inlineStr">
        <is>
          <t>scale</t>
        </is>
      </c>
    </row>
    <row r="157">
      <c r="A157" t="inlineStr">
        <is>
          <t>municipal waste incineration, at incineration plant, with semi-dry air pollution control, without flue gas condensation, with electricity and heat recovery, exergy allocation</t>
        </is>
      </c>
      <c r="B157" t="n">
        <v>0</v>
      </c>
      <c r="C157" t="inlineStr">
        <is>
          <t>RER</t>
        </is>
      </c>
      <c r="D157" t="inlineStr">
        <is>
          <t>kilogram</t>
        </is>
      </c>
      <c r="F157" t="inlineStr">
        <is>
          <t>technosphere</t>
        </is>
      </c>
      <c r="G157" t="inlineStr">
        <is>
          <t>municipal solid waste</t>
        </is>
      </c>
      <c r="H157" t="inlineStr"/>
      <c r="I157" t="n">
        <v>6170</v>
      </c>
      <c r="J157" s="14">
        <f>INDEX('allocation keys'!$I$4:$K$29,MATCH('allocated (exergy)'!$B$147,'allocation keys'!$B$4:$B$28,0),MATCH('allocated (exergy)'!$B$151,'allocation keys'!$I$3:$K$3,0))</f>
        <v>0.25381231388423126</v>
      </c>
      <c r="K157" t="n">
        <v>0</v>
      </c>
      <c r="M157" s="5" t="n"/>
      <c r="N157" s="5" t="n"/>
      <c r="O157" s="5" t="n"/>
      <c r="P157" s="5" t="n"/>
      <c r="Q157" s="5" t="n"/>
      <c r="R157" s="5" t="n"/>
    </row>
    <row r="158">
      <c r="A158" t="inlineStr">
        <is>
          <t>municipal waste incineration, at incineration plant, with semi-dry air pollution control, without flue gas condensation, with electricity and heat recovery, exergy allocation</t>
        </is>
      </c>
      <c r="B158" s="6" t="n">
        <v>0</v>
      </c>
      <c r="C158" t="inlineStr">
        <is>
          <t>RER</t>
        </is>
      </c>
      <c r="D158" t="inlineStr">
        <is>
          <t>kilowatt hour</t>
        </is>
      </c>
      <c r="F158" t="inlineStr">
        <is>
          <t>technosphere</t>
        </is>
      </c>
      <c r="G158" t="inlineStr">
        <is>
          <t>electricity, medium voltage</t>
        </is>
      </c>
      <c r="H158" t="inlineStr"/>
      <c r="I158" t="n">
        <v>6170</v>
      </c>
      <c r="J158" s="11">
        <f>J157</f>
        <v>0.25381231388423126</v>
      </c>
      <c r="K158" t="n">
        <v>0</v>
      </c>
      <c r="L158" s="3" t="n"/>
    </row>
    <row r="159">
      <c r="A159" t="inlineStr">
        <is>
          <t>municipal waste incineration, at incineration plant, with semi-dry air pollution control, without flue gas condensation, with electricity and heat recovery, exergy allocation</t>
        </is>
      </c>
      <c r="B159" t="n">
        <v>1</v>
      </c>
      <c r="C159" t="inlineStr">
        <is>
          <t>RER</t>
        </is>
      </c>
      <c r="D159" t="inlineStr">
        <is>
          <t>megajoule</t>
        </is>
      </c>
      <c r="F159" t="inlineStr">
        <is>
          <t>production</t>
        </is>
      </c>
      <c r="G159" t="inlineStr">
        <is>
          <t>heat, district or industrial, other than natural gas</t>
        </is>
      </c>
      <c r="H159" t="inlineStr"/>
      <c r="I159" t="n">
        <v>6170</v>
      </c>
      <c r="J159" s="11">
        <f>J157</f>
        <v>0.25381231388423126</v>
      </c>
      <c r="K159" t="n">
        <v>0</v>
      </c>
      <c r="L159" s="3" t="n"/>
    </row>
    <row r="160">
      <c r="A160" t="inlineStr">
        <is>
          <t>market for diesel, low-sulfur</t>
        </is>
      </c>
      <c r="B160">
        <f>unallocated!B53/'allocated (exergy)'!I160*'allocated (exergy)'!J160</f>
        <v>3.4966040000258767E-6</v>
      </c>
      <c r="C160" t="inlineStr">
        <is>
          <t>Europe without Switzerland</t>
        </is>
      </c>
      <c r="D160" t="inlineStr">
        <is>
          <t>kilogram</t>
        </is>
      </c>
      <c r="F160" t="inlineStr">
        <is>
          <t>technosphere</t>
        </is>
      </c>
      <c r="G160" t="inlineStr">
        <is>
          <t>diesel, low-sulfur</t>
        </is>
      </c>
      <c r="H160" t="inlineStr">
        <is>
          <t>Diesel density: 0.85 kg/l</t>
        </is>
      </c>
      <c r="I160" t="n">
        <v>6170</v>
      </c>
      <c r="J160" s="11">
        <f>J157</f>
        <v>0.25381231388423126</v>
      </c>
      <c r="K160" t="n">
        <v>2</v>
      </c>
      <c r="L160" s="3">
        <f>LN(B160)</f>
        <v>-12.56371834620769</v>
      </c>
      <c r="M160" t="n">
        <v>1</v>
      </c>
      <c r="N160" t="n">
        <v>1</v>
      </c>
      <c r="O160" t="n">
        <v>1</v>
      </c>
      <c r="P160" t="n">
        <v>1.02</v>
      </c>
      <c r="Q160" t="n">
        <v>1.2</v>
      </c>
      <c r="R160" t="n">
        <v>1</v>
      </c>
      <c r="S160" t="n">
        <v>1.05</v>
      </c>
      <c r="T160">
        <f>LN(SQRT(EXP(
SQRT(
+POWER(LN(M160),2)
+POWER(LN(N160),2)
+POWER(LN(O160),2)
+POWER(LN(P160),2)
+POWER(LN(Q160),2)
+POWER(LN(R160),2)
+POWER(LN(S160),2)
)
)))</f>
        <v>9.4886477223156879E-2</v>
      </c>
    </row>
    <row r="161">
      <c r="A161" t="inlineStr">
        <is>
          <t>market for activated carbon, granular</t>
        </is>
      </c>
      <c r="B161">
        <f>unallocated!B54/'allocated (exergy)'!I161*'allocated (exergy)'!J161</f>
        <v>1.6454607058945303E-5</v>
      </c>
      <c r="C161" t="inlineStr">
        <is>
          <t>GLO</t>
        </is>
      </c>
      <c r="D161" t="inlineStr">
        <is>
          <t>kilogram</t>
        </is>
      </c>
      <c r="F161" t="inlineStr">
        <is>
          <t>technosphere</t>
        </is>
      </c>
      <c r="G161" t="inlineStr">
        <is>
          <t>activated carbon, granular</t>
        </is>
      </c>
      <c r="I161" t="n">
        <v>6170</v>
      </c>
      <c r="J161" s="11">
        <f>J157</f>
        <v>0.25381231388423126</v>
      </c>
      <c r="K161" t="n">
        <v>2</v>
      </c>
      <c r="L161" s="3">
        <f>LN(B161)</f>
        <v>-11.014905055590024</v>
      </c>
      <c r="M161" t="n">
        <v>1</v>
      </c>
      <c r="N161" t="n">
        <v>1</v>
      </c>
      <c r="O161" t="n">
        <v>1</v>
      </c>
      <c r="P161" t="n">
        <v>1.02</v>
      </c>
      <c r="Q161" t="n">
        <v>1.2</v>
      </c>
      <c r="R161" t="n">
        <v>1</v>
      </c>
      <c r="S161" t="n">
        <v>1.05</v>
      </c>
      <c r="T161">
        <f>LN(SQRT(EXP(
SQRT(
+POWER(LN(M161),2)
+POWER(LN(N161),2)
+POWER(LN(O161),2)
+POWER(LN(P161),2)
+POWER(LN(Q161),2)
+POWER(LN(R161),2)
+POWER(LN(S161),2)
)
)))</f>
        <v>9.4886477223156879E-2</v>
      </c>
    </row>
    <row r="162">
      <c r="A162" t="inlineStr">
        <is>
          <t>market for ammonia, anhydrous, liquid</t>
        </is>
      </c>
      <c r="B162">
        <f>unallocated!B55/'allocated (exergy)'!I162*'allocated (exergy)'!J162</f>
        <v>4.0313787294415986E-5</v>
      </c>
      <c r="C162" t="inlineStr">
        <is>
          <t>RER</t>
        </is>
      </c>
      <c r="D162" t="inlineStr">
        <is>
          <t>kilogram</t>
        </is>
      </c>
      <c r="F162" t="inlineStr">
        <is>
          <t>technosphere</t>
        </is>
      </c>
      <c r="G162" t="inlineStr">
        <is>
          <t>ammonia, anhydrous, liquid</t>
        </is>
      </c>
      <c r="H162" t="inlineStr">
        <is>
          <t>100% liquid ammonia. In original publication, it is dilluated to 23.5% in water. We discount the original value by 75%.</t>
        </is>
      </c>
      <c r="I162" t="n">
        <v>6170</v>
      </c>
      <c r="J162" s="11">
        <f>J157</f>
        <v>0.25381231388423126</v>
      </c>
      <c r="K162" t="n">
        <v>2</v>
      </c>
      <c r="L162" s="3">
        <f>LN(B162)</f>
        <v>-10.118817031033389</v>
      </c>
      <c r="M162" t="n">
        <v>1</v>
      </c>
      <c r="N162" t="n">
        <v>1</v>
      </c>
      <c r="O162" t="n">
        <v>1</v>
      </c>
      <c r="P162" t="n">
        <v>1.02</v>
      </c>
      <c r="Q162" t="n">
        <v>1.2</v>
      </c>
      <c r="R162" t="n">
        <v>1</v>
      </c>
      <c r="S162" t="n">
        <v>1.05</v>
      </c>
      <c r="T162">
        <f>LN(SQRT(EXP(
SQRT(
+POWER(LN(M162),2)
+POWER(LN(N162),2)
+POWER(LN(O162),2)
+POWER(LN(P162),2)
+POWER(LN(Q162),2)
+POWER(LN(R162),2)
+POWER(LN(S162),2)
)
)))</f>
        <v>9.4886477223156879E-2</v>
      </c>
    </row>
    <row r="163">
      <c r="A163" t="inlineStr">
        <is>
          <t>market for tap water</t>
        </is>
      </c>
      <c r="B163">
        <f>unallocated!B56/'allocated (exergy)'!I163*'allocated (exergy)'!J163</f>
        <v>1.2423228329503701E-4</v>
      </c>
      <c r="C163" t="inlineStr">
        <is>
          <t>Europe without Switzerland</t>
        </is>
      </c>
      <c r="D163" t="inlineStr">
        <is>
          <t>kilogram</t>
        </is>
      </c>
      <c r="F163" t="inlineStr">
        <is>
          <t>technosphere</t>
        </is>
      </c>
      <c r="G163" t="inlineStr">
        <is>
          <t>tap water</t>
        </is>
      </c>
      <c r="H163" t="inlineStr">
        <is>
          <t>Used to dilute the ammonia.</t>
        </is>
      </c>
      <c r="I163" t="n">
        <v>6170</v>
      </c>
      <c r="J163" s="11">
        <f>J157</f>
        <v>0.25381231388423126</v>
      </c>
      <c r="K163" t="n">
        <v>2</v>
      </c>
      <c r="L163" s="3">
        <f>LN(B163)</f>
        <v>-8.9933574923290909</v>
      </c>
      <c r="M163" t="n">
        <v>1</v>
      </c>
      <c r="N163" t="n">
        <v>1</v>
      </c>
      <c r="O163" t="n">
        <v>1</v>
      </c>
      <c r="P163" t="n">
        <v>1.02</v>
      </c>
      <c r="Q163" t="n">
        <v>1.2</v>
      </c>
      <c r="R163" t="n">
        <v>1</v>
      </c>
      <c r="S163" t="n">
        <v>1.05</v>
      </c>
      <c r="T163">
        <f>LN(SQRT(EXP(
SQRT(
+POWER(LN(M163),2)
+POWER(LN(N163),2)
+POWER(LN(O163),2)
+POWER(LN(P163),2)
+POWER(LN(Q163),2)
+POWER(LN(R163),2)
+POWER(LN(S163),2)
)
)))</f>
        <v>9.4886477223156879E-2</v>
      </c>
    </row>
    <row r="164">
      <c r="A164" t="inlineStr">
        <is>
          <t>market for calcium carbonate, precipitated</t>
        </is>
      </c>
      <c r="B164">
        <f>unallocated!B57/'allocated (exergy)'!I164*'allocated (exergy)'!J164</f>
        <v>0</v>
      </c>
      <c r="C164" t="inlineStr">
        <is>
          <t>RER</t>
        </is>
      </c>
      <c r="D164" t="inlineStr">
        <is>
          <t>kilogram</t>
        </is>
      </c>
      <c r="F164" t="inlineStr">
        <is>
          <t>technosphere</t>
        </is>
      </c>
      <c r="G164" t="inlineStr">
        <is>
          <t>calcium carbonate, precipitated</t>
        </is>
      </c>
      <c r="I164" t="n">
        <v>6170</v>
      </c>
      <c r="J164" s="11">
        <f>J157</f>
        <v>0.25381231388423126</v>
      </c>
      <c r="K164" t="n">
        <v>0</v>
      </c>
      <c r="L164" s="3" t="n"/>
    </row>
    <row r="165">
      <c r="A165" t="inlineStr">
        <is>
          <t>market for iron(III) chloride, without water, in 40% solution state</t>
        </is>
      </c>
      <c r="B165">
        <f>unallocated!B58/'allocated (exergy)'!I165*'allocated (exergy)'!J165</f>
        <v>0</v>
      </c>
      <c r="C165" t="inlineStr">
        <is>
          <t>GLO</t>
        </is>
      </c>
      <c r="D165" t="inlineStr">
        <is>
          <t>kilogram</t>
        </is>
      </c>
      <c r="F165" t="inlineStr">
        <is>
          <t>technosphere</t>
        </is>
      </c>
      <c r="G165" t="inlineStr">
        <is>
          <t>iron(III) chloride, without water, in 40% solution state</t>
        </is>
      </c>
      <c r="I165" t="n">
        <v>6170</v>
      </c>
      <c r="J165" s="11">
        <f>J157</f>
        <v>0.25381231388423126</v>
      </c>
      <c r="K165" t="n">
        <v>0</v>
      </c>
      <c r="L165" s="3" t="n"/>
    </row>
    <row r="166">
      <c r="A166" t="inlineStr">
        <is>
          <t>market for lime, hydrated, packed</t>
        </is>
      </c>
      <c r="B166">
        <f>unallocated!B59/'allocated (exergy)'!I166*'allocated (exergy)'!J166</f>
        <v>4.5250169412099572E-4</v>
      </c>
      <c r="C166" t="inlineStr">
        <is>
          <t>RER</t>
        </is>
      </c>
      <c r="D166" t="inlineStr">
        <is>
          <t>kilogram</t>
        </is>
      </c>
      <c r="F166" t="inlineStr">
        <is>
          <t>technosphere</t>
        </is>
      </c>
      <c r="G166" t="inlineStr">
        <is>
          <t>lime, hydrated, packed</t>
        </is>
      </c>
      <c r="I166" t="n">
        <v>6170</v>
      </c>
      <c r="J166" s="11">
        <f>J157</f>
        <v>0.25381231388423126</v>
      </c>
      <c r="K166" t="n">
        <v>2</v>
      </c>
      <c r="L166" s="3">
        <f>LN(B166)</f>
        <v>-7.700719050917499</v>
      </c>
      <c r="M166" t="n">
        <v>1</v>
      </c>
      <c r="N166" t="n">
        <v>1</v>
      </c>
      <c r="O166" t="n">
        <v>1</v>
      </c>
      <c r="P166" t="n">
        <v>1.02</v>
      </c>
      <c r="Q166" t="n">
        <v>1.2</v>
      </c>
      <c r="R166" t="n">
        <v>1</v>
      </c>
      <c r="S166" t="n">
        <v>1.05</v>
      </c>
      <c r="T166">
        <f>LN(SQRT(EXP(
SQRT(
+POWER(LN(M166),2)
+POWER(LN(N166),2)
+POWER(LN(O166),2)
+POWER(LN(P166),2)
+POWER(LN(Q166),2)
+POWER(LN(R166),2)
+POWER(LN(S166),2)
)
)))</f>
        <v>9.4886477223156879E-2</v>
      </c>
    </row>
    <row r="167">
      <c r="A167" t="inlineStr">
        <is>
          <t>market for sodium hydroxide, without water, in 50% solution state</t>
        </is>
      </c>
      <c r="B167">
        <f>unallocated!B60/'allocated (exergy)'!I167*'allocated (exergy)'!J167</f>
        <v>0</v>
      </c>
      <c r="C167" t="inlineStr">
        <is>
          <t>RER</t>
        </is>
      </c>
      <c r="D167" t="inlineStr">
        <is>
          <t>kilogram</t>
        </is>
      </c>
      <c r="F167" t="inlineStr">
        <is>
          <t>technosphere</t>
        </is>
      </c>
      <c r="G167" t="inlineStr">
        <is>
          <t>sodium hydroxide, without water, in 50% solution state</t>
        </is>
      </c>
      <c r="H167" t="inlineStr">
        <is>
          <t>50% liquid ammonia. In original publication, it is dilluated to 27% in water. We discount the original value by 50%.</t>
        </is>
      </c>
      <c r="I167" t="n">
        <v>6170</v>
      </c>
      <c r="J167" s="11">
        <f>J157</f>
        <v>0.25381231388423126</v>
      </c>
      <c r="K167" t="n">
        <v>0</v>
      </c>
      <c r="L167" s="3" t="n"/>
    </row>
    <row r="168">
      <c r="A168" t="inlineStr">
        <is>
          <t>market for monoethanolamine</t>
        </is>
      </c>
      <c r="B168">
        <f>unallocated!B61/'allocated (exergy)'!I168*'allocated (exergy)'!J168</f>
        <v>0</v>
      </c>
      <c r="C168" t="inlineStr">
        <is>
          <t>GLO</t>
        </is>
      </c>
      <c r="D168" t="inlineStr">
        <is>
          <t>kilogram</t>
        </is>
      </c>
      <c r="F168" t="inlineStr">
        <is>
          <t>technosphere</t>
        </is>
      </c>
      <c r="G168" t="inlineStr">
        <is>
          <t>monoethanolamine</t>
        </is>
      </c>
      <c r="I168" t="n">
        <v>6170</v>
      </c>
      <c r="J168" s="11">
        <f>J157</f>
        <v>0.25381231388423126</v>
      </c>
      <c r="K168" t="n">
        <v>0</v>
      </c>
      <c r="L168" s="3" t="n"/>
    </row>
    <row r="169">
      <c r="A169" t="inlineStr">
        <is>
          <t>municipal waste incineration facility construction</t>
        </is>
      </c>
      <c r="B169" s="8">
        <f>unallocated!B62/'allocated (exergy)'!I169*'allocated (exergy)'!J169</f>
        <v>1.0284129411840812E-11</v>
      </c>
      <c r="C169" t="inlineStr">
        <is>
          <t>CH</t>
        </is>
      </c>
      <c r="D169" t="inlineStr">
        <is>
          <t>unit</t>
        </is>
      </c>
      <c r="F169" t="inlineStr">
        <is>
          <t>technosphere</t>
        </is>
      </c>
      <c r="G169" t="inlineStr">
        <is>
          <t>municipal waste incineration facility</t>
        </is>
      </c>
      <c r="H169" t="inlineStr">
        <is>
          <t>Lifetime: 4'000'000 tons MSWI treated.</t>
        </is>
      </c>
      <c r="I169" t="n">
        <v>6170</v>
      </c>
      <c r="J169" s="11">
        <f>J157</f>
        <v>0.25381231388423126</v>
      </c>
      <c r="K169" t="n">
        <v>2</v>
      </c>
      <c r="L169" s="3">
        <f>LN(B169)</f>
        <v>-25.300419242800036</v>
      </c>
      <c r="M169" t="n">
        <v>1</v>
      </c>
      <c r="N169" t="n">
        <v>1</v>
      </c>
      <c r="O169" t="n">
        <v>1</v>
      </c>
      <c r="P169" t="n">
        <v>1.02</v>
      </c>
      <c r="Q169" t="n">
        <v>1.2</v>
      </c>
      <c r="R169" t="n">
        <v>1</v>
      </c>
      <c r="S169" t="n">
        <v>3</v>
      </c>
      <c r="T169">
        <f>LN(SQRT(EXP(
SQRT(
+POWER(LN(M169),2)
+POWER(LN(N169),2)
+POWER(LN(O169),2)
+POWER(LN(P169),2)
+POWER(LN(Q169),2)
+POWER(LN(R169),2)
+POWER(LN(S169),2)
)
)))</f>
        <v>0.5569071410325479</v>
      </c>
    </row>
    <row r="170">
      <c r="A170" t="inlineStr">
        <is>
          <t>Water, cooling, unspecified natural origin</t>
        </is>
      </c>
      <c r="B170">
        <f>unallocated!B63/'allocated (exergy)'!I170*'allocated (exergy)'!J170</f>
        <v>6.170477647104487E-6</v>
      </c>
      <c r="D170" t="inlineStr">
        <is>
          <t>cubic meter</t>
        </is>
      </c>
      <c r="E170" t="inlineStr">
        <is>
          <t>natural resource::in water</t>
        </is>
      </c>
      <c r="F170" t="inlineStr">
        <is>
          <t>biosphere</t>
        </is>
      </c>
      <c r="I170" t="n">
        <v>6170</v>
      </c>
      <c r="J170" s="11">
        <f>J157</f>
        <v>0.25381231388423126</v>
      </c>
      <c r="K170" t="n">
        <v>2</v>
      </c>
      <c r="L170" s="3">
        <f>LN(B170)</f>
        <v>-11.995734308601751</v>
      </c>
      <c r="M170" t="n">
        <v>1</v>
      </c>
      <c r="N170" t="n">
        <v>1</v>
      </c>
      <c r="O170" t="n">
        <v>1</v>
      </c>
      <c r="P170" t="n">
        <v>1.02</v>
      </c>
      <c r="Q170" t="n">
        <v>1.2</v>
      </c>
      <c r="R170" t="n">
        <v>1</v>
      </c>
      <c r="S170" t="n">
        <v>1.05</v>
      </c>
      <c r="T170">
        <f>LN(SQRT(EXP(
SQRT(
+POWER(LN(M170),2)
+POWER(LN(N170),2)
+POWER(LN(O170),2)
+POWER(LN(P170),2)
+POWER(LN(Q170),2)
+POWER(LN(R170),2)
+POWER(LN(S170),2)
)
)))</f>
        <v>9.4886477223156879E-2</v>
      </c>
    </row>
    <row r="171">
      <c r="A171" t="inlineStr">
        <is>
          <t>Sulfur dioxide</t>
        </is>
      </c>
      <c r="B171">
        <f>unallocated!B64/'allocated (exergy)'!I171*'allocated (exergy)'!J171</f>
        <v>4.6484264941520475E-6</v>
      </c>
      <c r="D171" t="inlineStr">
        <is>
          <t>kilogram</t>
        </is>
      </c>
      <c r="E171" t="inlineStr">
        <is>
          <t>air::urban air close to ground</t>
        </is>
      </c>
      <c r="F171" t="inlineStr">
        <is>
          <t>biosphere</t>
        </is>
      </c>
      <c r="I171" t="n">
        <v>6170</v>
      </c>
      <c r="J171" s="11">
        <f>J157</f>
        <v>0.25381231388423126</v>
      </c>
      <c r="K171" t="n">
        <v>2</v>
      </c>
      <c r="L171" s="3">
        <f>LN(B171)</f>
        <v>-12.278981783985666</v>
      </c>
      <c r="M171" t="n">
        <v>1</v>
      </c>
      <c r="N171" t="n">
        <v>1</v>
      </c>
      <c r="O171" t="n">
        <v>1</v>
      </c>
      <c r="P171" t="n">
        <v>1.02</v>
      </c>
      <c r="Q171" t="n">
        <v>1.2</v>
      </c>
      <c r="R171" t="n">
        <v>1</v>
      </c>
      <c r="S171" t="n">
        <v>1.05</v>
      </c>
      <c r="T171">
        <f>LN(SQRT(EXP(
SQRT(
+POWER(LN(M171),2)
+POWER(LN(N171),2)
+POWER(LN(O171),2)
+POWER(LN(P171),2)
+POWER(LN(Q171),2)
+POWER(LN(R171),2)
+POWER(LN(S171),2)
)
)))</f>
        <v>9.4886477223156879E-2</v>
      </c>
    </row>
    <row r="172">
      <c r="A172" t="inlineStr">
        <is>
          <t>Hydrochloric acid</t>
        </is>
      </c>
      <c r="B172">
        <f>unallocated!B65/'allocated (exergy)'!I172*'allocated (exergy)'!J172</f>
        <v>1.1518224941261711E-6</v>
      </c>
      <c r="D172" t="inlineStr">
        <is>
          <t>kilogram</t>
        </is>
      </c>
      <c r="E172" t="inlineStr">
        <is>
          <t>air</t>
        </is>
      </c>
      <c r="F172" t="inlineStr">
        <is>
          <t>biosphere</t>
        </is>
      </c>
      <c r="I172" t="n">
        <v>6170</v>
      </c>
      <c r="J172" s="11">
        <f>J157</f>
        <v>0.25381231388423126</v>
      </c>
      <c r="K172" t="n">
        <v>2</v>
      </c>
      <c r="L172" s="3">
        <f>LN(B172)</f>
        <v>-13.674165092522802</v>
      </c>
      <c r="M172" t="n">
        <v>1</v>
      </c>
      <c r="N172" t="n">
        <v>1</v>
      </c>
      <c r="O172" t="n">
        <v>1</v>
      </c>
      <c r="P172" t="n">
        <v>1.02</v>
      </c>
      <c r="Q172" t="n">
        <v>1.2</v>
      </c>
      <c r="R172" t="n">
        <v>1</v>
      </c>
      <c r="S172" t="n">
        <v>1.5</v>
      </c>
      <c r="T172">
        <f>LN(SQRT(EXP(
SQRT(
+POWER(LN(M172),2)
+POWER(LN(N172),2)
+POWER(LN(O172),2)
+POWER(LN(P172),2)
+POWER(LN(Q172),2)
+POWER(LN(R172),2)
+POWER(LN(S172),2)
)
)))</f>
        <v>0.22250575723605889</v>
      </c>
    </row>
    <row r="173">
      <c r="A173" t="inlineStr">
        <is>
          <t>Nitrogen oxides</t>
        </is>
      </c>
      <c r="B173">
        <f>unallocated!B66/'allocated (exergy)'!I173*'allocated (exergy)'!J173</f>
        <v>2.7849422447264924E-5</v>
      </c>
      <c r="D173" t="inlineStr">
        <is>
          <t>kilogram</t>
        </is>
      </c>
      <c r="E173" t="inlineStr">
        <is>
          <t>air::urban air close to ground</t>
        </is>
      </c>
      <c r="F173" t="inlineStr">
        <is>
          <t>biosphere</t>
        </is>
      </c>
      <c r="I173" t="n">
        <v>6170</v>
      </c>
      <c r="J173" s="11">
        <f>J157</f>
        <v>0.25381231388423126</v>
      </c>
      <c r="K173" t="n">
        <v>2</v>
      </c>
      <c r="L173" s="3">
        <f>LN(B173)</f>
        <v>-10.488698329785731</v>
      </c>
      <c r="M173" t="n">
        <v>1</v>
      </c>
      <c r="N173" t="n">
        <v>1</v>
      </c>
      <c r="O173" t="n">
        <v>1</v>
      </c>
      <c r="P173" t="n">
        <v>1.02</v>
      </c>
      <c r="Q173" t="n">
        <v>1.2</v>
      </c>
      <c r="R173" t="n">
        <v>1</v>
      </c>
      <c r="S173" t="n">
        <v>1.5</v>
      </c>
      <c r="T173">
        <f>LN(SQRT(EXP(
SQRT(
+POWER(LN(M173),2)
+POWER(LN(N173),2)
+POWER(LN(O173),2)
+POWER(LN(P173),2)
+POWER(LN(Q173),2)
+POWER(LN(R173),2)
+POWER(LN(S173),2)
)
)))</f>
        <v>0.22250575723605889</v>
      </c>
    </row>
    <row r="174">
      <c r="A174" t="inlineStr">
        <is>
          <t>Ammonia</t>
        </is>
      </c>
      <c r="B174">
        <f>unallocated!B67/'allocated (exergy)'!I174*'allocated (exergy)'!J174</f>
        <v>1.8511432941313463E-6</v>
      </c>
      <c r="D174" t="inlineStr">
        <is>
          <t>kilogram</t>
        </is>
      </c>
      <c r="E174" t="inlineStr">
        <is>
          <t>air::urban air close to ground</t>
        </is>
      </c>
      <c r="F174" t="inlineStr">
        <is>
          <t>biosphere</t>
        </is>
      </c>
      <c r="I174" t="n">
        <v>6170</v>
      </c>
      <c r="J174" s="11">
        <f>J157</f>
        <v>0.25381231388423126</v>
      </c>
      <c r="K174" t="n">
        <v>2</v>
      </c>
      <c r="L174" s="3">
        <f>LN(B174)</f>
        <v>-13.199707112927687</v>
      </c>
      <c r="M174" t="n">
        <v>1</v>
      </c>
      <c r="N174" t="n">
        <v>1</v>
      </c>
      <c r="O174" t="n">
        <v>1</v>
      </c>
      <c r="P174" t="n">
        <v>1.02</v>
      </c>
      <c r="Q174" t="n">
        <v>1.2</v>
      </c>
      <c r="R174" t="n">
        <v>1</v>
      </c>
      <c r="S174" t="n">
        <v>1.5</v>
      </c>
      <c r="T174">
        <f>LN(SQRT(EXP(
SQRT(
+POWER(LN(M174),2)
+POWER(LN(N174),2)
+POWER(LN(O174),2)
+POWER(LN(P174),2)
+POWER(LN(Q174),2)
+POWER(LN(R174),2)
+POWER(LN(S174),2)
)
)))</f>
        <v>0.22250575723605889</v>
      </c>
    </row>
    <row r="175">
      <c r="A175" t="inlineStr">
        <is>
          <t>Particulate Matter, &lt; 2.5 um</t>
        </is>
      </c>
      <c r="B175">
        <f>unallocated!B68/'allocated (exergy)'!I175*'allocated (exergy)'!J175</f>
        <v>2.4681910588417949E-7</v>
      </c>
      <c r="D175" t="inlineStr">
        <is>
          <t>kilogram</t>
        </is>
      </c>
      <c r="E175" t="inlineStr">
        <is>
          <t>air::urban air close to ground</t>
        </is>
      </c>
      <c r="F175" t="inlineStr">
        <is>
          <t>biosphere</t>
        </is>
      </c>
      <c r="I175" t="n">
        <v>6170</v>
      </c>
      <c r="J175" s="11">
        <f>J157</f>
        <v>0.25381231388423126</v>
      </c>
      <c r="K175" t="n">
        <v>2</v>
      </c>
      <c r="L175" s="3">
        <f>LN(B175)</f>
        <v>-15.214610133469952</v>
      </c>
      <c r="M175" t="n">
        <v>1</v>
      </c>
      <c r="N175" t="n">
        <v>1</v>
      </c>
      <c r="O175" t="n">
        <v>1</v>
      </c>
      <c r="P175" t="n">
        <v>1.02</v>
      </c>
      <c r="Q175" t="n">
        <v>1.2</v>
      </c>
      <c r="R175" t="n">
        <v>1</v>
      </c>
      <c r="S175" t="n">
        <v>3</v>
      </c>
      <c r="T175">
        <f>LN(SQRT(EXP(
SQRT(
+POWER(LN(M175),2)
+POWER(LN(N175),2)
+POWER(LN(O175),2)
+POWER(LN(P175),2)
+POWER(LN(Q175),2)
+POWER(LN(R175),2)
+POWER(LN(S175),2)
)
)))</f>
        <v>0.5569071410325479</v>
      </c>
    </row>
    <row r="176">
      <c r="A176" t="inlineStr">
        <is>
          <t>Mercury II</t>
        </is>
      </c>
      <c r="B176">
        <f>unallocated!B69/'allocated (exergy)'!I176*'allocated (exergy)'!J176</f>
        <v>9.4613990588935491E-10</v>
      </c>
      <c r="D176" t="inlineStr">
        <is>
          <t>kilogram</t>
        </is>
      </c>
      <c r="E176" t="inlineStr">
        <is>
          <t>air::urban air close to ground</t>
        </is>
      </c>
      <c r="F176" t="inlineStr">
        <is>
          <t>biosphere</t>
        </is>
      </c>
      <c r="I176" t="n">
        <v>6170</v>
      </c>
      <c r="J176" s="11">
        <f>J157</f>
        <v>0.25381231388423126</v>
      </c>
      <c r="K176" t="n">
        <v>2</v>
      </c>
      <c r="L176" s="3">
        <f>LN(B176)</f>
        <v>-20.778630665750995</v>
      </c>
      <c r="M176" t="n">
        <v>1</v>
      </c>
      <c r="N176" t="n">
        <v>1</v>
      </c>
      <c r="O176" t="n">
        <v>1</v>
      </c>
      <c r="P176" t="n">
        <v>1.02</v>
      </c>
      <c r="Q176" t="n">
        <v>1.2</v>
      </c>
      <c r="R176" t="n">
        <v>1</v>
      </c>
      <c r="S176" t="n">
        <v>5</v>
      </c>
      <c r="T176">
        <f>LN(SQRT(EXP(
SQRT(
+POWER(LN(M176),2)
+POWER(LN(N176),2)
+POWER(LN(O176),2)
+POWER(LN(P176),2)
+POWER(LN(Q176),2)
+POWER(LN(R176),2)
+POWER(LN(S176),2)
)
)))</f>
        <v>0.80992649174166365</v>
      </c>
    </row>
    <row r="177">
      <c r="A177" t="inlineStr">
        <is>
          <t>Lead II</t>
        </is>
      </c>
      <c r="B177">
        <f>unallocated!B70/'allocated (exergy)'!I177*'allocated (exergy)'!J177</f>
        <v>2.3036449882523421E-9</v>
      </c>
      <c r="D177" t="inlineStr">
        <is>
          <t>kilogram</t>
        </is>
      </c>
      <c r="E177" t="inlineStr">
        <is>
          <t>air::urban air close to ground</t>
        </is>
      </c>
      <c r="F177" t="inlineStr">
        <is>
          <t>biosphere</t>
        </is>
      </c>
      <c r="I177" t="n">
        <v>6170</v>
      </c>
      <c r="J177" s="11">
        <f>J157</f>
        <v>0.25381231388423126</v>
      </c>
      <c r="K177" t="n">
        <v>2</v>
      </c>
      <c r="L177" s="3">
        <f>LN(B177)</f>
        <v>-19.888773190944995</v>
      </c>
      <c r="M177" t="n">
        <v>1</v>
      </c>
      <c r="N177" t="n">
        <v>1</v>
      </c>
      <c r="O177" t="n">
        <v>1</v>
      </c>
      <c r="P177" t="n">
        <v>1.02</v>
      </c>
      <c r="Q177" t="n">
        <v>1.2</v>
      </c>
      <c r="R177" t="n">
        <v>1</v>
      </c>
      <c r="S177" t="n">
        <v>5</v>
      </c>
      <c r="T177">
        <f>LN(SQRT(EXP(
SQRT(
+POWER(LN(M177),2)
+POWER(LN(N177),2)
+POWER(LN(O177),2)
+POWER(LN(P177),2)
+POWER(LN(Q177),2)
+POWER(LN(R177),2)
+POWER(LN(S177),2)
)
)))</f>
        <v>0.80992649174166365</v>
      </c>
    </row>
    <row r="178">
      <c r="A178" t="inlineStr">
        <is>
          <t>Cadmium II</t>
        </is>
      </c>
      <c r="B178">
        <f>unallocated!B71/'allocated (exergy)'!I178*'allocated (exergy)'!J178</f>
        <v>1.1518224941261711E-9</v>
      </c>
      <c r="D178" t="inlineStr">
        <is>
          <t>kilogram</t>
        </is>
      </c>
      <c r="E178" t="inlineStr">
        <is>
          <t>air::urban air close to ground</t>
        </is>
      </c>
      <c r="F178" t="inlineStr">
        <is>
          <t>biosphere</t>
        </is>
      </c>
      <c r="I178" t="n">
        <v>6170</v>
      </c>
      <c r="J178" s="11">
        <f>J157</f>
        <v>0.25381231388423126</v>
      </c>
      <c r="K178" t="n">
        <v>2</v>
      </c>
      <c r="L178" s="3">
        <f>LN(B178)</f>
        <v>-20.581920371504939</v>
      </c>
      <c r="M178" t="n">
        <v>1</v>
      </c>
      <c r="N178" t="n">
        <v>1</v>
      </c>
      <c r="O178" t="n">
        <v>1</v>
      </c>
      <c r="P178" t="n">
        <v>1.02</v>
      </c>
      <c r="Q178" t="n">
        <v>1.2</v>
      </c>
      <c r="R178" t="n">
        <v>1</v>
      </c>
      <c r="S178" t="n">
        <v>5</v>
      </c>
      <c r="T178">
        <f>LN(SQRT(EXP(
SQRT(
+POWER(LN(M178),2)
+POWER(LN(N178),2)
+POWER(LN(O178),2)
+POWER(LN(P178),2)
+POWER(LN(Q178),2)
+POWER(LN(R178),2)
+POWER(LN(S178),2)
)
)))</f>
        <v>0.80992649174166365</v>
      </c>
    </row>
    <row r="179">
      <c r="A179" t="inlineStr">
        <is>
          <t>Arsenic ion</t>
        </is>
      </c>
      <c r="B179">
        <f>unallocated!B72/'allocated (exergy)'!I179*'allocated (exergy)'!J179</f>
        <v>2.4681910588417954E-10</v>
      </c>
      <c r="D179" t="inlineStr">
        <is>
          <t>kilogram</t>
        </is>
      </c>
      <c r="E179" t="inlineStr">
        <is>
          <t>air::urban air close to ground</t>
        </is>
      </c>
      <c r="F179" t="inlineStr">
        <is>
          <t>biosphere</t>
        </is>
      </c>
      <c r="I179" t="n">
        <v>6170</v>
      </c>
      <c r="J179" s="11">
        <f>J157</f>
        <v>0.25381231388423126</v>
      </c>
      <c r="K179" t="n">
        <v>2</v>
      </c>
      <c r="L179" s="3">
        <f>LN(B179)</f>
        <v>-22.122365412452087</v>
      </c>
      <c r="M179" t="n">
        <v>1</v>
      </c>
      <c r="N179" t="n">
        <v>1</v>
      </c>
      <c r="O179" t="n">
        <v>1</v>
      </c>
      <c r="P179" t="n">
        <v>1.02</v>
      </c>
      <c r="Q179" t="n">
        <v>1.2</v>
      </c>
      <c r="R179" t="n">
        <v>1</v>
      </c>
      <c r="S179" t="n">
        <v>5</v>
      </c>
      <c r="T179">
        <f>LN(SQRT(EXP(
SQRT(
+POWER(LN(M179),2)
+POWER(LN(N179),2)
+POWER(LN(O179),2)
+POWER(LN(P179),2)
+POWER(LN(Q179),2)
+POWER(LN(R179),2)
+POWER(LN(S179),2)
)
)))</f>
        <v>0.80992649174166365</v>
      </c>
    </row>
    <row r="180">
      <c r="A180" t="inlineStr">
        <is>
          <t>Dioxins, measured as 2,3,7,8-tetrachlorodibenzo-p-dioxin</t>
        </is>
      </c>
      <c r="B180">
        <f>unallocated!B73/'allocated (exergy)'!I180*'allocated (exergy)'!J180</f>
        <v>4.5250169412099573E-15</v>
      </c>
      <c r="D180" t="inlineStr">
        <is>
          <t>kilogram</t>
        </is>
      </c>
      <c r="E180" t="inlineStr">
        <is>
          <t>air::urban air close to ground</t>
        </is>
      </c>
      <c r="F180" t="inlineStr">
        <is>
          <t>biosphere</t>
        </is>
      </c>
      <c r="I180" t="n">
        <v>6170</v>
      </c>
      <c r="J180" s="11">
        <f>J157</f>
        <v>0.25381231388423126</v>
      </c>
      <c r="K180" t="n">
        <v>2</v>
      </c>
      <c r="L180" s="3">
        <f>LN(B180)</f>
        <v>-33.029155073852003</v>
      </c>
      <c r="M180" t="n">
        <v>1</v>
      </c>
      <c r="N180" t="n">
        <v>1</v>
      </c>
      <c r="O180" t="n">
        <v>1</v>
      </c>
      <c r="P180" t="n">
        <v>1.02</v>
      </c>
      <c r="Q180" t="n">
        <v>1.2</v>
      </c>
      <c r="R180" t="n">
        <v>1</v>
      </c>
      <c r="S180" t="n">
        <v>5</v>
      </c>
      <c r="T180">
        <f>LN(SQRT(EXP(
SQRT(
+POWER(LN(M180),2)
+POWER(LN(N180),2)
+POWER(LN(O180),2)
+POWER(LN(P180),2)
+POWER(LN(Q180),2)
+POWER(LN(R180),2)
+POWER(LN(S180),2)
)
)))</f>
        <v>0.80992649174166365</v>
      </c>
    </row>
    <row r="181">
      <c r="A181" t="inlineStr">
        <is>
          <t>Carbon dioxide, fossil</t>
        </is>
      </c>
      <c r="B181">
        <f>unallocated!B74/'allocated (exergy)'!I181*'allocated (exergy)'!J181</f>
        <v>1.5385057600113855E-2</v>
      </c>
      <c r="D181" t="inlineStr">
        <is>
          <t>kilogram</t>
        </is>
      </c>
      <c r="E181" t="inlineStr">
        <is>
          <t>air::urban air close to ground</t>
        </is>
      </c>
      <c r="F181" t="inlineStr">
        <is>
          <t>biosphere</t>
        </is>
      </c>
      <c r="I181" t="n">
        <v>6170</v>
      </c>
      <c r="J181" s="11">
        <f>J157</f>
        <v>0.25381231388423126</v>
      </c>
      <c r="K181" t="n">
        <v>2</v>
      </c>
      <c r="L181" s="3">
        <f>LN(B181)</f>
        <v>-4.1743585263013374</v>
      </c>
      <c r="M181" t="n">
        <v>1</v>
      </c>
      <c r="N181" t="n">
        <v>1</v>
      </c>
      <c r="O181" t="n">
        <v>1</v>
      </c>
      <c r="P181" t="n">
        <v>1.02</v>
      </c>
      <c r="Q181" t="n">
        <v>1.2</v>
      </c>
      <c r="R181" t="n">
        <v>1</v>
      </c>
      <c r="S181" t="n">
        <v>1.05</v>
      </c>
      <c r="T181">
        <f>LN(SQRT(EXP(
SQRT(
+POWER(LN(M181),2)
+POWER(LN(N181),2)
+POWER(LN(O181),2)
+POWER(LN(P181),2)
+POWER(LN(Q181),2)
+POWER(LN(R181),2)
+POWER(LN(S181),2)
)
)))</f>
        <v>9.4886477223156879E-2</v>
      </c>
    </row>
    <row r="182">
      <c r="A182" t="inlineStr">
        <is>
          <t>Carbon dioxide, non-fossil</t>
        </is>
      </c>
      <c r="B182">
        <f>unallocated!B75/'allocated (exergy)'!I182*'allocated (exergy)'!J182</f>
        <v>2.4435091482533772E-2</v>
      </c>
      <c r="D182" t="inlineStr">
        <is>
          <t>kilogram</t>
        </is>
      </c>
      <c r="E182" t="inlineStr">
        <is>
          <t>air::urban air close to ground</t>
        </is>
      </c>
      <c r="F182" t="inlineStr">
        <is>
          <t>biosphere</t>
        </is>
      </c>
      <c r="I182" t="n">
        <v>6170</v>
      </c>
      <c r="J182" s="11">
        <f>J157</f>
        <v>0.25381231388423126</v>
      </c>
      <c r="K182" t="n">
        <v>2</v>
      </c>
      <c r="L182" s="3">
        <f>LN(B182)</f>
        <v>-3.7117350043532245</v>
      </c>
      <c r="M182" t="n">
        <v>1</v>
      </c>
      <c r="N182" t="n">
        <v>1</v>
      </c>
      <c r="O182" t="n">
        <v>1</v>
      </c>
      <c r="P182" t="n">
        <v>1.02</v>
      </c>
      <c r="Q182" t="n">
        <v>1.2</v>
      </c>
      <c r="R182" t="n">
        <v>1</v>
      </c>
      <c r="S182" t="n">
        <v>1.05</v>
      </c>
      <c r="T182">
        <f>LN(SQRT(EXP(
SQRT(
+POWER(LN(M182),2)
+POWER(LN(N182),2)
+POWER(LN(O182),2)
+POWER(LN(P182),2)
+POWER(LN(Q182),2)
+POWER(LN(R182),2)
+POWER(LN(S182),2)
)
)))</f>
        <v>9.4886477223156879E-2</v>
      </c>
    </row>
    <row r="183"/>
    <row r="184">
      <c r="A184" s="1" t="inlineStr">
        <is>
          <t>Activity</t>
        </is>
      </c>
      <c r="B184" s="1" t="inlineStr">
        <is>
          <t>municipal waste incineration, at incineration plant, with semi-dry air pollution control, with flue gas condensation, with electricity and heat recovery, exergy allocation</t>
        </is>
      </c>
    </row>
    <row r="185">
      <c r="A185" t="inlineStr">
        <is>
          <t>location</t>
        </is>
      </c>
      <c r="B185" t="inlineStr">
        <is>
          <t>RER</t>
        </is>
      </c>
    </row>
    <row r="186">
      <c r="A186" t="inlineStr">
        <is>
          <t>production amount</t>
        </is>
      </c>
      <c r="B186" t="n">
        <v>1</v>
      </c>
    </row>
    <row r="187">
      <c r="A187" s="2" t="inlineStr">
        <is>
          <t>source</t>
        </is>
      </c>
      <c r="B187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88">
      <c r="A188" t="inlineStr">
        <is>
          <t>reference product</t>
        </is>
      </c>
      <c r="B188" t="inlineStr">
        <is>
          <t>municipal solid waste</t>
        </is>
      </c>
    </row>
    <row r="189">
      <c r="A189" t="inlineStr">
        <is>
          <t>type</t>
        </is>
      </c>
      <c r="B189" t="inlineStr">
        <is>
          <t>process</t>
        </is>
      </c>
    </row>
    <row r="190">
      <c r="A190" t="inlineStr">
        <is>
          <t>unit</t>
        </is>
      </c>
      <c r="B190" t="inlineStr">
        <is>
          <t>kilogram</t>
        </is>
      </c>
    </row>
    <row r="191">
      <c r="A191" t="inlineStr">
        <is>
          <t>comment</t>
        </is>
      </c>
      <c r="B191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623 kWh. Heat production per ton MSWI incinerated: 7'860 MJ.</t>
        </is>
      </c>
    </row>
    <row r="192">
      <c r="A192" s="1" t="inlineStr">
        <is>
          <t>Exchanges</t>
        </is>
      </c>
    </row>
    <row r="193">
      <c r="A193" s="7" t="inlineStr">
        <is>
          <t>name</t>
        </is>
      </c>
      <c r="B193" s="7" t="inlineStr">
        <is>
          <t>amount</t>
        </is>
      </c>
      <c r="C193" s="7" t="inlineStr">
        <is>
          <t>location</t>
        </is>
      </c>
      <c r="D193" s="7" t="inlineStr">
        <is>
          <t>unit</t>
        </is>
      </c>
      <c r="E193" s="7" t="inlineStr">
        <is>
          <t>categories</t>
        </is>
      </c>
      <c r="F193" s="7" t="inlineStr">
        <is>
          <t>type</t>
        </is>
      </c>
      <c r="G193" s="7" t="inlineStr">
        <is>
          <t>reference product</t>
        </is>
      </c>
      <c r="H193" s="7" t="inlineStr">
        <is>
          <t>comment</t>
        </is>
      </c>
      <c r="I193" s="7" t="inlineStr">
        <is>
          <t>normalization</t>
        </is>
      </c>
      <c r="J193" s="7" t="inlineStr">
        <is>
          <t>allocation</t>
        </is>
      </c>
      <c r="K193" s="7" t="inlineStr">
        <is>
          <t>uncertainty type</t>
        </is>
      </c>
      <c r="L193" s="7" t="inlineStr">
        <is>
          <t>loc</t>
        </is>
      </c>
      <c r="M193" s="1" t="inlineStr">
        <is>
          <t>u1</t>
        </is>
      </c>
      <c r="N193" s="1" t="inlineStr">
        <is>
          <t>u2</t>
        </is>
      </c>
      <c r="O193" s="1" t="inlineStr">
        <is>
          <t>u3</t>
        </is>
      </c>
      <c r="P193" s="1" t="inlineStr">
        <is>
          <t>u4</t>
        </is>
      </c>
      <c r="Q193" s="1" t="inlineStr">
        <is>
          <t>u5</t>
        </is>
      </c>
      <c r="R193" s="1" t="inlineStr">
        <is>
          <t>u6</t>
        </is>
      </c>
      <c r="S193" s="1" t="inlineStr">
        <is>
          <t>ub</t>
        </is>
      </c>
      <c r="T193" s="1" t="inlineStr">
        <is>
          <t>scale</t>
        </is>
      </c>
      <c r="U193" s="1" t="inlineStr">
        <is>
          <t>negative</t>
        </is>
      </c>
    </row>
    <row r="194">
      <c r="A194" t="inlineStr">
        <is>
          <t>municipal waste incineration, at incineration plant, with semi-dry air pollution control, with flue gas condensation, with electricity and heat recovery, exergy allocation</t>
        </is>
      </c>
      <c r="B194" t="n">
        <v>1</v>
      </c>
      <c r="C194" t="inlineStr">
        <is>
          <t>RER</t>
        </is>
      </c>
      <c r="D194" t="inlineStr">
        <is>
          <t>kilogram</t>
        </is>
      </c>
      <c r="F194" t="inlineStr">
        <is>
          <t>production</t>
        </is>
      </c>
      <c r="G194" t="inlineStr">
        <is>
          <t>municipal solid waste</t>
        </is>
      </c>
      <c r="H194" t="inlineStr"/>
      <c r="I194" t="n">
        <v>1000</v>
      </c>
      <c r="J194" s="14">
        <f>INDEX('allocation keys'!$I$4:$K$29,MATCH('allocated (exergy)'!$B$184,'allocation keys'!$B$4:$B$28,0),MATCH('allocated (exergy)'!$B$188,'allocation keys'!$I$3:$K$3,0))</f>
        <v>0</v>
      </c>
      <c r="K194" t="n">
        <v>0</v>
      </c>
      <c r="M194" s="5" t="n"/>
      <c r="N194" s="5" t="n"/>
      <c r="O194" s="5" t="n"/>
      <c r="P194" s="5" t="n"/>
      <c r="Q194" s="5" t="n"/>
      <c r="R194" s="5" t="n"/>
    </row>
    <row r="195">
      <c r="A195" t="inlineStr">
        <is>
          <t>municipal waste incineration, at incineration plant, with semi-dry air pollution control, with flue gas condensation, with electricity and heat recovery, exergy allocation</t>
        </is>
      </c>
      <c r="B195" s="6" t="n">
        <v>0</v>
      </c>
      <c r="C195" t="inlineStr">
        <is>
          <t>RER</t>
        </is>
      </c>
      <c r="D195" t="inlineStr">
        <is>
          <t>kilowatt hour</t>
        </is>
      </c>
      <c r="F195" t="inlineStr">
        <is>
          <t>technosphere</t>
        </is>
      </c>
      <c r="G195" t="inlineStr">
        <is>
          <t>electricity, medium voltage</t>
        </is>
      </c>
      <c r="H195" t="inlineStr"/>
      <c r="I195" t="n">
        <v>1000</v>
      </c>
      <c r="J195" s="11">
        <f>J194</f>
        <v>0</v>
      </c>
      <c r="K195" t="n">
        <v>0</v>
      </c>
      <c r="L195" s="3" t="n"/>
    </row>
    <row r="196">
      <c r="A196" t="inlineStr">
        <is>
          <t>municipal waste incineration, at incineration plant, with semi-dry air pollution control, with flue gas condensation, with electricity and heat recovery, exergy allocation</t>
        </is>
      </c>
      <c r="B196" t="n">
        <v>0</v>
      </c>
      <c r="C196" t="inlineStr">
        <is>
          <t>RER</t>
        </is>
      </c>
      <c r="D196" t="inlineStr">
        <is>
          <t>megajoule</t>
        </is>
      </c>
      <c r="F196" t="inlineStr">
        <is>
          <t>technosphere</t>
        </is>
      </c>
      <c r="G196" t="inlineStr">
        <is>
          <t>heat, district or industrial, other than natural gas</t>
        </is>
      </c>
      <c r="H196" t="inlineStr"/>
      <c r="I196" t="n">
        <v>1000</v>
      </c>
      <c r="J196" s="11">
        <f>J194</f>
        <v>0</v>
      </c>
      <c r="K196" t="n">
        <v>0</v>
      </c>
      <c r="L196" s="3" t="n"/>
    </row>
    <row r="197">
      <c r="A197" t="inlineStr">
        <is>
          <t>market for diesel, low-sulfur</t>
        </is>
      </c>
      <c r="B197">
        <f>unallocated!B90/I197*J197</f>
        <v>0</v>
      </c>
      <c r="C197" t="inlineStr">
        <is>
          <t>Europe without Switzerland</t>
        </is>
      </c>
      <c r="D197" t="inlineStr">
        <is>
          <t>kilogram</t>
        </is>
      </c>
      <c r="F197" t="inlineStr">
        <is>
          <t>technosphere</t>
        </is>
      </c>
      <c r="G197" t="inlineStr">
        <is>
          <t>diesel, low-sulfur</t>
        </is>
      </c>
      <c r="H197" t="inlineStr">
        <is>
          <t>Diesel density: 0.85 kg/l</t>
        </is>
      </c>
      <c r="I197" t="n">
        <v>1000</v>
      </c>
      <c r="J197" s="11">
        <f>J194</f>
        <v>0</v>
      </c>
      <c r="K197" t="n">
        <v>0</v>
      </c>
      <c r="L197" s="3" t="n"/>
    </row>
    <row r="198">
      <c r="A198" t="inlineStr">
        <is>
          <t>market for activated carbon, granular</t>
        </is>
      </c>
      <c r="B198">
        <f>unallocated!B91/I198*J198</f>
        <v>0</v>
      </c>
      <c r="C198" t="inlineStr">
        <is>
          <t>GLO</t>
        </is>
      </c>
      <c r="D198" t="inlineStr">
        <is>
          <t>kilogram</t>
        </is>
      </c>
      <c r="F198" t="inlineStr">
        <is>
          <t>technosphere</t>
        </is>
      </c>
      <c r="G198" t="inlineStr">
        <is>
          <t>activated carbon, granular</t>
        </is>
      </c>
      <c r="I198" t="n">
        <v>1000</v>
      </c>
      <c r="J198" s="11">
        <f>J194</f>
        <v>0</v>
      </c>
      <c r="K198" t="n">
        <v>0</v>
      </c>
      <c r="L198" s="3" t="n"/>
    </row>
    <row r="199">
      <c r="A199" t="inlineStr">
        <is>
          <t>market for ammonia, anhydrous, liquid</t>
        </is>
      </c>
      <c r="B199">
        <f>unallocated!B92/I199*J199</f>
        <v>0</v>
      </c>
      <c r="C199" t="inlineStr">
        <is>
          <t>RER</t>
        </is>
      </c>
      <c r="D199" t="inlineStr">
        <is>
          <t>kilogram</t>
        </is>
      </c>
      <c r="F199" t="inlineStr">
        <is>
          <t>technosphere</t>
        </is>
      </c>
      <c r="G199" t="inlineStr">
        <is>
          <t>ammonia, anhydrous, liquid</t>
        </is>
      </c>
      <c r="H199" t="inlineStr">
        <is>
          <t>100% liquid ammonia. In original publication, it is dilluated to 23.5% in water. We discount the original value by 75%.</t>
        </is>
      </c>
      <c r="I199" t="n">
        <v>1000</v>
      </c>
      <c r="J199" s="11">
        <f>J194</f>
        <v>0</v>
      </c>
      <c r="K199" t="n">
        <v>0</v>
      </c>
      <c r="L199" s="3" t="n"/>
    </row>
    <row r="200">
      <c r="A200" t="inlineStr">
        <is>
          <t>market for tap water</t>
        </is>
      </c>
      <c r="B200">
        <f>unallocated!B93/I200*J200</f>
        <v>0</v>
      </c>
      <c r="C200" t="inlineStr">
        <is>
          <t>Europe without Switzerland</t>
        </is>
      </c>
      <c r="D200" t="inlineStr">
        <is>
          <t>kilogram</t>
        </is>
      </c>
      <c r="F200" t="inlineStr">
        <is>
          <t>technosphere</t>
        </is>
      </c>
      <c r="G200" t="inlineStr">
        <is>
          <t>tap water</t>
        </is>
      </c>
      <c r="H200" t="inlineStr">
        <is>
          <t>Used to dilute the ammonia.</t>
        </is>
      </c>
      <c r="I200" t="n">
        <v>1000</v>
      </c>
      <c r="J200" s="11">
        <f>J194</f>
        <v>0</v>
      </c>
      <c r="K200" t="n">
        <v>0</v>
      </c>
      <c r="L200" s="3" t="n"/>
    </row>
    <row r="201">
      <c r="A201" t="inlineStr">
        <is>
          <t>market for calcium carbonate, precipitated</t>
        </is>
      </c>
      <c r="B201">
        <f>unallocated!B94/I201*J201</f>
        <v>0</v>
      </c>
      <c r="C201" t="inlineStr">
        <is>
          <t>RER</t>
        </is>
      </c>
      <c r="D201" t="inlineStr">
        <is>
          <t>kilogram</t>
        </is>
      </c>
      <c r="F201" t="inlineStr">
        <is>
          <t>technosphere</t>
        </is>
      </c>
      <c r="G201" t="inlineStr">
        <is>
          <t>calcium carbonate, precipitated</t>
        </is>
      </c>
      <c r="I201" t="n">
        <v>1000</v>
      </c>
      <c r="J201" s="11">
        <f>J194</f>
        <v>0</v>
      </c>
      <c r="K201" t="n">
        <v>0</v>
      </c>
      <c r="L201" s="3" t="n"/>
    </row>
    <row r="202">
      <c r="A202" t="inlineStr">
        <is>
          <t>market for iron(III) chloride, without water, in 40% solution state</t>
        </is>
      </c>
      <c r="B202">
        <f>unallocated!B95/I202*J202</f>
        <v>0</v>
      </c>
      <c r="C202" t="inlineStr">
        <is>
          <t>GLO</t>
        </is>
      </c>
      <c r="D202" t="inlineStr">
        <is>
          <t>kilogram</t>
        </is>
      </c>
      <c r="F202" t="inlineStr">
        <is>
          <t>technosphere</t>
        </is>
      </c>
      <c r="G202" t="inlineStr">
        <is>
          <t>iron(III) chloride, without water, in 40% solution state</t>
        </is>
      </c>
      <c r="I202" t="n">
        <v>1000</v>
      </c>
      <c r="J202" s="11">
        <f>J194</f>
        <v>0</v>
      </c>
      <c r="K202" t="n">
        <v>0</v>
      </c>
      <c r="L202" s="3" t="n"/>
    </row>
    <row r="203">
      <c r="A203" t="inlineStr">
        <is>
          <t>market for lime, hydrated, packed</t>
        </is>
      </c>
      <c r="B203">
        <f>unallocated!B96/I203*J203</f>
        <v>0</v>
      </c>
      <c r="C203" t="inlineStr">
        <is>
          <t>RER</t>
        </is>
      </c>
      <c r="D203" t="inlineStr">
        <is>
          <t>kilogram</t>
        </is>
      </c>
      <c r="F203" t="inlineStr">
        <is>
          <t>technosphere</t>
        </is>
      </c>
      <c r="G203" t="inlineStr">
        <is>
          <t>lime, hydrated, packed</t>
        </is>
      </c>
      <c r="I203" t="n">
        <v>1000</v>
      </c>
      <c r="J203" s="11">
        <f>J194</f>
        <v>0</v>
      </c>
      <c r="K203" t="n">
        <v>0</v>
      </c>
      <c r="L203" s="3" t="n"/>
    </row>
    <row r="204">
      <c r="A204" t="inlineStr">
        <is>
          <t>market for sodium hydroxide, without water, in 50% solution state</t>
        </is>
      </c>
      <c r="B204">
        <f>unallocated!B97/I204*J204</f>
        <v>0</v>
      </c>
      <c r="C204" t="inlineStr">
        <is>
          <t>RER</t>
        </is>
      </c>
      <c r="D204" t="inlineStr">
        <is>
          <t>kilogram</t>
        </is>
      </c>
      <c r="F204" t="inlineStr">
        <is>
          <t>technosphere</t>
        </is>
      </c>
      <c r="G204" t="inlineStr">
        <is>
          <t>sodium hydroxide, without water, in 50% solution state</t>
        </is>
      </c>
      <c r="H204" t="inlineStr">
        <is>
          <t>50% liquid ammonia. In original publication, it is dilluated to 27% in water. We discount the original value by 50%.</t>
        </is>
      </c>
      <c r="I204" t="n">
        <v>1000</v>
      </c>
      <c r="J204" s="11">
        <f>J194</f>
        <v>0</v>
      </c>
      <c r="K204" t="n">
        <v>0</v>
      </c>
      <c r="L204" s="3" t="n"/>
    </row>
    <row r="205">
      <c r="A205" t="inlineStr">
        <is>
          <t>market for monoethanolamine</t>
        </is>
      </c>
      <c r="B205">
        <f>unallocated!B98/I205*J205</f>
        <v>0</v>
      </c>
      <c r="C205" t="inlineStr">
        <is>
          <t>GLO</t>
        </is>
      </c>
      <c r="D205" t="inlineStr">
        <is>
          <t>kilogram</t>
        </is>
      </c>
      <c r="F205" t="inlineStr">
        <is>
          <t>technosphere</t>
        </is>
      </c>
      <c r="G205" t="inlineStr">
        <is>
          <t>monoethanolamine</t>
        </is>
      </c>
      <c r="I205" t="n">
        <v>1000</v>
      </c>
      <c r="J205" s="11">
        <f>J194</f>
        <v>0</v>
      </c>
      <c r="K205" t="n">
        <v>0</v>
      </c>
      <c r="L205" s="3" t="n"/>
    </row>
    <row r="206">
      <c r="A206" t="inlineStr">
        <is>
          <t>municipal waste incineration facility construction</t>
        </is>
      </c>
      <c r="B206">
        <f>unallocated!B99/I206*J206</f>
        <v>0</v>
      </c>
      <c r="C206" t="inlineStr">
        <is>
          <t>CH</t>
        </is>
      </c>
      <c r="D206" t="inlineStr">
        <is>
          <t>unit</t>
        </is>
      </c>
      <c r="F206" t="inlineStr">
        <is>
          <t>technosphere</t>
        </is>
      </c>
      <c r="G206" t="inlineStr">
        <is>
          <t>municipal waste incineration facility</t>
        </is>
      </c>
      <c r="H206" t="inlineStr">
        <is>
          <t>Lifetime: 4'000'000 tons MSWI treated.</t>
        </is>
      </c>
      <c r="I206" t="n">
        <v>1000</v>
      </c>
      <c r="J206" s="11">
        <f>J194</f>
        <v>0</v>
      </c>
      <c r="K206" t="n">
        <v>0</v>
      </c>
      <c r="L206" s="3" t="n"/>
    </row>
    <row r="207">
      <c r="A207" t="inlineStr">
        <is>
          <t>Water, cooling, unspecified natural origin</t>
        </is>
      </c>
      <c r="B207">
        <f>unallocated!B100/I207*J207</f>
        <v>0</v>
      </c>
      <c r="D207" t="inlineStr">
        <is>
          <t>cubic meter</t>
        </is>
      </c>
      <c r="E207" t="inlineStr">
        <is>
          <t>natural resource::in water</t>
        </is>
      </c>
      <c r="F207" t="inlineStr">
        <is>
          <t>biosphere</t>
        </is>
      </c>
      <c r="I207" t="n">
        <v>1000</v>
      </c>
      <c r="J207" s="11">
        <f>J194</f>
        <v>0</v>
      </c>
      <c r="K207" t="n">
        <v>0</v>
      </c>
      <c r="L207" s="3" t="n"/>
    </row>
    <row r="208">
      <c r="A208" t="inlineStr">
        <is>
          <t>Sulfur dioxide</t>
        </is>
      </c>
      <c r="B208">
        <f>unallocated!B101/I208*J208</f>
        <v>0</v>
      </c>
      <c r="D208" t="inlineStr">
        <is>
          <t>kilogram</t>
        </is>
      </c>
      <c r="E208" t="inlineStr">
        <is>
          <t>air::urban air close to ground</t>
        </is>
      </c>
      <c r="F208" t="inlineStr">
        <is>
          <t>biosphere</t>
        </is>
      </c>
      <c r="I208" t="n">
        <v>1000</v>
      </c>
      <c r="J208" s="11">
        <f>J194</f>
        <v>0</v>
      </c>
      <c r="K208" t="n">
        <v>0</v>
      </c>
      <c r="L208" s="3" t="n"/>
    </row>
    <row r="209">
      <c r="A209" t="inlineStr">
        <is>
          <t>Hydrochloric acid</t>
        </is>
      </c>
      <c r="B209">
        <f>unallocated!B102/I209*J209</f>
        <v>0</v>
      </c>
      <c r="D209" t="inlineStr">
        <is>
          <t>kilogram</t>
        </is>
      </c>
      <c r="E209" t="inlineStr">
        <is>
          <t>air</t>
        </is>
      </c>
      <c r="F209" t="inlineStr">
        <is>
          <t>biosphere</t>
        </is>
      </c>
      <c r="I209" t="n">
        <v>1000</v>
      </c>
      <c r="J209" s="11">
        <f>J194</f>
        <v>0</v>
      </c>
      <c r="K209" t="n">
        <v>0</v>
      </c>
      <c r="L209" s="3" t="n"/>
    </row>
    <row r="210">
      <c r="A210" t="inlineStr">
        <is>
          <t>Nitrogen oxides</t>
        </is>
      </c>
      <c r="B210">
        <f>unallocated!B103/I210*J210</f>
        <v>0</v>
      </c>
      <c r="D210" t="inlineStr">
        <is>
          <t>kilogram</t>
        </is>
      </c>
      <c r="E210" t="inlineStr">
        <is>
          <t>air::urban air close to ground</t>
        </is>
      </c>
      <c r="F210" t="inlineStr">
        <is>
          <t>biosphere</t>
        </is>
      </c>
      <c r="I210" t="n">
        <v>1000</v>
      </c>
      <c r="J210" s="11">
        <f>J194</f>
        <v>0</v>
      </c>
      <c r="K210" t="n">
        <v>0</v>
      </c>
      <c r="L210" s="3" t="n"/>
    </row>
    <row r="211">
      <c r="A211" t="inlineStr">
        <is>
          <t>Ammonia</t>
        </is>
      </c>
      <c r="B211">
        <f>unallocated!B104/I211*J211</f>
        <v>0</v>
      </c>
      <c r="D211" t="inlineStr">
        <is>
          <t>kilogram</t>
        </is>
      </c>
      <c r="E211" t="inlineStr">
        <is>
          <t>air::urban air close to ground</t>
        </is>
      </c>
      <c r="F211" t="inlineStr">
        <is>
          <t>biosphere</t>
        </is>
      </c>
      <c r="I211" t="n">
        <v>1000</v>
      </c>
      <c r="J211" s="11">
        <f>J194</f>
        <v>0</v>
      </c>
      <c r="K211" t="n">
        <v>0</v>
      </c>
      <c r="L211" s="3" t="n"/>
    </row>
    <row r="212">
      <c r="A212" t="inlineStr">
        <is>
          <t>Particulate Matter, &lt; 2.5 um</t>
        </is>
      </c>
      <c r="B212">
        <f>unallocated!B105/I212*J212</f>
        <v>0</v>
      </c>
      <c r="D212" t="inlineStr">
        <is>
          <t>kilogram</t>
        </is>
      </c>
      <c r="E212" t="inlineStr">
        <is>
          <t>air::urban air close to ground</t>
        </is>
      </c>
      <c r="F212" t="inlineStr">
        <is>
          <t>biosphere</t>
        </is>
      </c>
      <c r="I212" t="n">
        <v>1000</v>
      </c>
      <c r="J212" s="11">
        <f>J194</f>
        <v>0</v>
      </c>
      <c r="K212" t="n">
        <v>0</v>
      </c>
      <c r="L212" s="3" t="n"/>
    </row>
    <row r="213">
      <c r="A213" t="inlineStr">
        <is>
          <t>Mercury II</t>
        </is>
      </c>
      <c r="B213">
        <f>unallocated!B106/I213*J213</f>
        <v>0</v>
      </c>
      <c r="D213" t="inlineStr">
        <is>
          <t>kilogram</t>
        </is>
      </c>
      <c r="E213" t="inlineStr">
        <is>
          <t>air::urban air close to ground</t>
        </is>
      </c>
      <c r="F213" t="inlineStr">
        <is>
          <t>biosphere</t>
        </is>
      </c>
      <c r="I213" t="n">
        <v>1000</v>
      </c>
      <c r="J213" s="11">
        <f>J194</f>
        <v>0</v>
      </c>
      <c r="K213" t="n">
        <v>0</v>
      </c>
      <c r="L213" s="3" t="n"/>
    </row>
    <row r="214">
      <c r="A214" t="inlineStr">
        <is>
          <t>Lead II</t>
        </is>
      </c>
      <c r="B214">
        <f>unallocated!B107/I214*J214</f>
        <v>0</v>
      </c>
      <c r="D214" t="inlineStr">
        <is>
          <t>kilogram</t>
        </is>
      </c>
      <c r="E214" t="inlineStr">
        <is>
          <t>air::urban air close to ground</t>
        </is>
      </c>
      <c r="F214" t="inlineStr">
        <is>
          <t>biosphere</t>
        </is>
      </c>
      <c r="I214" t="n">
        <v>1000</v>
      </c>
      <c r="J214" s="11">
        <f>J194</f>
        <v>0</v>
      </c>
      <c r="K214" t="n">
        <v>0</v>
      </c>
      <c r="L214" s="3" t="n"/>
    </row>
    <row r="215">
      <c r="A215" t="inlineStr">
        <is>
          <t>Cadmium II</t>
        </is>
      </c>
      <c r="B215">
        <f>unallocated!B108/I215*J215</f>
        <v>0</v>
      </c>
      <c r="D215" t="inlineStr">
        <is>
          <t>kilogram</t>
        </is>
      </c>
      <c r="E215" t="inlineStr">
        <is>
          <t>air::urban air close to ground</t>
        </is>
      </c>
      <c r="F215" t="inlineStr">
        <is>
          <t>biosphere</t>
        </is>
      </c>
      <c r="I215" t="n">
        <v>1000</v>
      </c>
      <c r="J215" s="11">
        <f>J194</f>
        <v>0</v>
      </c>
      <c r="K215" t="n">
        <v>0</v>
      </c>
      <c r="L215" s="3" t="n"/>
    </row>
    <row r="216">
      <c r="A216" t="inlineStr">
        <is>
          <t>Arsenic ion</t>
        </is>
      </c>
      <c r="B216">
        <f>unallocated!B109/I216*J216</f>
        <v>0</v>
      </c>
      <c r="D216" t="inlineStr">
        <is>
          <t>kilogram</t>
        </is>
      </c>
      <c r="E216" t="inlineStr">
        <is>
          <t>air::urban air close to ground</t>
        </is>
      </c>
      <c r="F216" t="inlineStr">
        <is>
          <t>biosphere</t>
        </is>
      </c>
      <c r="I216" t="n">
        <v>1000</v>
      </c>
      <c r="J216" s="11">
        <f>J194</f>
        <v>0</v>
      </c>
      <c r="K216" t="n">
        <v>0</v>
      </c>
      <c r="L216" s="3" t="n"/>
    </row>
    <row r="217">
      <c r="A217" t="inlineStr">
        <is>
          <t>Dioxins, measured as 2,3,7,8-tetrachlorodibenzo-p-dioxin</t>
        </is>
      </c>
      <c r="B217">
        <f>unallocated!B110/I217*J217</f>
        <v>0</v>
      </c>
      <c r="D217" t="inlineStr">
        <is>
          <t>kilogram</t>
        </is>
      </c>
      <c r="E217" t="inlineStr">
        <is>
          <t>air::urban air close to ground</t>
        </is>
      </c>
      <c r="F217" t="inlineStr">
        <is>
          <t>biosphere</t>
        </is>
      </c>
      <c r="I217" t="n">
        <v>1000</v>
      </c>
      <c r="J217" s="11">
        <f>J194</f>
        <v>0</v>
      </c>
      <c r="K217" t="n">
        <v>0</v>
      </c>
      <c r="L217" s="3" t="n"/>
    </row>
    <row r="218">
      <c r="A218" t="inlineStr">
        <is>
          <t>Carbon dioxide, fossil</t>
        </is>
      </c>
      <c r="B218">
        <f>unallocated!B111/I218*J218</f>
        <v>0</v>
      </c>
      <c r="D218" t="inlineStr">
        <is>
          <t>kilogram</t>
        </is>
      </c>
      <c r="E218" t="inlineStr">
        <is>
          <t>air::urban air close to ground</t>
        </is>
      </c>
      <c r="F218" t="inlineStr">
        <is>
          <t>biosphere</t>
        </is>
      </c>
      <c r="I218" t="n">
        <v>1000</v>
      </c>
      <c r="J218" s="11">
        <f>J194</f>
        <v>0</v>
      </c>
      <c r="K218" t="n">
        <v>0</v>
      </c>
      <c r="L218" s="3" t="n"/>
    </row>
    <row r="219">
      <c r="A219" t="inlineStr">
        <is>
          <t>Carbon dioxide, non-fossil</t>
        </is>
      </c>
      <c r="B219">
        <f>unallocated!B112/I219*J219</f>
        <v>0</v>
      </c>
      <c r="D219" t="inlineStr">
        <is>
          <t>kilogram</t>
        </is>
      </c>
      <c r="E219" t="inlineStr">
        <is>
          <t>air::urban air close to ground</t>
        </is>
      </c>
      <c r="F219" t="inlineStr">
        <is>
          <t>biosphere</t>
        </is>
      </c>
      <c r="I219" t="n">
        <v>1000</v>
      </c>
      <c r="J219" s="11">
        <f>J194</f>
        <v>0</v>
      </c>
      <c r="K219" t="n">
        <v>0</v>
      </c>
      <c r="L219" s="3" t="n"/>
    </row>
    <row r="220"/>
    <row r="221">
      <c r="A221" s="1" t="inlineStr">
        <is>
          <t>Activity</t>
        </is>
      </c>
      <c r="B221" s="1" t="inlineStr">
        <is>
          <t>municipal waste incineration, at incineration plant, with semi-dry air pollution control, with flue gas condensation, with electricity and heat recovery, exergy allocation</t>
        </is>
      </c>
    </row>
    <row r="222">
      <c r="A222" t="inlineStr">
        <is>
          <t>location</t>
        </is>
      </c>
      <c r="B222" t="inlineStr">
        <is>
          <t>RER</t>
        </is>
      </c>
    </row>
    <row r="223">
      <c r="A223" t="inlineStr">
        <is>
          <t>production amount</t>
        </is>
      </c>
      <c r="B223" t="n">
        <v>1</v>
      </c>
    </row>
    <row r="224">
      <c r="A224" s="2" t="inlineStr">
        <is>
          <t>source</t>
        </is>
      </c>
      <c r="B224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225">
      <c r="A225" t="inlineStr">
        <is>
          <t>reference product</t>
        </is>
      </c>
      <c r="B225" t="inlineStr">
        <is>
          <t>electricity, medium voltage</t>
        </is>
      </c>
    </row>
    <row r="226">
      <c r="A226" t="inlineStr">
        <is>
          <t>type</t>
        </is>
      </c>
      <c r="B226" t="inlineStr">
        <is>
          <t>process</t>
        </is>
      </c>
    </row>
    <row r="227">
      <c r="A227" t="inlineStr">
        <is>
          <t>unit</t>
        </is>
      </c>
      <c r="B227" t="inlineStr">
        <is>
          <t>kilowatt hour</t>
        </is>
      </c>
    </row>
    <row r="228">
      <c r="A228" t="inlineStr">
        <is>
          <t>comment</t>
        </is>
      </c>
      <c r="B228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623 kWh. Heat production per ton MSWI incinerated: 7'860 MJ.</t>
        </is>
      </c>
    </row>
    <row r="229">
      <c r="A229" s="1" t="inlineStr">
        <is>
          <t>Exchanges</t>
        </is>
      </c>
    </row>
    <row r="230">
      <c r="A230" s="7" t="inlineStr">
        <is>
          <t>name</t>
        </is>
      </c>
      <c r="B230" s="7" t="inlineStr">
        <is>
          <t>amount</t>
        </is>
      </c>
      <c r="C230" s="7" t="inlineStr">
        <is>
          <t>location</t>
        </is>
      </c>
      <c r="D230" s="7" t="inlineStr">
        <is>
          <t>unit</t>
        </is>
      </c>
      <c r="E230" s="7" t="inlineStr">
        <is>
          <t>categories</t>
        </is>
      </c>
      <c r="F230" s="7" t="inlineStr">
        <is>
          <t>type</t>
        </is>
      </c>
      <c r="G230" s="7" t="inlineStr">
        <is>
          <t>reference product</t>
        </is>
      </c>
      <c r="H230" s="7" t="inlineStr">
        <is>
          <t>comment</t>
        </is>
      </c>
      <c r="I230" s="7" t="inlineStr">
        <is>
          <t>normalization</t>
        </is>
      </c>
      <c r="J230" s="7" t="inlineStr">
        <is>
          <t>allocation</t>
        </is>
      </c>
      <c r="K230" s="7" t="inlineStr">
        <is>
          <t>uncertainty type</t>
        </is>
      </c>
      <c r="L230" s="7" t="inlineStr">
        <is>
          <t>loc</t>
        </is>
      </c>
      <c r="M230" s="1" t="inlineStr">
        <is>
          <t>u1</t>
        </is>
      </c>
      <c r="N230" s="1" t="inlineStr">
        <is>
          <t>u2</t>
        </is>
      </c>
      <c r="O230" s="1" t="inlineStr">
        <is>
          <t>u3</t>
        </is>
      </c>
      <c r="P230" s="1" t="inlineStr">
        <is>
          <t>u4</t>
        </is>
      </c>
      <c r="Q230" s="1" t="inlineStr">
        <is>
          <t>u5</t>
        </is>
      </c>
      <c r="R230" s="1" t="inlineStr">
        <is>
          <t>u6</t>
        </is>
      </c>
      <c r="S230" s="1" t="inlineStr">
        <is>
          <t>ub</t>
        </is>
      </c>
      <c r="T230" s="1" t="inlineStr">
        <is>
          <t>scale</t>
        </is>
      </c>
      <c r="U230" s="1" t="inlineStr">
        <is>
          <t>negative</t>
        </is>
      </c>
    </row>
    <row r="231">
      <c r="A231" t="inlineStr">
        <is>
          <t>municipal waste incineration, at incineration plant, with semi-dry air pollution control, with flue gas condensation, with electricity and heat recovery, exergy allocation</t>
        </is>
      </c>
      <c r="B231" t="n">
        <v>0</v>
      </c>
      <c r="C231" t="inlineStr">
        <is>
          <t>RER</t>
        </is>
      </c>
      <c r="D231" t="inlineStr">
        <is>
          <t>kilogram</t>
        </is>
      </c>
      <c r="F231" t="inlineStr">
        <is>
          <t>technosphere</t>
        </is>
      </c>
      <c r="G231" t="inlineStr">
        <is>
          <t>municipal solid waste</t>
        </is>
      </c>
      <c r="H231" t="inlineStr"/>
      <c r="I231" t="n">
        <v>623</v>
      </c>
      <c r="J231" s="14">
        <f>INDEX('allocation keys'!$I$4:$K$29,MATCH('allocated (exergy)'!$B$221,'allocation keys'!$B$4:$B$28,0),MATCH('allocated (exergy)'!$B$225,'allocation keys'!$I$3:$K$3,0))</f>
        <v>0.69264252670007154</v>
      </c>
      <c r="K231" t="n">
        <v>0</v>
      </c>
      <c r="M231" s="5" t="n"/>
      <c r="N231" s="5" t="n"/>
      <c r="O231" s="5" t="n"/>
      <c r="P231" s="5" t="n"/>
      <c r="Q231" s="5" t="n"/>
      <c r="R231" s="5" t="n"/>
    </row>
    <row r="232">
      <c r="A232" t="inlineStr">
        <is>
          <t>municipal waste incineration, at incineration plant, with semi-dry air pollution control, with flue gas condensation, with electricity and heat recovery, exergy allocation</t>
        </is>
      </c>
      <c r="B232" s="6" t="n">
        <v>1</v>
      </c>
      <c r="C232" t="inlineStr">
        <is>
          <t>RER</t>
        </is>
      </c>
      <c r="D232" t="inlineStr">
        <is>
          <t>kilowatt hour</t>
        </is>
      </c>
      <c r="F232" t="inlineStr">
        <is>
          <t>production</t>
        </is>
      </c>
      <c r="G232" t="inlineStr">
        <is>
          <t>electricity, medium voltage</t>
        </is>
      </c>
      <c r="H232" t="inlineStr"/>
      <c r="I232" t="n">
        <v>623</v>
      </c>
      <c r="J232" s="11">
        <f>J231</f>
        <v>0.69264252670007154</v>
      </c>
      <c r="K232" t="n">
        <v>0</v>
      </c>
      <c r="L232" s="3" t="n"/>
    </row>
    <row r="233">
      <c r="A233" t="inlineStr">
        <is>
          <t>municipal waste incineration, at incineration plant, with semi-dry air pollution control, with flue gas condensation, with electricity and heat recovery, exergy allocation</t>
        </is>
      </c>
      <c r="B233" t="n">
        <v>0</v>
      </c>
      <c r="C233" t="inlineStr">
        <is>
          <t>RER</t>
        </is>
      </c>
      <c r="D233" t="inlineStr">
        <is>
          <t>megajoule</t>
        </is>
      </c>
      <c r="F233" t="inlineStr">
        <is>
          <t>technosphere</t>
        </is>
      </c>
      <c r="G233" t="inlineStr">
        <is>
          <t>heat, district or industrial, other than natural gas</t>
        </is>
      </c>
      <c r="H233" t="inlineStr"/>
      <c r="I233" t="n">
        <v>623</v>
      </c>
      <c r="J233" s="11">
        <f>J231</f>
        <v>0.69264252670007154</v>
      </c>
      <c r="K233" t="n">
        <v>0</v>
      </c>
      <c r="L233" s="3" t="n"/>
    </row>
    <row r="234">
      <c r="A234" t="inlineStr">
        <is>
          <t>market for diesel, low-sulfur</t>
        </is>
      </c>
      <c r="B234">
        <f>unallocated!B90/I234*J234</f>
        <v>9.4501789357152622E-5</v>
      </c>
      <c r="C234" t="inlineStr">
        <is>
          <t>Europe without Switzerland</t>
        </is>
      </c>
      <c r="D234" t="inlineStr">
        <is>
          <t>kilogram</t>
        </is>
      </c>
      <c r="F234" t="inlineStr">
        <is>
          <t>technosphere</t>
        </is>
      </c>
      <c r="G234" t="inlineStr">
        <is>
          <t>diesel, low-sulfur</t>
        </is>
      </c>
      <c r="H234" t="inlineStr">
        <is>
          <t>Diesel density: 0.85 kg/l</t>
        </is>
      </c>
      <c r="I234" t="n">
        <v>623</v>
      </c>
      <c r="J234" s="11">
        <f>J231</f>
        <v>0.69264252670007154</v>
      </c>
      <c r="K234" t="n">
        <v>2</v>
      </c>
      <c r="L234" s="3">
        <f>LN(B234)</f>
        <v>-9.2668917886475182</v>
      </c>
      <c r="M234" t="n">
        <v>1</v>
      </c>
      <c r="N234" t="n">
        <v>1</v>
      </c>
      <c r="O234" t="n">
        <v>1</v>
      </c>
      <c r="P234" t="n">
        <v>1.02</v>
      </c>
      <c r="Q234" t="n">
        <v>1.2</v>
      </c>
      <c r="R234" t="n">
        <v>1</v>
      </c>
      <c r="S234" t="n">
        <v>1.05</v>
      </c>
      <c r="T234">
        <f>LN(SQRT(EXP(
SQRT(
+POWER(LN(M234),2)
+POWER(LN(N234),2)
+POWER(LN(O234),2)
+POWER(LN(P234),2)
+POWER(LN(Q234),2)
+POWER(LN(R234),2)
+POWER(LN(S234),2)
)
)))</f>
        <v>9.4886477223156879E-2</v>
      </c>
    </row>
    <row r="235">
      <c r="A235" t="inlineStr">
        <is>
          <t>market for activated carbon, granular</t>
        </is>
      </c>
      <c r="B235">
        <f>unallocated!B91/I235*J235</f>
        <v>4.4471430285718879E-4</v>
      </c>
      <c r="C235" t="inlineStr">
        <is>
          <t>GLO</t>
        </is>
      </c>
      <c r="D235" t="inlineStr">
        <is>
          <t>kilogram</t>
        </is>
      </c>
      <c r="F235" t="inlineStr">
        <is>
          <t>technosphere</t>
        </is>
      </c>
      <c r="G235" t="inlineStr">
        <is>
          <t>activated carbon, granular</t>
        </is>
      </c>
      <c r="I235" t="n">
        <v>623</v>
      </c>
      <c r="J235" s="11">
        <f>J231</f>
        <v>0.69264252670007154</v>
      </c>
      <c r="K235" t="n">
        <v>2</v>
      </c>
      <c r="L235" s="3">
        <f>LN(B235)</f>
        <v>-7.7180784980298522</v>
      </c>
      <c r="M235" t="n">
        <v>1</v>
      </c>
      <c r="N235" t="n">
        <v>1</v>
      </c>
      <c r="O235" t="n">
        <v>1</v>
      </c>
      <c r="P235" t="n">
        <v>1.02</v>
      </c>
      <c r="Q235" t="n">
        <v>1.2</v>
      </c>
      <c r="R235" t="n">
        <v>1</v>
      </c>
      <c r="S235" t="n">
        <v>1.05</v>
      </c>
      <c r="T235">
        <f>LN(SQRT(EXP(
SQRT(
+POWER(LN(M235),2)
+POWER(LN(N235),2)
+POWER(LN(O235),2)
+POWER(LN(P235),2)
+POWER(LN(Q235),2)
+POWER(LN(R235),2)
+POWER(LN(S235),2)
)
)))</f>
        <v>9.4886477223156879E-2</v>
      </c>
    </row>
    <row r="236">
      <c r="A236" t="inlineStr">
        <is>
          <t>market for ammonia, anhydrous, liquid</t>
        </is>
      </c>
      <c r="B236">
        <f>unallocated!B92/I236*J236</f>
        <v>1.0895500420001125E-3</v>
      </c>
      <c r="C236" t="inlineStr">
        <is>
          <t>RER</t>
        </is>
      </c>
      <c r="D236" t="inlineStr">
        <is>
          <t>kilogram</t>
        </is>
      </c>
      <c r="F236" t="inlineStr">
        <is>
          <t>technosphere</t>
        </is>
      </c>
      <c r="G236" t="inlineStr">
        <is>
          <t>ammonia, anhydrous, liquid</t>
        </is>
      </c>
      <c r="H236" t="inlineStr">
        <is>
          <t>100% liquid ammonia. In original publication, it is dilluated to 23.5% in water. We discount the original value by 75%.</t>
        </is>
      </c>
      <c r="I236" t="n">
        <v>623</v>
      </c>
      <c r="J236" s="11">
        <f>J231</f>
        <v>0.69264252670007154</v>
      </c>
      <c r="K236" t="n">
        <v>2</v>
      </c>
      <c r="L236" s="3">
        <f>LN(B236)</f>
        <v>-6.8219904734732166</v>
      </c>
      <c r="M236" t="n">
        <v>1</v>
      </c>
      <c r="N236" t="n">
        <v>1</v>
      </c>
      <c r="O236" t="n">
        <v>1</v>
      </c>
      <c r="P236" t="n">
        <v>1.02</v>
      </c>
      <c r="Q236" t="n">
        <v>1.2</v>
      </c>
      <c r="R236" t="n">
        <v>1</v>
      </c>
      <c r="S236" t="n">
        <v>1.05</v>
      </c>
      <c r="T236">
        <f>LN(SQRT(EXP(
SQRT(
+POWER(LN(M236),2)
+POWER(LN(N236),2)
+POWER(LN(O236),2)
+POWER(LN(P236),2)
+POWER(LN(Q236),2)
+POWER(LN(R236),2)
+POWER(LN(S236),2)
)
)))</f>
        <v>9.4886477223156879E-2</v>
      </c>
    </row>
    <row r="237">
      <c r="A237" t="inlineStr">
        <is>
          <t>market for tap water</t>
        </is>
      </c>
      <c r="B237">
        <f>unallocated!B93/I237*J237</f>
        <v>3.3575929865717756E-3</v>
      </c>
      <c r="C237" t="inlineStr">
        <is>
          <t>Europe without Switzerland</t>
        </is>
      </c>
      <c r="D237" t="inlineStr">
        <is>
          <t>kilogram</t>
        </is>
      </c>
      <c r="F237" t="inlineStr">
        <is>
          <t>technosphere</t>
        </is>
      </c>
      <c r="G237" t="inlineStr">
        <is>
          <t>tap water</t>
        </is>
      </c>
      <c r="H237" t="inlineStr">
        <is>
          <t>Used to dilute the ammonia.</t>
        </is>
      </c>
      <c r="I237" t="n">
        <v>623</v>
      </c>
      <c r="J237" s="11">
        <f>J231</f>
        <v>0.69264252670007154</v>
      </c>
      <c r="K237" t="n">
        <v>2</v>
      </c>
      <c r="L237" s="3">
        <f>LN(B237)</f>
        <v>-5.6965309347689193</v>
      </c>
      <c r="M237" t="n">
        <v>1</v>
      </c>
      <c r="N237" t="n">
        <v>1</v>
      </c>
      <c r="O237" t="n">
        <v>1</v>
      </c>
      <c r="P237" t="n">
        <v>1.02</v>
      </c>
      <c r="Q237" t="n">
        <v>1.2</v>
      </c>
      <c r="R237" t="n">
        <v>1</v>
      </c>
      <c r="S237" t="n">
        <v>1.05</v>
      </c>
      <c r="T237">
        <f>LN(SQRT(EXP(
SQRT(
+POWER(LN(M237),2)
+POWER(LN(N237),2)
+POWER(LN(O237),2)
+POWER(LN(P237),2)
+POWER(LN(Q237),2)
+POWER(LN(R237),2)
+POWER(LN(S237),2)
)
)))</f>
        <v>9.4886477223156879E-2</v>
      </c>
    </row>
    <row r="238">
      <c r="A238" t="inlineStr">
        <is>
          <t>market for calcium carbonate, precipitated</t>
        </is>
      </c>
      <c r="B238">
        <f>unallocated!B94/I238*J238</f>
        <v>0</v>
      </c>
      <c r="C238" t="inlineStr">
        <is>
          <t>RER</t>
        </is>
      </c>
      <c r="D238" t="inlineStr">
        <is>
          <t>kilogram</t>
        </is>
      </c>
      <c r="F238" t="inlineStr">
        <is>
          <t>technosphere</t>
        </is>
      </c>
      <c r="G238" t="inlineStr">
        <is>
          <t>calcium carbonate, precipitated</t>
        </is>
      </c>
      <c r="I238" t="n">
        <v>623</v>
      </c>
      <c r="J238" s="11">
        <f>J231</f>
        <v>0.69264252670007154</v>
      </c>
      <c r="K238" t="n">
        <v>0</v>
      </c>
      <c r="L238" s="3" t="n"/>
    </row>
    <row r="239">
      <c r="A239" t="inlineStr">
        <is>
          <t>market for iron(III) chloride, without water, in 40% solution state</t>
        </is>
      </c>
      <c r="B239">
        <f>unallocated!B95/I239*J239</f>
        <v>0</v>
      </c>
      <c r="C239" t="inlineStr">
        <is>
          <t>GLO</t>
        </is>
      </c>
      <c r="D239" t="inlineStr">
        <is>
          <t>kilogram</t>
        </is>
      </c>
      <c r="F239" t="inlineStr">
        <is>
          <t>technosphere</t>
        </is>
      </c>
      <c r="G239" t="inlineStr">
        <is>
          <t>iron(III) chloride, without water, in 40% solution state</t>
        </is>
      </c>
      <c r="I239" t="n">
        <v>623</v>
      </c>
      <c r="J239" s="11">
        <f>J231</f>
        <v>0.69264252670007154</v>
      </c>
      <c r="K239" t="n">
        <v>0</v>
      </c>
      <c r="L239" s="3" t="n"/>
    </row>
    <row r="240">
      <c r="A240" t="inlineStr">
        <is>
          <t>market for lime, hydrated, packed</t>
        </is>
      </c>
      <c r="B240">
        <f>unallocated!B96/I240*J240</f>
        <v>1.1117857571429718E-2</v>
      </c>
      <c r="C240" t="inlineStr">
        <is>
          <t>RER</t>
        </is>
      </c>
      <c r="D240" t="inlineStr">
        <is>
          <t>kilogram</t>
        </is>
      </c>
      <c r="F240" t="inlineStr">
        <is>
          <t>technosphere</t>
        </is>
      </c>
      <c r="G240" t="inlineStr">
        <is>
          <t>lime, hydrated, packed</t>
        </is>
      </c>
      <c r="I240" t="n">
        <v>623</v>
      </c>
      <c r="J240" s="11">
        <f>J231</f>
        <v>0.69264252670007154</v>
      </c>
      <c r="K240" t="n">
        <v>2</v>
      </c>
      <c r="L240" s="3">
        <f>LN(B240)</f>
        <v>-4.4992026731616521</v>
      </c>
      <c r="M240" t="n">
        <v>1</v>
      </c>
      <c r="N240" t="n">
        <v>1</v>
      </c>
      <c r="O240" t="n">
        <v>1</v>
      </c>
      <c r="P240" t="n">
        <v>1.02</v>
      </c>
      <c r="Q240" t="n">
        <v>1.2</v>
      </c>
      <c r="R240" t="n">
        <v>1</v>
      </c>
      <c r="S240" t="n">
        <v>1.05</v>
      </c>
      <c r="T240">
        <f>LN(SQRT(EXP(
SQRT(
+POWER(LN(M240),2)
+POWER(LN(N240),2)
+POWER(LN(O240),2)
+POWER(LN(P240),2)
+POWER(LN(Q240),2)
+POWER(LN(R240),2)
+POWER(LN(S240),2)
)
)))</f>
        <v>9.4886477223156879E-2</v>
      </c>
    </row>
    <row r="241">
      <c r="A241" t="inlineStr">
        <is>
          <t>market for sodium hydroxide, without water, in 50% solution state</t>
        </is>
      </c>
      <c r="B241">
        <f>unallocated!B97/I241*J241</f>
        <v>2.7794643928574298E-4</v>
      </c>
      <c r="C241" t="inlineStr">
        <is>
          <t>RER</t>
        </is>
      </c>
      <c r="D241" t="inlineStr">
        <is>
          <t>kilogram</t>
        </is>
      </c>
      <c r="F241" t="inlineStr">
        <is>
          <t>technosphere</t>
        </is>
      </c>
      <c r="G241" t="inlineStr">
        <is>
          <t>sodium hydroxide, without water, in 50% solution state</t>
        </is>
      </c>
      <c r="H241" t="inlineStr">
        <is>
          <t>50% liquid ammonia. In original publication, it is dilluated to 27% in water. We discount the original value by 50%.</t>
        </is>
      </c>
      <c r="I241" t="n">
        <v>623</v>
      </c>
      <c r="J241" s="11">
        <f>J231</f>
        <v>0.69264252670007154</v>
      </c>
      <c r="K241" t="n">
        <v>0</v>
      </c>
      <c r="L241" s="3" t="n"/>
    </row>
    <row r="242">
      <c r="A242" t="inlineStr">
        <is>
          <t>market for monoethanolamine</t>
        </is>
      </c>
      <c r="B242">
        <f>unallocated!B98/I242*J242</f>
        <v>0</v>
      </c>
      <c r="C242" t="inlineStr">
        <is>
          <t>GLO</t>
        </is>
      </c>
      <c r="D242" t="inlineStr">
        <is>
          <t>kilogram</t>
        </is>
      </c>
      <c r="F242" t="inlineStr">
        <is>
          <t>technosphere</t>
        </is>
      </c>
      <c r="G242" t="inlineStr">
        <is>
          <t>monoethanolamine</t>
        </is>
      </c>
      <c r="I242" t="n">
        <v>623</v>
      </c>
      <c r="J242" s="11">
        <f>J231</f>
        <v>0.69264252670007154</v>
      </c>
      <c r="K242" t="n">
        <v>0</v>
      </c>
      <c r="L242" s="3" t="n"/>
    </row>
    <row r="243">
      <c r="A243" t="inlineStr">
        <is>
          <t>municipal waste incineration facility construction</t>
        </is>
      </c>
      <c r="B243">
        <f>unallocated!B99/I243*J243</f>
        <v>2.7794643928574295E-10</v>
      </c>
      <c r="C243" t="inlineStr">
        <is>
          <t>CH</t>
        </is>
      </c>
      <c r="D243" t="inlineStr">
        <is>
          <t>unit</t>
        </is>
      </c>
      <c r="F243" t="inlineStr">
        <is>
          <t>technosphere</t>
        </is>
      </c>
      <c r="G243" t="inlineStr">
        <is>
          <t>municipal waste incineration facility</t>
        </is>
      </c>
      <c r="H243" t="inlineStr">
        <is>
          <t>Lifetime: 4'000'000 tons MSWI treated.</t>
        </is>
      </c>
      <c r="I243" t="n">
        <v>623</v>
      </c>
      <c r="J243" s="11">
        <f>J231</f>
        <v>0.69264252670007154</v>
      </c>
      <c r="K243" t="n">
        <v>2</v>
      </c>
      <c r="L243" s="3">
        <f>LN(B243)</f>
        <v>-22.003592685239862</v>
      </c>
      <c r="M243" t="n">
        <v>1</v>
      </c>
      <c r="N243" t="n">
        <v>1</v>
      </c>
      <c r="O243" t="n">
        <v>1</v>
      </c>
      <c r="P243" t="n">
        <v>1.02</v>
      </c>
      <c r="Q243" t="n">
        <v>1.2</v>
      </c>
      <c r="R243" t="n">
        <v>1</v>
      </c>
      <c r="S243" t="n">
        <v>3</v>
      </c>
      <c r="T243">
        <f>LN(SQRT(EXP(
SQRT(
+POWER(LN(M243),2)
+POWER(LN(N243),2)
+POWER(LN(O243),2)
+POWER(LN(P243),2)
+POWER(LN(Q243),2)
+POWER(LN(R243),2)
+POWER(LN(S243),2)
)
)))</f>
        <v>0.5569071410325479</v>
      </c>
    </row>
    <row r="244">
      <c r="A244" t="inlineStr">
        <is>
          <t>Water, cooling, unspecified natural origin</t>
        </is>
      </c>
      <c r="B244">
        <f>unallocated!B100/I244*J244</f>
        <v>0</v>
      </c>
      <c r="D244" t="inlineStr">
        <is>
          <t>cubic meter</t>
        </is>
      </c>
      <c r="E244" t="inlineStr">
        <is>
          <t>natural resource::in water</t>
        </is>
      </c>
      <c r="F244" t="inlineStr">
        <is>
          <t>biosphere</t>
        </is>
      </c>
      <c r="I244" t="n">
        <v>623</v>
      </c>
      <c r="J244" s="11">
        <f>J231</f>
        <v>0.69264252670007154</v>
      </c>
      <c r="K244" t="n">
        <v>0</v>
      </c>
      <c r="L244" s="3" t="n"/>
    </row>
    <row r="245">
      <c r="A245" t="inlineStr">
        <is>
          <t>Sulfur dioxide</t>
        </is>
      </c>
      <c r="B245">
        <f>unallocated!B101/I245*J245</f>
        <v>6.6707145428578317E-6</v>
      </c>
      <c r="D245" t="inlineStr">
        <is>
          <t>kilogram</t>
        </is>
      </c>
      <c r="E245" t="inlineStr">
        <is>
          <t>air::urban air close to ground</t>
        </is>
      </c>
      <c r="F245" t="inlineStr">
        <is>
          <t>biosphere</t>
        </is>
      </c>
      <c r="I245" t="n">
        <v>623</v>
      </c>
      <c r="J245" s="11">
        <f>J231</f>
        <v>0.69264252670007154</v>
      </c>
      <c r="K245" t="n">
        <v>2</v>
      </c>
      <c r="L245" s="3">
        <f>LN(B245)</f>
        <v>-11.917783575909779</v>
      </c>
      <c r="M245" t="n">
        <v>1</v>
      </c>
      <c r="N245" t="n">
        <v>1</v>
      </c>
      <c r="O245" t="n">
        <v>1</v>
      </c>
      <c r="P245" t="n">
        <v>1.02</v>
      </c>
      <c r="Q245" t="n">
        <v>1.2</v>
      </c>
      <c r="R245" t="n">
        <v>1</v>
      </c>
      <c r="S245" t="n">
        <v>1.05</v>
      </c>
      <c r="T245">
        <f>LN(SQRT(EXP(
SQRT(
+POWER(LN(M245),2)
+POWER(LN(N245),2)
+POWER(LN(O245),2)
+POWER(LN(P245),2)
+POWER(LN(Q245),2)
+POWER(LN(R245),2)
+POWER(LN(S245),2)
)
)))</f>
        <v>9.4886477223156879E-2</v>
      </c>
    </row>
    <row r="246">
      <c r="A246" t="inlineStr">
        <is>
          <t>Hydrochloric acid</t>
        </is>
      </c>
      <c r="B246">
        <f>unallocated!B102/I246*J246</f>
        <v>3.3353572714289159E-6</v>
      </c>
      <c r="D246" t="inlineStr">
        <is>
          <t>kilogram</t>
        </is>
      </c>
      <c r="E246" t="inlineStr">
        <is>
          <t>air</t>
        </is>
      </c>
      <c r="F246" t="inlineStr">
        <is>
          <t>biosphere</t>
        </is>
      </c>
      <c r="I246" t="n">
        <v>623</v>
      </c>
      <c r="J246" s="11">
        <f>J231</f>
        <v>0.69264252670007154</v>
      </c>
      <c r="K246" t="n">
        <v>2</v>
      </c>
      <c r="L246" s="3">
        <f>LN(B246)</f>
        <v>-12.610930756469724</v>
      </c>
      <c r="M246" t="n">
        <v>1</v>
      </c>
      <c r="N246" t="n">
        <v>1</v>
      </c>
      <c r="O246" t="n">
        <v>1</v>
      </c>
      <c r="P246" t="n">
        <v>1.02</v>
      </c>
      <c r="Q246" t="n">
        <v>1.2</v>
      </c>
      <c r="R246" t="n">
        <v>1</v>
      </c>
      <c r="S246" t="n">
        <v>1.5</v>
      </c>
      <c r="T246">
        <f>LN(SQRT(EXP(
SQRT(
+POWER(LN(M246),2)
+POWER(LN(N246),2)
+POWER(LN(O246),2)
+POWER(LN(P246),2)
+POWER(LN(Q246),2)
+POWER(LN(R246),2)
+POWER(LN(S246),2)
)
)))</f>
        <v>0.22250575723605889</v>
      </c>
    </row>
    <row r="247">
      <c r="A247" t="inlineStr">
        <is>
          <t>Nitrogen oxides</t>
        </is>
      </c>
      <c r="B247">
        <f>unallocated!B103/I247*J247</f>
        <v>7.5267895758579203E-4</v>
      </c>
      <c r="D247" t="inlineStr">
        <is>
          <t>kilogram</t>
        </is>
      </c>
      <c r="E247" t="inlineStr">
        <is>
          <t>air::urban air close to ground</t>
        </is>
      </c>
      <c r="F247" t="inlineStr">
        <is>
          <t>biosphere</t>
        </is>
      </c>
      <c r="I247" t="n">
        <v>623</v>
      </c>
      <c r="J247" s="11">
        <f>J231</f>
        <v>0.69264252670007154</v>
      </c>
      <c r="K247" t="n">
        <v>2</v>
      </c>
      <c r="L247" s="3">
        <f>LN(B247)</f>
        <v>-7.191871772225559</v>
      </c>
      <c r="M247" t="n">
        <v>1</v>
      </c>
      <c r="N247" t="n">
        <v>1</v>
      </c>
      <c r="O247" t="n">
        <v>1</v>
      </c>
      <c r="P247" t="n">
        <v>1.02</v>
      </c>
      <c r="Q247" t="n">
        <v>1.2</v>
      </c>
      <c r="R247" t="n">
        <v>1</v>
      </c>
      <c r="S247" t="n">
        <v>1.5</v>
      </c>
      <c r="T247">
        <f>LN(SQRT(EXP(
SQRT(
+POWER(LN(M247),2)
+POWER(LN(N247),2)
+POWER(LN(O247),2)
+POWER(LN(P247),2)
+POWER(LN(Q247),2)
+POWER(LN(R247),2)
+POWER(LN(S247),2)
)
)))</f>
        <v>0.22250575723605889</v>
      </c>
    </row>
    <row r="248">
      <c r="A248" t="inlineStr">
        <is>
          <t>Ammonia</t>
        </is>
      </c>
      <c r="B248">
        <f>unallocated!B104/I248*J248</f>
        <v>1.111785757142972E-6</v>
      </c>
      <c r="D248" t="inlineStr">
        <is>
          <t>kilogram</t>
        </is>
      </c>
      <c r="E248" t="inlineStr">
        <is>
          <t>air::urban air close to ground</t>
        </is>
      </c>
      <c r="F248" t="inlineStr">
        <is>
          <t>biosphere</t>
        </is>
      </c>
      <c r="I248" t="n">
        <v>623</v>
      </c>
      <c r="J248" s="11">
        <f>J231</f>
        <v>0.69264252670007154</v>
      </c>
      <c r="K248" t="n">
        <v>2</v>
      </c>
      <c r="L248" s="3">
        <f>LN(B248)</f>
        <v>-13.709543045137835</v>
      </c>
      <c r="M248" t="n">
        <v>1</v>
      </c>
      <c r="N248" t="n">
        <v>1</v>
      </c>
      <c r="O248" t="n">
        <v>1</v>
      </c>
      <c r="P248" t="n">
        <v>1.02</v>
      </c>
      <c r="Q248" t="n">
        <v>1.2</v>
      </c>
      <c r="R248" t="n">
        <v>1</v>
      </c>
      <c r="S248" t="n">
        <v>1.5</v>
      </c>
      <c r="T248">
        <f>LN(SQRT(EXP(
SQRT(
+POWER(LN(M248),2)
+POWER(LN(N248),2)
+POWER(LN(O248),2)
+POWER(LN(P248),2)
+POWER(LN(Q248),2)
+POWER(LN(R248),2)
+POWER(LN(S248),2)
)
)))</f>
        <v>0.22250575723605889</v>
      </c>
    </row>
    <row r="249">
      <c r="A249" t="inlineStr">
        <is>
          <t>Particulate Matter, &lt; 2.5 um</t>
        </is>
      </c>
      <c r="B249">
        <f>unallocated!B105/I249*J249</f>
        <v>6.6707145428578317E-6</v>
      </c>
      <c r="D249" t="inlineStr">
        <is>
          <t>kilogram</t>
        </is>
      </c>
      <c r="E249" t="inlineStr">
        <is>
          <t>air::urban air close to ground</t>
        </is>
      </c>
      <c r="F249" t="inlineStr">
        <is>
          <t>biosphere</t>
        </is>
      </c>
      <c r="I249" t="n">
        <v>623</v>
      </c>
      <c r="J249" s="11">
        <f>J231</f>
        <v>0.69264252670007154</v>
      </c>
      <c r="K249" t="n">
        <v>2</v>
      </c>
      <c r="L249" s="3">
        <f>LN(B249)</f>
        <v>-11.917783575909779</v>
      </c>
      <c r="M249" t="n">
        <v>1</v>
      </c>
      <c r="N249" t="n">
        <v>1</v>
      </c>
      <c r="O249" t="n">
        <v>1</v>
      </c>
      <c r="P249" t="n">
        <v>1.02</v>
      </c>
      <c r="Q249" t="n">
        <v>1.2</v>
      </c>
      <c r="R249" t="n">
        <v>1</v>
      </c>
      <c r="S249" t="n">
        <v>3</v>
      </c>
      <c r="T249">
        <f>LN(SQRT(EXP(
SQRT(
+POWER(LN(M249),2)
+POWER(LN(N249),2)
+POWER(LN(O249),2)
+POWER(LN(P249),2)
+POWER(LN(Q249),2)
+POWER(LN(R249),2)
+POWER(LN(S249),2)
)
)))</f>
        <v>0.5569071410325479</v>
      </c>
    </row>
    <row r="250">
      <c r="A250" t="inlineStr">
        <is>
          <t>Mercury II</t>
        </is>
      </c>
      <c r="B250">
        <f>unallocated!B106/I250*J250</f>
        <v>6.6707145428578321E-9</v>
      </c>
      <c r="D250" t="inlineStr">
        <is>
          <t>kilogram</t>
        </is>
      </c>
      <c r="E250" t="inlineStr">
        <is>
          <t>air::urban air close to ground</t>
        </is>
      </c>
      <c r="F250" t="inlineStr">
        <is>
          <t>biosphere</t>
        </is>
      </c>
      <c r="I250" t="n">
        <v>623</v>
      </c>
      <c r="J250" s="11">
        <f>J231</f>
        <v>0.69264252670007154</v>
      </c>
      <c r="K250" t="n">
        <v>2</v>
      </c>
      <c r="L250" s="3">
        <f>LN(B250)</f>
        <v>-18.825538854891917</v>
      </c>
      <c r="M250" t="n">
        <v>1</v>
      </c>
      <c r="N250" t="n">
        <v>1</v>
      </c>
      <c r="O250" t="n">
        <v>1</v>
      </c>
      <c r="P250" t="n">
        <v>1.02</v>
      </c>
      <c r="Q250" t="n">
        <v>1.2</v>
      </c>
      <c r="R250" t="n">
        <v>1</v>
      </c>
      <c r="S250" t="n">
        <v>5</v>
      </c>
      <c r="T250">
        <f>LN(SQRT(EXP(
SQRT(
+POWER(LN(M250),2)
+POWER(LN(N250),2)
+POWER(LN(O250),2)
+POWER(LN(P250),2)
+POWER(LN(Q250),2)
+POWER(LN(R250),2)
+POWER(LN(S250),2)
)
)))</f>
        <v>0.80992649174166365</v>
      </c>
    </row>
    <row r="251">
      <c r="A251" t="inlineStr">
        <is>
          <t>Lead II</t>
        </is>
      </c>
      <c r="B251">
        <f>unallocated!B107/I251*J251</f>
        <v>6.6707145428578321E-9</v>
      </c>
      <c r="D251" t="inlineStr">
        <is>
          <t>kilogram</t>
        </is>
      </c>
      <c r="E251" t="inlineStr">
        <is>
          <t>air::urban air close to ground</t>
        </is>
      </c>
      <c r="F251" t="inlineStr">
        <is>
          <t>biosphere</t>
        </is>
      </c>
      <c r="I251" t="n">
        <v>623</v>
      </c>
      <c r="J251" s="11">
        <f>J231</f>
        <v>0.69264252670007154</v>
      </c>
      <c r="K251" t="n">
        <v>2</v>
      </c>
      <c r="L251" s="3">
        <f>LN(B251)</f>
        <v>-18.825538854891917</v>
      </c>
      <c r="M251" t="n">
        <v>1</v>
      </c>
      <c r="N251" t="n">
        <v>1</v>
      </c>
      <c r="O251" t="n">
        <v>1</v>
      </c>
      <c r="P251" t="n">
        <v>1.02</v>
      </c>
      <c r="Q251" t="n">
        <v>1.2</v>
      </c>
      <c r="R251" t="n">
        <v>1</v>
      </c>
      <c r="S251" t="n">
        <v>5</v>
      </c>
      <c r="T251">
        <f>LN(SQRT(EXP(
SQRT(
+POWER(LN(M251),2)
+POWER(LN(N251),2)
+POWER(LN(O251),2)
+POWER(LN(P251),2)
+POWER(LN(Q251),2)
+POWER(LN(R251),2)
+POWER(LN(S251),2)
)
)))</f>
        <v>0.80992649174166365</v>
      </c>
    </row>
    <row r="252">
      <c r="A252" t="inlineStr">
        <is>
          <t>Cadmium II</t>
        </is>
      </c>
      <c r="B252">
        <f>unallocated!B108/I252*J252</f>
        <v>3.335357271428916E-9</v>
      </c>
      <c r="D252" t="inlineStr">
        <is>
          <t>kilogram</t>
        </is>
      </c>
      <c r="E252" t="inlineStr">
        <is>
          <t>air::urban air close to ground</t>
        </is>
      </c>
      <c r="F252" t="inlineStr">
        <is>
          <t>biosphere</t>
        </is>
      </c>
      <c r="I252" t="n">
        <v>623</v>
      </c>
      <c r="J252" s="11">
        <f>J231</f>
        <v>0.69264252670007154</v>
      </c>
      <c r="K252" t="n">
        <v>2</v>
      </c>
      <c r="L252" s="3">
        <f>LN(B252)</f>
        <v>-19.518686035451861</v>
      </c>
      <c r="M252" t="n">
        <v>1</v>
      </c>
      <c r="N252" t="n">
        <v>1</v>
      </c>
      <c r="O252" t="n">
        <v>1</v>
      </c>
      <c r="P252" t="n">
        <v>1.02</v>
      </c>
      <c r="Q252" t="n">
        <v>1.2</v>
      </c>
      <c r="R252" t="n">
        <v>1</v>
      </c>
      <c r="S252" t="n">
        <v>5</v>
      </c>
      <c r="T252">
        <f>LN(SQRT(EXP(
SQRT(
+POWER(LN(M252),2)
+POWER(LN(N252),2)
+POWER(LN(O252),2)
+POWER(LN(P252),2)
+POWER(LN(Q252),2)
+POWER(LN(R252),2)
+POWER(LN(S252),2)
)
)))</f>
        <v>0.80992649174166365</v>
      </c>
    </row>
    <row r="253">
      <c r="A253" t="inlineStr">
        <is>
          <t>Arsenic ion</t>
        </is>
      </c>
      <c r="B253">
        <f>unallocated!B109/I253*J253</f>
        <v>3.335357271428916E-9</v>
      </c>
      <c r="D253" t="inlineStr">
        <is>
          <t>kilogram</t>
        </is>
      </c>
      <c r="E253" t="inlineStr">
        <is>
          <t>air::urban air close to ground</t>
        </is>
      </c>
      <c r="F253" t="inlineStr">
        <is>
          <t>biosphere</t>
        </is>
      </c>
      <c r="I253" t="n">
        <v>623</v>
      </c>
      <c r="J253" s="11">
        <f>J231</f>
        <v>0.69264252670007154</v>
      </c>
      <c r="K253" t="n">
        <v>2</v>
      </c>
      <c r="L253" s="3">
        <f>LN(B253)</f>
        <v>-19.518686035451861</v>
      </c>
      <c r="M253" t="n">
        <v>1</v>
      </c>
      <c r="N253" t="n">
        <v>1</v>
      </c>
      <c r="O253" t="n">
        <v>1</v>
      </c>
      <c r="P253" t="n">
        <v>1.02</v>
      </c>
      <c r="Q253" t="n">
        <v>1.2</v>
      </c>
      <c r="R253" t="n">
        <v>1</v>
      </c>
      <c r="S253" t="n">
        <v>5</v>
      </c>
      <c r="T253">
        <f>LN(SQRT(EXP(
SQRT(
+POWER(LN(M253),2)
+POWER(LN(N253),2)
+POWER(LN(O253),2)
+POWER(LN(P253),2)
+POWER(LN(Q253),2)
+POWER(LN(R253),2)
+POWER(LN(S253),2)
)
)))</f>
        <v>0.80992649174166365</v>
      </c>
    </row>
    <row r="254">
      <c r="A254" t="inlineStr">
        <is>
          <t>Dioxins, measured as 2,3,7,8-tetrachlorodibenzo-p-dioxin</t>
        </is>
      </c>
      <c r="B254">
        <f>unallocated!B110/I254*J254</f>
        <v>1.2229643328572693E-13</v>
      </c>
      <c r="D254" t="inlineStr">
        <is>
          <t>kilogram</t>
        </is>
      </c>
      <c r="E254" t="inlineStr">
        <is>
          <t>air::urban air close to ground</t>
        </is>
      </c>
      <c r="F254" t="inlineStr">
        <is>
          <t>biosphere</t>
        </is>
      </c>
      <c r="I254" t="n">
        <v>623</v>
      </c>
      <c r="J254" s="11">
        <f>J231</f>
        <v>0.69264252670007154</v>
      </c>
      <c r="K254" t="n">
        <v>2</v>
      </c>
      <c r="L254" s="3">
        <f>LN(B254)</f>
        <v>-29.73232851629183</v>
      </c>
      <c r="M254" t="n">
        <v>1</v>
      </c>
      <c r="N254" t="n">
        <v>1</v>
      </c>
      <c r="O254" t="n">
        <v>1</v>
      </c>
      <c r="P254" t="n">
        <v>1.02</v>
      </c>
      <c r="Q254" t="n">
        <v>1.2</v>
      </c>
      <c r="R254" t="n">
        <v>1</v>
      </c>
      <c r="S254" t="n">
        <v>5</v>
      </c>
      <c r="T254">
        <f>LN(SQRT(EXP(
SQRT(
+POWER(LN(M254),2)
+POWER(LN(N254),2)
+POWER(LN(O254),2)
+POWER(LN(P254),2)
+POWER(LN(Q254),2)
+POWER(LN(R254),2)
+POWER(LN(S254),2)
)
)))</f>
        <v>0.80992649174166365</v>
      </c>
    </row>
    <row r="255">
      <c r="A255" t="inlineStr">
        <is>
          <t>Carbon dioxide, fossil</t>
        </is>
      </c>
      <c r="B255">
        <f>unallocated!B111/I255*J255</f>
        <v>0.4158078731714715</v>
      </c>
      <c r="D255" t="inlineStr">
        <is>
          <t>kilogram</t>
        </is>
      </c>
      <c r="E255" t="inlineStr">
        <is>
          <t>air::urban air close to ground</t>
        </is>
      </c>
      <c r="F255" t="inlineStr">
        <is>
          <t>biosphere</t>
        </is>
      </c>
      <c r="I255" t="n">
        <v>623</v>
      </c>
      <c r="J255" s="11">
        <f>J231</f>
        <v>0.69264252670007154</v>
      </c>
      <c r="K255" t="n">
        <v>2</v>
      </c>
      <c r="L255" s="3">
        <f>LN(B255)</f>
        <v>-0.87753196874116535</v>
      </c>
      <c r="M255" t="n">
        <v>1</v>
      </c>
      <c r="N255" t="n">
        <v>1</v>
      </c>
      <c r="O255" t="n">
        <v>1</v>
      </c>
      <c r="P255" t="n">
        <v>1.02</v>
      </c>
      <c r="Q255" t="n">
        <v>1.2</v>
      </c>
      <c r="R255" t="n">
        <v>1</v>
      </c>
      <c r="S255" t="n">
        <v>1.05</v>
      </c>
      <c r="T255">
        <f>LN(SQRT(EXP(
SQRT(
+POWER(LN(M255),2)
+POWER(LN(N255),2)
+POWER(LN(O255),2)
+POWER(LN(P255),2)
+POWER(LN(Q255),2)
+POWER(LN(R255),2)
+POWER(LN(S255),2)
)
)))</f>
        <v>9.4886477223156879E-2</v>
      </c>
    </row>
    <row r="256">
      <c r="A256" t="inlineStr">
        <is>
          <t>Carbon dioxide, non-fossil</t>
        </is>
      </c>
      <c r="B256">
        <f>unallocated!B112/I256*J256</f>
        <v>0.66040073974292535</v>
      </c>
      <c r="D256" t="inlineStr">
        <is>
          <t>kilogram</t>
        </is>
      </c>
      <c r="E256" t="inlineStr">
        <is>
          <t>air::urban air close to ground</t>
        </is>
      </c>
      <c r="F256" t="inlineStr">
        <is>
          <t>biosphere</t>
        </is>
      </c>
      <c r="I256" t="n">
        <v>623</v>
      </c>
      <c r="J256" s="11">
        <f>J231</f>
        <v>0.69264252670007154</v>
      </c>
      <c r="K256" t="n">
        <v>2</v>
      </c>
      <c r="L256" s="3">
        <f>LN(B256)</f>
        <v>-0.41490844679305228</v>
      </c>
      <c r="M256" t="n">
        <v>1</v>
      </c>
      <c r="N256" t="n">
        <v>1</v>
      </c>
      <c r="O256" t="n">
        <v>1</v>
      </c>
      <c r="P256" t="n">
        <v>1.02</v>
      </c>
      <c r="Q256" t="n">
        <v>1.2</v>
      </c>
      <c r="R256" t="n">
        <v>1</v>
      </c>
      <c r="S256" t="n">
        <v>1.05</v>
      </c>
      <c r="T256">
        <f>LN(SQRT(EXP(
SQRT(
+POWER(LN(M256),2)
+POWER(LN(N256),2)
+POWER(LN(O256),2)
+POWER(LN(P256),2)
+POWER(LN(Q256),2)
+POWER(LN(R256),2)
+POWER(LN(S256),2)
)
)))</f>
        <v>9.4886477223156879E-2</v>
      </c>
    </row>
    <row r="257"/>
    <row r="258">
      <c r="A258" s="1" t="inlineStr">
        <is>
          <t>Activity</t>
        </is>
      </c>
      <c r="B258" s="1" t="inlineStr">
        <is>
          <t>municipal waste incineration, at incineration plant, with semi-dry air pollution control, with flue gas condensation, with electricity and heat recovery, exergy allocation</t>
        </is>
      </c>
    </row>
    <row r="259">
      <c r="A259" t="inlineStr">
        <is>
          <t>location</t>
        </is>
      </c>
      <c r="B259" t="inlineStr">
        <is>
          <t>RER</t>
        </is>
      </c>
    </row>
    <row r="260">
      <c r="A260" t="inlineStr">
        <is>
          <t>production amount</t>
        </is>
      </c>
      <c r="B260" t="n">
        <v>1</v>
      </c>
    </row>
    <row r="261">
      <c r="A261" s="2" t="inlineStr">
        <is>
          <t>source</t>
        </is>
      </c>
      <c r="B261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262">
      <c r="A262" t="inlineStr">
        <is>
          <t>reference product</t>
        </is>
      </c>
      <c r="B262" t="inlineStr">
        <is>
          <t>heat, district or industrial, other than natural gas</t>
        </is>
      </c>
    </row>
    <row r="263">
      <c r="A263" t="inlineStr">
        <is>
          <t>type</t>
        </is>
      </c>
      <c r="B263" t="inlineStr">
        <is>
          <t>process</t>
        </is>
      </c>
    </row>
    <row r="264">
      <c r="A264" t="inlineStr">
        <is>
          <t>unit</t>
        </is>
      </c>
      <c r="B264" t="inlineStr">
        <is>
          <t>megajoule</t>
        </is>
      </c>
    </row>
    <row r="265">
      <c r="A265" t="inlineStr">
        <is>
          <t>comment</t>
        </is>
      </c>
      <c r="B265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623 kWh. Heat production per ton MSWI incinerated: 7'860 MJ.</t>
        </is>
      </c>
    </row>
    <row r="266">
      <c r="A266" s="1" t="inlineStr">
        <is>
          <t>Exchanges</t>
        </is>
      </c>
    </row>
    <row r="267">
      <c r="A267" s="7" t="inlineStr">
        <is>
          <t>name</t>
        </is>
      </c>
      <c r="B267" s="7" t="inlineStr">
        <is>
          <t>amount</t>
        </is>
      </c>
      <c r="C267" s="7" t="inlineStr">
        <is>
          <t>location</t>
        </is>
      </c>
      <c r="D267" s="7" t="inlineStr">
        <is>
          <t>unit</t>
        </is>
      </c>
      <c r="E267" s="7" t="inlineStr">
        <is>
          <t>categories</t>
        </is>
      </c>
      <c r="F267" s="7" t="inlineStr">
        <is>
          <t>type</t>
        </is>
      </c>
      <c r="G267" s="7" t="inlineStr">
        <is>
          <t>reference product</t>
        </is>
      </c>
      <c r="H267" s="7" t="inlineStr">
        <is>
          <t>comment</t>
        </is>
      </c>
      <c r="I267" s="7" t="inlineStr">
        <is>
          <t>normalization</t>
        </is>
      </c>
      <c r="J267" s="7" t="inlineStr">
        <is>
          <t>allocation</t>
        </is>
      </c>
      <c r="K267" s="7" t="inlineStr">
        <is>
          <t>uncertainty type</t>
        </is>
      </c>
      <c r="L267" s="7" t="inlineStr">
        <is>
          <t>loc</t>
        </is>
      </c>
      <c r="M267" s="1" t="inlineStr">
        <is>
          <t>u1</t>
        </is>
      </c>
      <c r="N267" s="1" t="inlineStr">
        <is>
          <t>u2</t>
        </is>
      </c>
      <c r="O267" s="1" t="inlineStr">
        <is>
          <t>u3</t>
        </is>
      </c>
      <c r="P267" s="1" t="inlineStr">
        <is>
          <t>u4</t>
        </is>
      </c>
      <c r="Q267" s="1" t="inlineStr">
        <is>
          <t>u5</t>
        </is>
      </c>
      <c r="R267" s="1" t="inlineStr">
        <is>
          <t>u6</t>
        </is>
      </c>
      <c r="S267" s="1" t="inlineStr">
        <is>
          <t>ub</t>
        </is>
      </c>
      <c r="T267" s="1" t="inlineStr">
        <is>
          <t>scale</t>
        </is>
      </c>
      <c r="U267" s="1" t="inlineStr">
        <is>
          <t>negative</t>
        </is>
      </c>
    </row>
    <row r="268">
      <c r="A268" t="inlineStr">
        <is>
          <t>municipal waste incineration, at incineration plant, with semi-dry air pollution control, with flue gas condensation, with electricity and heat recovery, exergy allocation</t>
        </is>
      </c>
      <c r="B268" t="n">
        <v>0</v>
      </c>
      <c r="C268" t="inlineStr">
        <is>
          <t>RER</t>
        </is>
      </c>
      <c r="D268" t="inlineStr">
        <is>
          <t>kilogram</t>
        </is>
      </c>
      <c r="F268" t="inlineStr">
        <is>
          <t>technosphere</t>
        </is>
      </c>
      <c r="G268" t="inlineStr">
        <is>
          <t>municipal solid waste</t>
        </is>
      </c>
      <c r="H268" t="inlineStr"/>
      <c r="I268" t="n">
        <v>7860</v>
      </c>
      <c r="J268" s="14">
        <f>INDEX('allocation keys'!$I$4:$K$29,MATCH('allocated (exergy)'!$B$258,'allocation keys'!$B$4:$B$28,0),MATCH('allocated (exergy)'!$B$262,'allocation keys'!$I$3:$K$3,0))</f>
        <v>0.30735747329992852</v>
      </c>
      <c r="K268" t="n">
        <v>0</v>
      </c>
      <c r="M268" s="5" t="n"/>
      <c r="N268" s="5" t="n"/>
      <c r="O268" s="5" t="n"/>
      <c r="P268" s="5" t="n"/>
      <c r="Q268" s="5" t="n"/>
      <c r="R268" s="5" t="n"/>
    </row>
    <row r="269">
      <c r="A269" t="inlineStr">
        <is>
          <t>municipal waste incineration, at incineration plant, with semi-dry air pollution control, with flue gas condensation, with electricity and heat recovery, exergy allocation</t>
        </is>
      </c>
      <c r="B269" s="6" t="n">
        <v>0</v>
      </c>
      <c r="C269" t="inlineStr">
        <is>
          <t>RER</t>
        </is>
      </c>
      <c r="D269" t="inlineStr">
        <is>
          <t>kilowatt hour</t>
        </is>
      </c>
      <c r="F269" t="inlineStr">
        <is>
          <t>technosphere</t>
        </is>
      </c>
      <c r="G269" t="inlineStr">
        <is>
          <t>electricity, medium voltage</t>
        </is>
      </c>
      <c r="H269" t="inlineStr"/>
      <c r="I269" t="n">
        <v>7860</v>
      </c>
      <c r="J269" s="11">
        <f>J268</f>
        <v>0.30735747329992852</v>
      </c>
      <c r="K269" t="n">
        <v>0</v>
      </c>
      <c r="L269" s="3" t="n"/>
    </row>
    <row r="270">
      <c r="A270" t="inlineStr">
        <is>
          <t>municipal waste incineration, at incineration plant, with semi-dry air pollution control, with flue gas condensation, with electricity and heat recovery, exergy allocation</t>
        </is>
      </c>
      <c r="B270" t="n">
        <v>1</v>
      </c>
      <c r="C270" t="inlineStr">
        <is>
          <t>RER</t>
        </is>
      </c>
      <c r="D270" t="inlineStr">
        <is>
          <t>megajoule</t>
        </is>
      </c>
      <c r="F270" t="inlineStr">
        <is>
          <t>production</t>
        </is>
      </c>
      <c r="G270" t="inlineStr">
        <is>
          <t>heat, district or industrial, other than natural gas</t>
        </is>
      </c>
      <c r="H270" t="inlineStr"/>
      <c r="I270" t="n">
        <v>7860</v>
      </c>
      <c r="J270" s="11">
        <f>J268</f>
        <v>0.30735747329992852</v>
      </c>
      <c r="K270" t="n">
        <v>0</v>
      </c>
      <c r="L270" s="3" t="n"/>
    </row>
    <row r="271">
      <c r="A271" t="inlineStr">
        <is>
          <t>market for diesel, low-sulfur</t>
        </is>
      </c>
      <c r="B271">
        <f>unallocated!B90/I271*J271</f>
        <v>3.3238403601137308E-6</v>
      </c>
      <c r="C271" t="inlineStr">
        <is>
          <t>Europe without Switzerland</t>
        </is>
      </c>
      <c r="D271" t="inlineStr">
        <is>
          <t>kilogram</t>
        </is>
      </c>
      <c r="F271" t="inlineStr">
        <is>
          <t>technosphere</t>
        </is>
      </c>
      <c r="G271" t="inlineStr">
        <is>
          <t>diesel, low-sulfur</t>
        </is>
      </c>
      <c r="H271" t="inlineStr">
        <is>
          <t>Diesel density: 0.85 kg/l</t>
        </is>
      </c>
      <c r="I271" t="n">
        <v>7860</v>
      </c>
      <c r="J271" s="11">
        <f>J268</f>
        <v>0.30735747329992852</v>
      </c>
      <c r="K271" t="n">
        <v>2</v>
      </c>
      <c r="L271" s="3">
        <f>LN(B271)</f>
        <v>-12.614389708564291</v>
      </c>
      <c r="M271" t="n">
        <v>1</v>
      </c>
      <c r="N271" t="n">
        <v>1</v>
      </c>
      <c r="O271" t="n">
        <v>1</v>
      </c>
      <c r="P271" t="n">
        <v>1.02</v>
      </c>
      <c r="Q271" t="n">
        <v>1.2</v>
      </c>
      <c r="R271" t="n">
        <v>1</v>
      </c>
      <c r="S271" t="n">
        <v>1.05</v>
      </c>
      <c r="T271">
        <f>LN(SQRT(EXP(
SQRT(
+POWER(LN(M271),2)
+POWER(LN(N271),2)
+POWER(LN(O271),2)
+POWER(LN(P271),2)
+POWER(LN(Q271),2)
+POWER(LN(R271),2)
+POWER(LN(S271),2)
)
)))</f>
        <v>9.4886477223156879E-2</v>
      </c>
    </row>
    <row r="272">
      <c r="A272" t="inlineStr">
        <is>
          <t>market for activated carbon, granular</t>
        </is>
      </c>
      <c r="B272">
        <f>unallocated!B91/I272*J272</f>
        <v>1.5641601694652851E-5</v>
      </c>
      <c r="C272" t="inlineStr">
        <is>
          <t>GLO</t>
        </is>
      </c>
      <c r="D272" t="inlineStr">
        <is>
          <t>kilogram</t>
        </is>
      </c>
      <c r="F272" t="inlineStr">
        <is>
          <t>technosphere</t>
        </is>
      </c>
      <c r="G272" t="inlineStr">
        <is>
          <t>activated carbon, granular</t>
        </is>
      </c>
      <c r="I272" t="n">
        <v>7860</v>
      </c>
      <c r="J272" s="11">
        <f>J268</f>
        <v>0.30735747329992852</v>
      </c>
      <c r="K272" t="n">
        <v>2</v>
      </c>
      <c r="L272" s="3">
        <f>LN(B272)</f>
        <v>-11.065576417946625</v>
      </c>
      <c r="M272" t="n">
        <v>1</v>
      </c>
      <c r="N272" t="n">
        <v>1</v>
      </c>
      <c r="O272" t="n">
        <v>1</v>
      </c>
      <c r="P272" t="n">
        <v>1.02</v>
      </c>
      <c r="Q272" t="n">
        <v>1.2</v>
      </c>
      <c r="R272" t="n">
        <v>1</v>
      </c>
      <c r="S272" t="n">
        <v>1.05</v>
      </c>
      <c r="T272">
        <f>LN(SQRT(EXP(
SQRT(
+POWER(LN(M272),2)
+POWER(LN(N272),2)
+POWER(LN(O272),2)
+POWER(LN(P272),2)
+POWER(LN(Q272),2)
+POWER(LN(R272),2)
+POWER(LN(S272),2)
)
)))</f>
        <v>9.4886477223156879E-2</v>
      </c>
    </row>
    <row r="273">
      <c r="A273" t="inlineStr">
        <is>
          <t>market for ammonia, anhydrous, liquid</t>
        </is>
      </c>
      <c r="B273">
        <f>unallocated!B92/I273*J273</f>
        <v>3.8321924151899484E-5</v>
      </c>
      <c r="C273" t="inlineStr">
        <is>
          <t>RER</t>
        </is>
      </c>
      <c r="D273" t="inlineStr">
        <is>
          <t>kilogram</t>
        </is>
      </c>
      <c r="F273" t="inlineStr">
        <is>
          <t>technosphere</t>
        </is>
      </c>
      <c r="G273" t="inlineStr">
        <is>
          <t>ammonia, anhydrous, liquid</t>
        </is>
      </c>
      <c r="H273" t="inlineStr">
        <is>
          <t>100% liquid ammonia. In original publication, it is dilluated to 23.5% in water. We discount the original value by 75%.</t>
        </is>
      </c>
      <c r="I273" t="n">
        <v>7860</v>
      </c>
      <c r="J273" s="11">
        <f>J268</f>
        <v>0.30735747329992852</v>
      </c>
      <c r="K273" t="n">
        <v>2</v>
      </c>
      <c r="L273" s="3">
        <f>LN(B273)</f>
        <v>-10.16948839338999</v>
      </c>
      <c r="M273" t="n">
        <v>1</v>
      </c>
      <c r="N273" t="n">
        <v>1</v>
      </c>
      <c r="O273" t="n">
        <v>1</v>
      </c>
      <c r="P273" t="n">
        <v>1.02</v>
      </c>
      <c r="Q273" t="n">
        <v>1.2</v>
      </c>
      <c r="R273" t="n">
        <v>1</v>
      </c>
      <c r="S273" t="n">
        <v>1.05</v>
      </c>
      <c r="T273">
        <f>LN(SQRT(EXP(
SQRT(
+POWER(LN(M273),2)
+POWER(LN(N273),2)
+POWER(LN(O273),2)
+POWER(LN(P273),2)
+POWER(LN(Q273),2)
+POWER(LN(R273),2)
+POWER(LN(S273),2)
)
)))</f>
        <v>9.4886477223156879E-2</v>
      </c>
    </row>
    <row r="274">
      <c r="A274" t="inlineStr">
        <is>
          <t>market for tap water</t>
        </is>
      </c>
      <c r="B274">
        <f>unallocated!B93/I274*J274</f>
        <v>1.1809409279462902E-4</v>
      </c>
      <c r="C274" t="inlineStr">
        <is>
          <t>Europe without Switzerland</t>
        </is>
      </c>
      <c r="D274" t="inlineStr">
        <is>
          <t>kilogram</t>
        </is>
      </c>
      <c r="F274" t="inlineStr">
        <is>
          <t>technosphere</t>
        </is>
      </c>
      <c r="G274" t="inlineStr">
        <is>
          <t>tap water</t>
        </is>
      </c>
      <c r="H274" t="inlineStr">
        <is>
          <t>Used to dilute the ammonia.</t>
        </is>
      </c>
      <c r="I274" t="n">
        <v>7860</v>
      </c>
      <c r="J274" s="11">
        <f>J268</f>
        <v>0.30735747329992852</v>
      </c>
      <c r="K274" t="n">
        <v>2</v>
      </c>
      <c r="L274" s="3">
        <f>LN(B274)</f>
        <v>-9.044028854685692</v>
      </c>
      <c r="M274" t="n">
        <v>1</v>
      </c>
      <c r="N274" t="n">
        <v>1</v>
      </c>
      <c r="O274" t="n">
        <v>1</v>
      </c>
      <c r="P274" t="n">
        <v>1.02</v>
      </c>
      <c r="Q274" t="n">
        <v>1.2</v>
      </c>
      <c r="R274" t="n">
        <v>1</v>
      </c>
      <c r="S274" t="n">
        <v>1.05</v>
      </c>
      <c r="T274">
        <f>LN(SQRT(EXP(
SQRT(
+POWER(LN(M274),2)
+POWER(LN(N274),2)
+POWER(LN(O274),2)
+POWER(LN(P274),2)
+POWER(LN(Q274),2)
+POWER(LN(R274),2)
+POWER(LN(S274),2)
)
)))</f>
        <v>9.4886477223156879E-2</v>
      </c>
    </row>
    <row r="275">
      <c r="A275" t="inlineStr">
        <is>
          <t>market for calcium carbonate, precipitated</t>
        </is>
      </c>
      <c r="B275">
        <f>unallocated!B94/I275*J275</f>
        <v>0</v>
      </c>
      <c r="C275" t="inlineStr">
        <is>
          <t>RER</t>
        </is>
      </c>
      <c r="D275" t="inlineStr">
        <is>
          <t>kilogram</t>
        </is>
      </c>
      <c r="F275" t="inlineStr">
        <is>
          <t>technosphere</t>
        </is>
      </c>
      <c r="G275" t="inlineStr">
        <is>
          <t>calcium carbonate, precipitated</t>
        </is>
      </c>
      <c r="I275" t="n">
        <v>7860</v>
      </c>
      <c r="J275" s="11">
        <f>J268</f>
        <v>0.30735747329992852</v>
      </c>
      <c r="K275" t="n">
        <v>0</v>
      </c>
      <c r="L275" s="3" t="n"/>
    </row>
    <row r="276">
      <c r="A276" t="inlineStr">
        <is>
          <t>market for iron(III) chloride, without water, in 40% solution state</t>
        </is>
      </c>
      <c r="B276">
        <f>unallocated!B95/I276*J276</f>
        <v>0</v>
      </c>
      <c r="C276" t="inlineStr">
        <is>
          <t>GLO</t>
        </is>
      </c>
      <c r="D276" t="inlineStr">
        <is>
          <t>kilogram</t>
        </is>
      </c>
      <c r="F276" t="inlineStr">
        <is>
          <t>technosphere</t>
        </is>
      </c>
      <c r="G276" t="inlineStr">
        <is>
          <t>iron(III) chloride, without water, in 40% solution state</t>
        </is>
      </c>
      <c r="I276" t="n">
        <v>7860</v>
      </c>
      <c r="J276" s="11">
        <f>J268</f>
        <v>0.30735747329992852</v>
      </c>
      <c r="K276" t="n">
        <v>0</v>
      </c>
      <c r="L276" s="3" t="n"/>
    </row>
    <row r="277">
      <c r="A277" t="inlineStr">
        <is>
          <t>market for lime, hydrated, packed</t>
        </is>
      </c>
      <c r="B277">
        <f>unallocated!B96/I277*J277</f>
        <v>3.9104004236632128E-4</v>
      </c>
      <c r="C277" t="inlineStr">
        <is>
          <t>RER</t>
        </is>
      </c>
      <c r="D277" t="inlineStr">
        <is>
          <t>kilogram</t>
        </is>
      </c>
      <c r="F277" t="inlineStr">
        <is>
          <t>technosphere</t>
        </is>
      </c>
      <c r="G277" t="inlineStr">
        <is>
          <t>lime, hydrated, packed</t>
        </is>
      </c>
      <c r="I277" t="n">
        <v>7860</v>
      </c>
      <c r="J277" s="11">
        <f>J268</f>
        <v>0.30735747329992852</v>
      </c>
      <c r="K277" t="n">
        <v>2</v>
      </c>
      <c r="L277" s="3">
        <f>LN(B277)</f>
        <v>-7.8467005930784248</v>
      </c>
      <c r="M277" t="n">
        <v>1</v>
      </c>
      <c r="N277" t="n">
        <v>1</v>
      </c>
      <c r="O277" t="n">
        <v>1</v>
      </c>
      <c r="P277" t="n">
        <v>1.02</v>
      </c>
      <c r="Q277" t="n">
        <v>1.2</v>
      </c>
      <c r="R277" t="n">
        <v>1</v>
      </c>
      <c r="S277" t="n">
        <v>1.05</v>
      </c>
      <c r="T277">
        <f>LN(SQRT(EXP(
SQRT(
+POWER(LN(M277),2)
+POWER(LN(N277),2)
+POWER(LN(O277),2)
+POWER(LN(P277),2)
+POWER(LN(Q277),2)
+POWER(LN(R277),2)
+POWER(LN(S277),2)
)
)))</f>
        <v>9.4886477223156879E-2</v>
      </c>
    </row>
    <row r="278">
      <c r="A278" t="inlineStr">
        <is>
          <t>market for sodium hydroxide, without water, in 50% solution state</t>
        </is>
      </c>
      <c r="B278">
        <f>unallocated!B97/I278*J278</f>
        <v>9.7760010591580316E-6</v>
      </c>
      <c r="C278" t="inlineStr">
        <is>
          <t>RER</t>
        </is>
      </c>
      <c r="D278" t="inlineStr">
        <is>
          <t>kilogram</t>
        </is>
      </c>
      <c r="F278" t="inlineStr">
        <is>
          <t>technosphere</t>
        </is>
      </c>
      <c r="G278" t="inlineStr">
        <is>
          <t>sodium hydroxide, without water, in 50% solution state</t>
        </is>
      </c>
      <c r="H278" t="inlineStr">
        <is>
          <t>50% liquid ammonia. In original publication, it is dilluated to 27% in water. We discount the original value by 50%.</t>
        </is>
      </c>
      <c r="I278" t="n">
        <v>7860</v>
      </c>
      <c r="J278" s="11">
        <f>J268</f>
        <v>0.30735747329992852</v>
      </c>
      <c r="K278" t="n">
        <v>0</v>
      </c>
      <c r="L278" s="3" t="n"/>
    </row>
    <row r="279">
      <c r="A279" t="inlineStr">
        <is>
          <t>market for monoethanolamine</t>
        </is>
      </c>
      <c r="B279">
        <f>unallocated!B98/I279*J279</f>
        <v>0</v>
      </c>
      <c r="C279" t="inlineStr">
        <is>
          <t>GLO</t>
        </is>
      </c>
      <c r="D279" t="inlineStr">
        <is>
          <t>kilogram</t>
        </is>
      </c>
      <c r="F279" t="inlineStr">
        <is>
          <t>technosphere</t>
        </is>
      </c>
      <c r="G279" t="inlineStr">
        <is>
          <t>monoethanolamine</t>
        </is>
      </c>
      <c r="I279" t="n">
        <v>7860</v>
      </c>
      <c r="J279" s="11">
        <f>J268</f>
        <v>0.30735747329992852</v>
      </c>
      <c r="K279" t="n">
        <v>0</v>
      </c>
      <c r="L279" s="3" t="n"/>
    </row>
    <row r="280">
      <c r="A280" t="inlineStr">
        <is>
          <t>municipal waste incineration facility construction</t>
        </is>
      </c>
      <c r="B280">
        <f>unallocated!B99/I280*J280</f>
        <v>9.7760010591580309E-12</v>
      </c>
      <c r="C280" t="inlineStr">
        <is>
          <t>CH</t>
        </is>
      </c>
      <c r="D280" t="inlineStr">
        <is>
          <t>unit</t>
        </is>
      </c>
      <c r="F280" t="inlineStr">
        <is>
          <t>technosphere</t>
        </is>
      </c>
      <c r="G280" t="inlineStr">
        <is>
          <t>municipal waste incineration facility</t>
        </is>
      </c>
      <c r="H280" t="inlineStr">
        <is>
          <t>Lifetime: 4'000'000 tons MSWI treated.</t>
        </is>
      </c>
      <c r="I280" t="n">
        <v>7860</v>
      </c>
      <c r="J280" s="11">
        <f>J268</f>
        <v>0.30735747329992852</v>
      </c>
      <c r="K280" t="n">
        <v>2</v>
      </c>
      <c r="L280" s="3">
        <f>LN(B280)</f>
        <v>-25.351090605156635</v>
      </c>
      <c r="M280" t="n">
        <v>1</v>
      </c>
      <c r="N280" t="n">
        <v>1</v>
      </c>
      <c r="O280" t="n">
        <v>1</v>
      </c>
      <c r="P280" t="n">
        <v>1.02</v>
      </c>
      <c r="Q280" t="n">
        <v>1.2</v>
      </c>
      <c r="R280" t="n">
        <v>1</v>
      </c>
      <c r="S280" t="n">
        <v>3</v>
      </c>
      <c r="T280">
        <f>LN(SQRT(EXP(
SQRT(
+POWER(LN(M280),2)
+POWER(LN(N280),2)
+POWER(LN(O280),2)
+POWER(LN(P280),2)
+POWER(LN(Q280),2)
+POWER(LN(R280),2)
+POWER(LN(S280),2)
)
)))</f>
        <v>0.5569071410325479</v>
      </c>
    </row>
    <row r="281">
      <c r="A281" t="inlineStr">
        <is>
          <t>Water, cooling, unspecified natural origin</t>
        </is>
      </c>
      <c r="B281">
        <f>unallocated!B100/I281*J281</f>
        <v>0</v>
      </c>
      <c r="D281" t="inlineStr">
        <is>
          <t>cubic meter</t>
        </is>
      </c>
      <c r="E281" t="inlineStr">
        <is>
          <t>natural resource::in water</t>
        </is>
      </c>
      <c r="F281" t="inlineStr">
        <is>
          <t>biosphere</t>
        </is>
      </c>
      <c r="I281" t="n">
        <v>7860</v>
      </c>
      <c r="J281" s="11">
        <f>J268</f>
        <v>0.30735747329992852</v>
      </c>
      <c r="K281" t="n">
        <v>0</v>
      </c>
      <c r="L281" s="3" t="n"/>
    </row>
    <row r="282">
      <c r="A282" t="inlineStr">
        <is>
          <t>Sulfur dioxide</t>
        </is>
      </c>
      <c r="B282">
        <f>unallocated!B101/I282*J282</f>
        <v>2.3462402541979277E-7</v>
      </c>
      <c r="D282" t="inlineStr">
        <is>
          <t>kilogram</t>
        </is>
      </c>
      <c r="E282" t="inlineStr">
        <is>
          <t>air::urban air close to ground</t>
        </is>
      </c>
      <c r="F282" t="inlineStr">
        <is>
          <t>biosphere</t>
        </is>
      </c>
      <c r="I282" t="n">
        <v>7860</v>
      </c>
      <c r="J282" s="11">
        <f>J268</f>
        <v>0.30735747329992852</v>
      </c>
      <c r="K282" t="n">
        <v>2</v>
      </c>
      <c r="L282" s="3">
        <f>LN(B282)</f>
        <v>-15.265281495826553</v>
      </c>
      <c r="M282" t="n">
        <v>1</v>
      </c>
      <c r="N282" t="n">
        <v>1</v>
      </c>
      <c r="O282" t="n">
        <v>1</v>
      </c>
      <c r="P282" t="n">
        <v>1.02</v>
      </c>
      <c r="Q282" t="n">
        <v>1.2</v>
      </c>
      <c r="R282" t="n">
        <v>1</v>
      </c>
      <c r="S282" t="n">
        <v>1.05</v>
      </c>
      <c r="T282">
        <f>LN(SQRT(EXP(
SQRT(
+POWER(LN(M282),2)
+POWER(LN(N282),2)
+POWER(LN(O282),2)
+POWER(LN(P282),2)
+POWER(LN(Q282),2)
+POWER(LN(R282),2)
+POWER(LN(S282),2)
)
)))</f>
        <v>9.4886477223156879E-2</v>
      </c>
    </row>
    <row r="283">
      <c r="A283" t="inlineStr">
        <is>
          <t>Hydrochloric acid</t>
        </is>
      </c>
      <c r="B283">
        <f>unallocated!B102/I283*J283</f>
        <v>1.1731201270989638E-7</v>
      </c>
      <c r="D283" t="inlineStr">
        <is>
          <t>kilogram</t>
        </is>
      </c>
      <c r="E283" t="inlineStr">
        <is>
          <t>air</t>
        </is>
      </c>
      <c r="F283" t="inlineStr">
        <is>
          <t>biosphere</t>
        </is>
      </c>
      <c r="I283" t="n">
        <v>7860</v>
      </c>
      <c r="J283" s="11">
        <f>J268</f>
        <v>0.30735747329992852</v>
      </c>
      <c r="K283" t="n">
        <v>2</v>
      </c>
      <c r="L283" s="3">
        <f>LN(B283)</f>
        <v>-15.958428676386498</v>
      </c>
      <c r="M283" t="n">
        <v>1</v>
      </c>
      <c r="N283" t="n">
        <v>1</v>
      </c>
      <c r="O283" t="n">
        <v>1</v>
      </c>
      <c r="P283" t="n">
        <v>1.02</v>
      </c>
      <c r="Q283" t="n">
        <v>1.2</v>
      </c>
      <c r="R283" t="n">
        <v>1</v>
      </c>
      <c r="S283" t="n">
        <v>1.5</v>
      </c>
      <c r="T283">
        <f>LN(SQRT(EXP(
SQRT(
+POWER(LN(M283),2)
+POWER(LN(N283),2)
+POWER(LN(O283),2)
+POWER(LN(P283),2)
+POWER(LN(Q283),2)
+POWER(LN(R283),2)
+POWER(LN(S283),2)
)
)))</f>
        <v>0.22250575723605889</v>
      </c>
    </row>
    <row r="284">
      <c r="A284" t="inlineStr">
        <is>
          <t>Nitrogen oxides</t>
        </is>
      </c>
      <c r="B284">
        <f>unallocated!B103/I284*J284</f>
        <v>2.6473410868199949E-5</v>
      </c>
      <c r="D284" t="inlineStr">
        <is>
          <t>kilogram</t>
        </is>
      </c>
      <c r="E284" t="inlineStr">
        <is>
          <t>air::urban air close to ground</t>
        </is>
      </c>
      <c r="F284" t="inlineStr">
        <is>
          <t>biosphere</t>
        </is>
      </c>
      <c r="I284" t="n">
        <v>7860</v>
      </c>
      <c r="J284" s="11">
        <f>J268</f>
        <v>0.30735747329992852</v>
      </c>
      <c r="K284" t="n">
        <v>2</v>
      </c>
      <c r="L284" s="3">
        <f>LN(B284)</f>
        <v>-10.539369692142333</v>
      </c>
      <c r="M284" t="n">
        <v>1</v>
      </c>
      <c r="N284" t="n">
        <v>1</v>
      </c>
      <c r="O284" t="n">
        <v>1</v>
      </c>
      <c r="P284" t="n">
        <v>1.02</v>
      </c>
      <c r="Q284" t="n">
        <v>1.2</v>
      </c>
      <c r="R284" t="n">
        <v>1</v>
      </c>
      <c r="S284" t="n">
        <v>1.5</v>
      </c>
      <c r="T284">
        <f>LN(SQRT(EXP(
SQRT(
+POWER(LN(M284),2)
+POWER(LN(N284),2)
+POWER(LN(O284),2)
+POWER(LN(P284),2)
+POWER(LN(Q284),2)
+POWER(LN(R284),2)
+POWER(LN(S284),2)
)
)))</f>
        <v>0.22250575723605889</v>
      </c>
    </row>
    <row r="285">
      <c r="A285" t="inlineStr">
        <is>
          <t>Ammonia</t>
        </is>
      </c>
      <c r="B285">
        <f>unallocated!B104/I285*J285</f>
        <v>3.9104004236632126E-8</v>
      </c>
      <c r="D285" t="inlineStr">
        <is>
          <t>kilogram</t>
        </is>
      </c>
      <c r="E285" t="inlineStr">
        <is>
          <t>air::urban air close to ground</t>
        </is>
      </c>
      <c r="F285" t="inlineStr">
        <is>
          <t>biosphere</t>
        </is>
      </c>
      <c r="I285" t="n">
        <v>7860</v>
      </c>
      <c r="J285" s="11">
        <f>J268</f>
        <v>0.30735747329992852</v>
      </c>
      <c r="K285" t="n">
        <v>2</v>
      </c>
      <c r="L285" s="3">
        <f>LN(B285)</f>
        <v>-17.057040965054608</v>
      </c>
      <c r="M285" t="n">
        <v>1</v>
      </c>
      <c r="N285" t="n">
        <v>1</v>
      </c>
      <c r="O285" t="n">
        <v>1</v>
      </c>
      <c r="P285" t="n">
        <v>1.02</v>
      </c>
      <c r="Q285" t="n">
        <v>1.2</v>
      </c>
      <c r="R285" t="n">
        <v>1</v>
      </c>
      <c r="S285" t="n">
        <v>1.5</v>
      </c>
      <c r="T285">
        <f>LN(SQRT(EXP(
SQRT(
+POWER(LN(M285),2)
+POWER(LN(N285),2)
+POWER(LN(O285),2)
+POWER(LN(P285),2)
+POWER(LN(Q285),2)
+POWER(LN(R285),2)
+POWER(LN(S285),2)
)
)))</f>
        <v>0.22250575723605889</v>
      </c>
    </row>
    <row r="286">
      <c r="A286" t="inlineStr">
        <is>
          <t>Particulate Matter, &lt; 2.5 um</t>
        </is>
      </c>
      <c r="B286">
        <f>unallocated!B105/I286*J286</f>
        <v>2.3462402541979277E-7</v>
      </c>
      <c r="D286" t="inlineStr">
        <is>
          <t>kilogram</t>
        </is>
      </c>
      <c r="E286" t="inlineStr">
        <is>
          <t>air::urban air close to ground</t>
        </is>
      </c>
      <c r="F286" t="inlineStr">
        <is>
          <t>biosphere</t>
        </is>
      </c>
      <c r="I286" t="n">
        <v>7860</v>
      </c>
      <c r="J286" s="11">
        <f>J268</f>
        <v>0.30735747329992852</v>
      </c>
      <c r="K286" t="n">
        <v>2</v>
      </c>
      <c r="L286" s="3">
        <f>LN(B286)</f>
        <v>-15.265281495826553</v>
      </c>
      <c r="M286" t="n">
        <v>1</v>
      </c>
      <c r="N286" t="n">
        <v>1</v>
      </c>
      <c r="O286" t="n">
        <v>1</v>
      </c>
      <c r="P286" t="n">
        <v>1.02</v>
      </c>
      <c r="Q286" t="n">
        <v>1.2</v>
      </c>
      <c r="R286" t="n">
        <v>1</v>
      </c>
      <c r="S286" t="n">
        <v>3</v>
      </c>
      <c r="T286">
        <f>LN(SQRT(EXP(
SQRT(
+POWER(LN(M286),2)
+POWER(LN(N286),2)
+POWER(LN(O286),2)
+POWER(LN(P286),2)
+POWER(LN(Q286),2)
+POWER(LN(R286),2)
+POWER(LN(S286),2)
)
)))</f>
        <v>0.5569071410325479</v>
      </c>
    </row>
    <row r="287">
      <c r="A287" t="inlineStr">
        <is>
          <t>Mercury II</t>
        </is>
      </c>
      <c r="B287">
        <f>unallocated!B106/I287*J287</f>
        <v>2.3462402541979277E-10</v>
      </c>
      <c r="D287" t="inlineStr">
        <is>
          <t>kilogram</t>
        </is>
      </c>
      <c r="E287" t="inlineStr">
        <is>
          <t>air::urban air close to ground</t>
        </is>
      </c>
      <c r="F287" t="inlineStr">
        <is>
          <t>biosphere</t>
        </is>
      </c>
      <c r="I287" t="n">
        <v>7860</v>
      </c>
      <c r="J287" s="11">
        <f>J268</f>
        <v>0.30735747329992852</v>
      </c>
      <c r="K287" t="n">
        <v>2</v>
      </c>
      <c r="L287" s="3">
        <f>LN(B287)</f>
        <v>-22.17303677480869</v>
      </c>
      <c r="M287" t="n">
        <v>1</v>
      </c>
      <c r="N287" t="n">
        <v>1</v>
      </c>
      <c r="O287" t="n">
        <v>1</v>
      </c>
      <c r="P287" t="n">
        <v>1.02</v>
      </c>
      <c r="Q287" t="n">
        <v>1.2</v>
      </c>
      <c r="R287" t="n">
        <v>1</v>
      </c>
      <c r="S287" t="n">
        <v>5</v>
      </c>
      <c r="T287">
        <f>LN(SQRT(EXP(
SQRT(
+POWER(LN(M287),2)
+POWER(LN(N287),2)
+POWER(LN(O287),2)
+POWER(LN(P287),2)
+POWER(LN(Q287),2)
+POWER(LN(R287),2)
+POWER(LN(S287),2)
)
)))</f>
        <v>0.80992649174166365</v>
      </c>
    </row>
    <row r="288">
      <c r="A288" t="inlineStr">
        <is>
          <t>Lead II</t>
        </is>
      </c>
      <c r="B288">
        <f>unallocated!B107/I288*J288</f>
        <v>2.3462402541979277E-10</v>
      </c>
      <c r="D288" t="inlineStr">
        <is>
          <t>kilogram</t>
        </is>
      </c>
      <c r="E288" t="inlineStr">
        <is>
          <t>air::urban air close to ground</t>
        </is>
      </c>
      <c r="F288" t="inlineStr">
        <is>
          <t>biosphere</t>
        </is>
      </c>
      <c r="I288" t="n">
        <v>7860</v>
      </c>
      <c r="J288" s="11">
        <f>J268</f>
        <v>0.30735747329992852</v>
      </c>
      <c r="K288" t="n">
        <v>2</v>
      </c>
      <c r="L288" s="3">
        <f>LN(B288)</f>
        <v>-22.17303677480869</v>
      </c>
      <c r="M288" t="n">
        <v>1</v>
      </c>
      <c r="N288" t="n">
        <v>1</v>
      </c>
      <c r="O288" t="n">
        <v>1</v>
      </c>
      <c r="P288" t="n">
        <v>1.02</v>
      </c>
      <c r="Q288" t="n">
        <v>1.2</v>
      </c>
      <c r="R288" t="n">
        <v>1</v>
      </c>
      <c r="S288" t="n">
        <v>5</v>
      </c>
      <c r="T288">
        <f>LN(SQRT(EXP(
SQRT(
+POWER(LN(M288),2)
+POWER(LN(N288),2)
+POWER(LN(O288),2)
+POWER(LN(P288),2)
+POWER(LN(Q288),2)
+POWER(LN(R288),2)
+POWER(LN(S288),2)
)
)))</f>
        <v>0.80992649174166365</v>
      </c>
    </row>
    <row r="289">
      <c r="A289" t="inlineStr">
        <is>
          <t>Cadmium II</t>
        </is>
      </c>
      <c r="B289">
        <f>unallocated!B108/I289*J289</f>
        <v>1.1731201270989638E-10</v>
      </c>
      <c r="D289" t="inlineStr">
        <is>
          <t>kilogram</t>
        </is>
      </c>
      <c r="E289" t="inlineStr">
        <is>
          <t>air::urban air close to ground</t>
        </is>
      </c>
      <c r="F289" t="inlineStr">
        <is>
          <t>biosphere</t>
        </is>
      </c>
      <c r="I289" t="n">
        <v>7860</v>
      </c>
      <c r="J289" s="11">
        <f>J268</f>
        <v>0.30735747329992852</v>
      </c>
      <c r="K289" t="n">
        <v>2</v>
      </c>
      <c r="L289" s="3">
        <f>LN(B289)</f>
        <v>-22.866183955368633</v>
      </c>
      <c r="M289" t="n">
        <v>1</v>
      </c>
      <c r="N289" t="n">
        <v>1</v>
      </c>
      <c r="O289" t="n">
        <v>1</v>
      </c>
      <c r="P289" t="n">
        <v>1.02</v>
      </c>
      <c r="Q289" t="n">
        <v>1.2</v>
      </c>
      <c r="R289" t="n">
        <v>1</v>
      </c>
      <c r="S289" t="n">
        <v>5</v>
      </c>
      <c r="T289">
        <f>LN(SQRT(EXP(
SQRT(
+POWER(LN(M289),2)
+POWER(LN(N289),2)
+POWER(LN(O289),2)
+POWER(LN(P289),2)
+POWER(LN(Q289),2)
+POWER(LN(R289),2)
+POWER(LN(S289),2)
)
)))</f>
        <v>0.80992649174166365</v>
      </c>
    </row>
    <row r="290">
      <c r="A290" t="inlineStr">
        <is>
          <t>Arsenic ion</t>
        </is>
      </c>
      <c r="B290">
        <f>unallocated!B109/I290*J290</f>
        <v>1.1731201270989638E-10</v>
      </c>
      <c r="D290" t="inlineStr">
        <is>
          <t>kilogram</t>
        </is>
      </c>
      <c r="E290" t="inlineStr">
        <is>
          <t>air::urban air close to ground</t>
        </is>
      </c>
      <c r="F290" t="inlineStr">
        <is>
          <t>biosphere</t>
        </is>
      </c>
      <c r="I290" t="n">
        <v>7860</v>
      </c>
      <c r="J290" s="11">
        <f>J268</f>
        <v>0.30735747329992852</v>
      </c>
      <c r="K290" t="n">
        <v>2</v>
      </c>
      <c r="L290" s="3">
        <f>LN(B290)</f>
        <v>-22.866183955368633</v>
      </c>
      <c r="M290" t="n">
        <v>1</v>
      </c>
      <c r="N290" t="n">
        <v>1</v>
      </c>
      <c r="O290" t="n">
        <v>1</v>
      </c>
      <c r="P290" t="n">
        <v>1.02</v>
      </c>
      <c r="Q290" t="n">
        <v>1.2</v>
      </c>
      <c r="R290" t="n">
        <v>1</v>
      </c>
      <c r="S290" t="n">
        <v>5</v>
      </c>
      <c r="T290">
        <f>LN(SQRT(EXP(
SQRT(
+POWER(LN(M290),2)
+POWER(LN(N290),2)
+POWER(LN(O290),2)
+POWER(LN(P290),2)
+POWER(LN(Q290),2)
+POWER(LN(R290),2)
+POWER(LN(S290),2)
)
)))</f>
        <v>0.80992649174166365</v>
      </c>
    </row>
    <row r="291">
      <c r="A291" t="inlineStr">
        <is>
          <t>Dioxins, measured as 2,3,7,8-tetrachlorodibenzo-p-dioxin</t>
        </is>
      </c>
      <c r="B291">
        <f>unallocated!B110/I291*J291</f>
        <v>4.3014404660295343E-15</v>
      </c>
      <c r="D291" t="inlineStr">
        <is>
          <t>kilogram</t>
        </is>
      </c>
      <c r="E291" t="inlineStr">
        <is>
          <t>air::urban air close to ground</t>
        </is>
      </c>
      <c r="F291" t="inlineStr">
        <is>
          <t>biosphere</t>
        </is>
      </c>
      <c r="I291" t="n">
        <v>7860</v>
      </c>
      <c r="J291" s="11">
        <f>J268</f>
        <v>0.30735747329992852</v>
      </c>
      <c r="K291" t="n">
        <v>2</v>
      </c>
      <c r="L291" s="3">
        <f>LN(B291)</f>
        <v>-33.079826436208606</v>
      </c>
      <c r="M291" t="n">
        <v>1</v>
      </c>
      <c r="N291" t="n">
        <v>1</v>
      </c>
      <c r="O291" t="n">
        <v>1</v>
      </c>
      <c r="P291" t="n">
        <v>1.02</v>
      </c>
      <c r="Q291" t="n">
        <v>1.2</v>
      </c>
      <c r="R291" t="n">
        <v>1</v>
      </c>
      <c r="S291" t="n">
        <v>5</v>
      </c>
      <c r="T291">
        <f>LN(SQRT(EXP(
SQRT(
+POWER(LN(M291),2)
+POWER(LN(N291),2)
+POWER(LN(O291),2)
+POWER(LN(P291),2)
+POWER(LN(Q291),2)
+POWER(LN(R291),2)
+POWER(LN(S291),2)
)
)))</f>
        <v>0.80992649174166365</v>
      </c>
    </row>
    <row r="292">
      <c r="A292" t="inlineStr">
        <is>
          <t>Carbon dioxide, fossil</t>
        </is>
      </c>
      <c r="B292">
        <f>unallocated!B111/I292*J292</f>
        <v>1.4624897584500416E-2</v>
      </c>
      <c r="D292" t="inlineStr">
        <is>
          <t>kilogram</t>
        </is>
      </c>
      <c r="E292" t="inlineStr">
        <is>
          <t>air::urban air close to ground</t>
        </is>
      </c>
      <c r="F292" t="inlineStr">
        <is>
          <t>biosphere</t>
        </is>
      </c>
      <c r="I292" t="n">
        <v>7860</v>
      </c>
      <c r="J292" s="11">
        <f>J268</f>
        <v>0.30735747329992852</v>
      </c>
      <c r="K292" t="n">
        <v>2</v>
      </c>
      <c r="L292" s="3">
        <f>LN(B292)</f>
        <v>-4.2250298886579385</v>
      </c>
      <c r="M292" t="n">
        <v>1</v>
      </c>
      <c r="N292" t="n">
        <v>1</v>
      </c>
      <c r="O292" t="n">
        <v>1</v>
      </c>
      <c r="P292" t="n">
        <v>1.02</v>
      </c>
      <c r="Q292" t="n">
        <v>1.2</v>
      </c>
      <c r="R292" t="n">
        <v>1</v>
      </c>
      <c r="S292" t="n">
        <v>1.05</v>
      </c>
      <c r="T292">
        <f>LN(SQRT(EXP(
SQRT(
+POWER(LN(M292),2)
+POWER(LN(N292),2)
+POWER(LN(O292),2)
+POWER(LN(P292),2)
+POWER(LN(Q292),2)
+POWER(LN(R292),2)
+POWER(LN(S292),2)
)
)))</f>
        <v>9.4886477223156879E-2</v>
      </c>
    </row>
    <row r="293">
      <c r="A293" t="inlineStr">
        <is>
          <t>Carbon dioxide, non-fossil</t>
        </is>
      </c>
      <c r="B293">
        <f>unallocated!B112/I293*J293</f>
        <v>2.3227778516559484E-2</v>
      </c>
      <c r="D293" t="inlineStr">
        <is>
          <t>kilogram</t>
        </is>
      </c>
      <c r="E293" t="inlineStr">
        <is>
          <t>air::urban air close to ground</t>
        </is>
      </c>
      <c r="F293" t="inlineStr">
        <is>
          <t>biosphere</t>
        </is>
      </c>
      <c r="I293" t="n">
        <v>7860</v>
      </c>
      <c r="J293" s="11">
        <f>J268</f>
        <v>0.30735747329992852</v>
      </c>
      <c r="K293" t="n">
        <v>2</v>
      </c>
      <c r="L293" s="3">
        <f>LN(B293)</f>
        <v>-3.7624063667098255</v>
      </c>
      <c r="M293" t="n">
        <v>1</v>
      </c>
      <c r="N293" t="n">
        <v>1</v>
      </c>
      <c r="O293" t="n">
        <v>1</v>
      </c>
      <c r="P293" t="n">
        <v>1.02</v>
      </c>
      <c r="Q293" t="n">
        <v>1.2</v>
      </c>
      <c r="R293" t="n">
        <v>1</v>
      </c>
      <c r="S293" t="n">
        <v>1.05</v>
      </c>
      <c r="T293">
        <f>LN(SQRT(EXP(
SQRT(
+POWER(LN(M293),2)
+POWER(LN(N293),2)
+POWER(LN(O293),2)
+POWER(LN(P293),2)
+POWER(LN(Q293),2)
+POWER(LN(R293),2)
+POWER(LN(S293),2)
)
)))</f>
        <v>9.4886477223156879E-2</v>
      </c>
    </row>
    <row r="294"/>
    <row r="295">
      <c r="A295" s="1" t="inlineStr">
        <is>
          <t>Activity</t>
        </is>
      </c>
      <c r="B295" s="1" t="inlineStr">
        <is>
          <t>municipal waste incineration, at incineration plant, with wet air pollution control, without flue gas condensation, with electricity and heat recovery, exergy allocation</t>
        </is>
      </c>
    </row>
    <row r="296">
      <c r="A296" t="inlineStr">
        <is>
          <t>location</t>
        </is>
      </c>
      <c r="B296" t="inlineStr">
        <is>
          <t>RER</t>
        </is>
      </c>
    </row>
    <row r="297">
      <c r="A297" t="inlineStr">
        <is>
          <t>production amount</t>
        </is>
      </c>
      <c r="B297" t="n">
        <v>1</v>
      </c>
    </row>
    <row r="298">
      <c r="A298" s="2" t="inlineStr">
        <is>
          <t>source</t>
        </is>
      </c>
      <c r="B298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299">
      <c r="A299" t="inlineStr">
        <is>
          <t>reference product</t>
        </is>
      </c>
      <c r="B299" t="inlineStr">
        <is>
          <t>municipal solid waste</t>
        </is>
      </c>
    </row>
    <row r="300">
      <c r="A300" t="inlineStr">
        <is>
          <t>type</t>
        </is>
      </c>
      <c r="B300" t="inlineStr">
        <is>
          <t>process</t>
        </is>
      </c>
    </row>
    <row r="301">
      <c r="A301" t="inlineStr">
        <is>
          <t>unit</t>
        </is>
      </c>
      <c r="B301" t="inlineStr">
        <is>
          <t>kilogram</t>
        </is>
      </c>
    </row>
    <row r="302">
      <c r="A302" t="inlineStr">
        <is>
          <t>comment</t>
        </is>
      </c>
      <c r="B302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628 kWh. Heat production per ton MSWI incinerated: 6'170 MJ.</t>
        </is>
      </c>
    </row>
    <row r="303">
      <c r="A303" s="1" t="inlineStr">
        <is>
          <t>Exchanges</t>
        </is>
      </c>
    </row>
    <row r="304">
      <c r="A304" s="7" t="inlineStr">
        <is>
          <t>name</t>
        </is>
      </c>
      <c r="B304" s="7" t="inlineStr">
        <is>
          <t>amount</t>
        </is>
      </c>
      <c r="C304" s="7" t="inlineStr">
        <is>
          <t>location</t>
        </is>
      </c>
      <c r="D304" s="7" t="inlineStr">
        <is>
          <t>unit</t>
        </is>
      </c>
      <c r="E304" s="7" t="inlineStr">
        <is>
          <t>categories</t>
        </is>
      </c>
      <c r="F304" s="7" t="inlineStr">
        <is>
          <t>type</t>
        </is>
      </c>
      <c r="G304" s="7" t="inlineStr">
        <is>
          <t>reference product</t>
        </is>
      </c>
      <c r="H304" s="7" t="inlineStr">
        <is>
          <t>comment</t>
        </is>
      </c>
      <c r="I304" s="7" t="inlineStr">
        <is>
          <t>normalization</t>
        </is>
      </c>
      <c r="J304" s="7" t="inlineStr">
        <is>
          <t>allocation</t>
        </is>
      </c>
      <c r="K304" s="7" t="inlineStr">
        <is>
          <t>uncertainty type</t>
        </is>
      </c>
      <c r="L304" s="7" t="inlineStr">
        <is>
          <t>loc</t>
        </is>
      </c>
      <c r="M304" s="1" t="inlineStr">
        <is>
          <t>u1</t>
        </is>
      </c>
      <c r="N304" s="1" t="inlineStr">
        <is>
          <t>u2</t>
        </is>
      </c>
      <c r="O304" s="1" t="inlineStr">
        <is>
          <t>u3</t>
        </is>
      </c>
      <c r="P304" s="1" t="inlineStr">
        <is>
          <t>u4</t>
        </is>
      </c>
      <c r="Q304" s="1" t="inlineStr">
        <is>
          <t>u5</t>
        </is>
      </c>
      <c r="R304" s="1" t="inlineStr">
        <is>
          <t>u6</t>
        </is>
      </c>
      <c r="S304" s="1" t="inlineStr">
        <is>
          <t>ub</t>
        </is>
      </c>
      <c r="T304" s="1" t="inlineStr">
        <is>
          <t>scale</t>
        </is>
      </c>
    </row>
    <row r="305">
      <c r="A305" t="inlineStr">
        <is>
          <t>municipal waste incineration, at incineration plant, with wet air pollution control, without flue gas condensation, with electricity and heat recovery, exergy allocation</t>
        </is>
      </c>
      <c r="B305" t="n">
        <v>1</v>
      </c>
      <c r="C305" t="inlineStr">
        <is>
          <t>RER</t>
        </is>
      </c>
      <c r="D305" t="inlineStr">
        <is>
          <t>kilogram</t>
        </is>
      </c>
      <c r="F305" t="inlineStr">
        <is>
          <t>production</t>
        </is>
      </c>
      <c r="G305" t="inlineStr">
        <is>
          <t>municipal solid waste</t>
        </is>
      </c>
      <c r="H305" t="inlineStr"/>
      <c r="I305" t="n">
        <v>1000</v>
      </c>
      <c r="J305" s="14">
        <f>INDEX('allocation keys'!$I$4:$K$29,MATCH('allocated (exergy)'!$B$295,'allocation keys'!$B$4:$B$28,0),MATCH('allocated (exergy)'!$B$299,'allocation keys'!$I$3:$K$3,0))</f>
        <v>0</v>
      </c>
      <c r="K305" t="n">
        <v>0</v>
      </c>
      <c r="M305" s="5" t="n"/>
      <c r="N305" s="5" t="n"/>
      <c r="O305" s="5" t="n"/>
      <c r="P305" s="5" t="n"/>
      <c r="Q305" s="5" t="n"/>
      <c r="R305" s="5" t="n"/>
    </row>
    <row r="306">
      <c r="A306" t="inlineStr">
        <is>
          <t>municipal waste incineration, at incineration plant, with wet air pollution control, without flue gas condensation, with electricity and heat recovery, exergy allocation</t>
        </is>
      </c>
      <c r="B306" s="6" t="n">
        <v>0</v>
      </c>
      <c r="C306" t="inlineStr">
        <is>
          <t>RER</t>
        </is>
      </c>
      <c r="D306" t="inlineStr">
        <is>
          <t>kilowatt hour</t>
        </is>
      </c>
      <c r="F306" t="inlineStr">
        <is>
          <t>technosphere</t>
        </is>
      </c>
      <c r="G306" t="inlineStr">
        <is>
          <t>electricity, medium voltage</t>
        </is>
      </c>
      <c r="H306" t="inlineStr"/>
      <c r="I306" t="n">
        <v>1000</v>
      </c>
      <c r="J306" s="11">
        <f>J305</f>
        <v>0</v>
      </c>
      <c r="K306" t="n">
        <v>0</v>
      </c>
      <c r="L306" s="3" t="n"/>
    </row>
    <row r="307">
      <c r="A307" t="inlineStr">
        <is>
          <t>municipal waste incineration, at incineration plant, with wet air pollution control, without flue gas condensation, with electricity and heat recovery, exergy allocation</t>
        </is>
      </c>
      <c r="B307" t="n">
        <v>0</v>
      </c>
      <c r="C307" t="inlineStr">
        <is>
          <t>RER</t>
        </is>
      </c>
      <c r="D307" t="inlineStr">
        <is>
          <t>megajoule</t>
        </is>
      </c>
      <c r="F307" t="inlineStr">
        <is>
          <t>technosphere</t>
        </is>
      </c>
      <c r="G307" t="inlineStr">
        <is>
          <t>heat, district or industrial, other than natural gas</t>
        </is>
      </c>
      <c r="H307" t="inlineStr"/>
      <c r="I307" t="n">
        <v>1000</v>
      </c>
      <c r="J307" s="11">
        <f>J305</f>
        <v>0</v>
      </c>
      <c r="K307" t="n">
        <v>0</v>
      </c>
      <c r="L307" s="3" t="n"/>
    </row>
    <row r="308">
      <c r="A308" t="inlineStr">
        <is>
          <t>market for diesel, low-sulfur</t>
        </is>
      </c>
      <c r="B308">
        <f>unallocated!B127/I308*J308</f>
        <v>0</v>
      </c>
      <c r="C308" t="inlineStr">
        <is>
          <t>Europe without Switzerland</t>
        </is>
      </c>
      <c r="D308" t="inlineStr">
        <is>
          <t>kilogram</t>
        </is>
      </c>
      <c r="F308" t="inlineStr">
        <is>
          <t>technosphere</t>
        </is>
      </c>
      <c r="G308" t="inlineStr">
        <is>
          <t>diesel, low-sulfur</t>
        </is>
      </c>
      <c r="H308" t="inlineStr">
        <is>
          <t>Diesel density: 0.85 kg/l</t>
        </is>
      </c>
      <c r="I308" t="n">
        <v>1000</v>
      </c>
      <c r="J308" s="11">
        <f>J305</f>
        <v>0</v>
      </c>
      <c r="K308" t="n">
        <v>0</v>
      </c>
      <c r="L308" s="3" t="n"/>
    </row>
    <row r="309">
      <c r="A309" t="inlineStr">
        <is>
          <t>market for activated carbon, granular</t>
        </is>
      </c>
      <c r="B309">
        <f>unallocated!B128/I309*J309</f>
        <v>0</v>
      </c>
      <c r="C309" t="inlineStr">
        <is>
          <t>GLO</t>
        </is>
      </c>
      <c r="D309" t="inlineStr">
        <is>
          <t>kilogram</t>
        </is>
      </c>
      <c r="F309" t="inlineStr">
        <is>
          <t>technosphere</t>
        </is>
      </c>
      <c r="G309" t="inlineStr">
        <is>
          <t>activated carbon, granular</t>
        </is>
      </c>
      <c r="I309" t="n">
        <v>1000</v>
      </c>
      <c r="J309" s="11">
        <f>J305</f>
        <v>0</v>
      </c>
      <c r="K309" t="n">
        <v>0</v>
      </c>
      <c r="L309" s="3" t="n"/>
    </row>
    <row r="310">
      <c r="A310" t="inlineStr">
        <is>
          <t>market for ammonia, anhydrous, liquid</t>
        </is>
      </c>
      <c r="B310">
        <f>unallocated!B129/I310*J310</f>
        <v>0</v>
      </c>
      <c r="C310" t="inlineStr">
        <is>
          <t>RER</t>
        </is>
      </c>
      <c r="D310" t="inlineStr">
        <is>
          <t>kilogram</t>
        </is>
      </c>
      <c r="F310" t="inlineStr">
        <is>
          <t>technosphere</t>
        </is>
      </c>
      <c r="G310" t="inlineStr">
        <is>
          <t>ammonia, anhydrous, liquid</t>
        </is>
      </c>
      <c r="H310" t="inlineStr">
        <is>
          <t>100% liquid ammonia. In original publication, it is dilluated to 23.5% in water. We discount the original value by 75%.</t>
        </is>
      </c>
      <c r="I310" t="n">
        <v>1000</v>
      </c>
      <c r="J310" s="11">
        <f>J305</f>
        <v>0</v>
      </c>
      <c r="K310" t="n">
        <v>0</v>
      </c>
      <c r="L310" s="3" t="n"/>
    </row>
    <row r="311">
      <c r="A311" t="inlineStr">
        <is>
          <t>market for tap water</t>
        </is>
      </c>
      <c r="B311">
        <f>unallocated!B130/I311*J311</f>
        <v>0</v>
      </c>
      <c r="C311" t="inlineStr">
        <is>
          <t>Europe without Switzerland</t>
        </is>
      </c>
      <c r="D311" t="inlineStr">
        <is>
          <t>kilogram</t>
        </is>
      </c>
      <c r="F311" t="inlineStr">
        <is>
          <t>technosphere</t>
        </is>
      </c>
      <c r="G311" t="inlineStr">
        <is>
          <t>tap water</t>
        </is>
      </c>
      <c r="H311" t="inlineStr">
        <is>
          <t>Used to dilute the ammonia.</t>
        </is>
      </c>
      <c r="I311" t="n">
        <v>1000</v>
      </c>
      <c r="J311" s="11">
        <f>J305</f>
        <v>0</v>
      </c>
      <c r="K311" t="n">
        <v>0</v>
      </c>
      <c r="L311" s="3" t="n"/>
    </row>
    <row r="312">
      <c r="A312" t="inlineStr">
        <is>
          <t>market for calcium carbonate, precipitated</t>
        </is>
      </c>
      <c r="B312">
        <f>unallocated!B131/I312*J312</f>
        <v>0</v>
      </c>
      <c r="C312" t="inlineStr">
        <is>
          <t>RER</t>
        </is>
      </c>
      <c r="D312" t="inlineStr">
        <is>
          <t>kilogram</t>
        </is>
      </c>
      <c r="F312" t="inlineStr">
        <is>
          <t>technosphere</t>
        </is>
      </c>
      <c r="G312" t="inlineStr">
        <is>
          <t>calcium carbonate, precipitated</t>
        </is>
      </c>
      <c r="I312" t="n">
        <v>1000</v>
      </c>
      <c r="J312" s="11">
        <f>J305</f>
        <v>0</v>
      </c>
      <c r="K312" t="n">
        <v>0</v>
      </c>
      <c r="L312" s="3" t="n"/>
    </row>
    <row r="313">
      <c r="A313" t="inlineStr">
        <is>
          <t>market for iron(III) chloride, without water, in 40% solution state</t>
        </is>
      </c>
      <c r="B313">
        <f>unallocated!B132/I313*J313</f>
        <v>0</v>
      </c>
      <c r="C313" t="inlineStr">
        <is>
          <t>GLO</t>
        </is>
      </c>
      <c r="D313" t="inlineStr">
        <is>
          <t>kilogram</t>
        </is>
      </c>
      <c r="F313" t="inlineStr">
        <is>
          <t>technosphere</t>
        </is>
      </c>
      <c r="G313" t="inlineStr">
        <is>
          <t>iron(III) chloride, without water, in 40% solution state</t>
        </is>
      </c>
      <c r="I313" t="n">
        <v>1000</v>
      </c>
      <c r="J313" s="11">
        <f>J305</f>
        <v>0</v>
      </c>
      <c r="K313" t="n">
        <v>0</v>
      </c>
      <c r="L313" s="3" t="n"/>
    </row>
    <row r="314">
      <c r="A314" t="inlineStr">
        <is>
          <t>market for lime, hydrated, packed</t>
        </is>
      </c>
      <c r="B314">
        <f>unallocated!B133/I314*J314</f>
        <v>0</v>
      </c>
      <c r="C314" t="inlineStr">
        <is>
          <t>RER</t>
        </is>
      </c>
      <c r="D314" t="inlineStr">
        <is>
          <t>kilogram</t>
        </is>
      </c>
      <c r="F314" t="inlineStr">
        <is>
          <t>technosphere</t>
        </is>
      </c>
      <c r="G314" t="inlineStr">
        <is>
          <t>lime, hydrated, packed</t>
        </is>
      </c>
      <c r="I314" t="n">
        <v>1000</v>
      </c>
      <c r="J314" s="11">
        <f>J305</f>
        <v>0</v>
      </c>
      <c r="K314" t="n">
        <v>0</v>
      </c>
      <c r="L314" s="3" t="n"/>
    </row>
    <row r="315">
      <c r="A315" t="inlineStr">
        <is>
          <t>market for sodium hydroxide, without water, in 50% solution state</t>
        </is>
      </c>
      <c r="B315">
        <f>unallocated!B134/I315*J315</f>
        <v>0</v>
      </c>
      <c r="C315" t="inlineStr">
        <is>
          <t>RER</t>
        </is>
      </c>
      <c r="D315" t="inlineStr">
        <is>
          <t>kilogram</t>
        </is>
      </c>
      <c r="F315" t="inlineStr">
        <is>
          <t>technosphere</t>
        </is>
      </c>
      <c r="G315" t="inlineStr">
        <is>
          <t>sodium hydroxide, without water, in 50% solution state</t>
        </is>
      </c>
      <c r="H315" t="inlineStr">
        <is>
          <t>50% liquid ammonia. In original publication, it is dilluated to 27% in water. We discount the original value by 50%.</t>
        </is>
      </c>
      <c r="I315" t="n">
        <v>1000</v>
      </c>
      <c r="J315" s="11">
        <f>J305</f>
        <v>0</v>
      </c>
      <c r="K315" t="n">
        <v>0</v>
      </c>
      <c r="L315" s="3" t="n"/>
    </row>
    <row r="316">
      <c r="A316" t="inlineStr">
        <is>
          <t>market for monoethanolamine</t>
        </is>
      </c>
      <c r="B316">
        <f>unallocated!B135/I316*J316</f>
        <v>0</v>
      </c>
      <c r="C316" t="inlineStr">
        <is>
          <t>GLO</t>
        </is>
      </c>
      <c r="D316" t="inlineStr">
        <is>
          <t>kilogram</t>
        </is>
      </c>
      <c r="F316" t="inlineStr">
        <is>
          <t>technosphere</t>
        </is>
      </c>
      <c r="G316" t="inlineStr">
        <is>
          <t>monoethanolamine</t>
        </is>
      </c>
      <c r="I316" t="n">
        <v>1000</v>
      </c>
      <c r="J316" s="11">
        <f>J305</f>
        <v>0</v>
      </c>
      <c r="K316" t="n">
        <v>0</v>
      </c>
      <c r="L316" s="3" t="n"/>
    </row>
    <row r="317">
      <c r="A317" t="inlineStr">
        <is>
          <t>municipal waste incineration facility construction</t>
        </is>
      </c>
      <c r="B317">
        <f>unallocated!B136/I317*J317</f>
        <v>0</v>
      </c>
      <c r="C317" t="inlineStr">
        <is>
          <t>CH</t>
        </is>
      </c>
      <c r="D317" t="inlineStr">
        <is>
          <t>unit</t>
        </is>
      </c>
      <c r="F317" t="inlineStr">
        <is>
          <t>technosphere</t>
        </is>
      </c>
      <c r="G317" t="inlineStr">
        <is>
          <t>municipal waste incineration facility</t>
        </is>
      </c>
      <c r="H317" t="inlineStr">
        <is>
          <t>Lifetime: 4'000'000 tons MSWI treated.</t>
        </is>
      </c>
      <c r="I317" t="n">
        <v>1000</v>
      </c>
      <c r="J317" s="11">
        <f>J305</f>
        <v>0</v>
      </c>
      <c r="K317" t="n">
        <v>0</v>
      </c>
      <c r="L317" s="3" t="n"/>
    </row>
    <row r="318">
      <c r="A318" t="inlineStr">
        <is>
          <t>Water, cooling, unspecified natural origin</t>
        </is>
      </c>
      <c r="B318">
        <f>unallocated!B137/I318*J318</f>
        <v>0</v>
      </c>
      <c r="D318" t="inlineStr">
        <is>
          <t>cubic meter</t>
        </is>
      </c>
      <c r="E318" t="inlineStr">
        <is>
          <t>natural resource::in water</t>
        </is>
      </c>
      <c r="F318" t="inlineStr">
        <is>
          <t>biosphere</t>
        </is>
      </c>
      <c r="I318" t="n">
        <v>1000</v>
      </c>
      <c r="J318" s="11">
        <f>J305</f>
        <v>0</v>
      </c>
      <c r="K318" t="n">
        <v>0</v>
      </c>
      <c r="L318" s="3" t="n"/>
    </row>
    <row r="319">
      <c r="A319" t="inlineStr">
        <is>
          <t>Sulfur dioxide</t>
        </is>
      </c>
      <c r="B319">
        <f>unallocated!B138/I319*J319</f>
        <v>0</v>
      </c>
      <c r="D319" t="inlineStr">
        <is>
          <t>kilogram</t>
        </is>
      </c>
      <c r="E319" t="inlineStr">
        <is>
          <t>air::urban air close to ground</t>
        </is>
      </c>
      <c r="F319" t="inlineStr">
        <is>
          <t>biosphere</t>
        </is>
      </c>
      <c r="I319" t="n">
        <v>1000</v>
      </c>
      <c r="J319" s="11">
        <f>J305</f>
        <v>0</v>
      </c>
      <c r="K319" t="n">
        <v>0</v>
      </c>
      <c r="L319" s="3" t="n"/>
    </row>
    <row r="320">
      <c r="A320" t="inlineStr">
        <is>
          <t>Hydrochloric acid</t>
        </is>
      </c>
      <c r="B320">
        <f>unallocated!B139/I320*J320</f>
        <v>0</v>
      </c>
      <c r="D320" t="inlineStr">
        <is>
          <t>kilogram</t>
        </is>
      </c>
      <c r="E320" t="inlineStr">
        <is>
          <t>air</t>
        </is>
      </c>
      <c r="F320" t="inlineStr">
        <is>
          <t>biosphere</t>
        </is>
      </c>
      <c r="I320" t="n">
        <v>1000</v>
      </c>
      <c r="J320" s="11">
        <f>J305</f>
        <v>0</v>
      </c>
      <c r="K320" t="n">
        <v>0</v>
      </c>
      <c r="L320" s="3" t="n"/>
    </row>
    <row r="321">
      <c r="A321" t="inlineStr">
        <is>
          <t>Nitrogen oxides</t>
        </is>
      </c>
      <c r="B321">
        <f>unallocated!B140/I321*J321</f>
        <v>0</v>
      </c>
      <c r="D321" t="inlineStr">
        <is>
          <t>kilogram</t>
        </is>
      </c>
      <c r="E321" t="inlineStr">
        <is>
          <t>air::urban air close to ground</t>
        </is>
      </c>
      <c r="F321" t="inlineStr">
        <is>
          <t>biosphere</t>
        </is>
      </c>
      <c r="I321" t="n">
        <v>1000</v>
      </c>
      <c r="J321" s="11">
        <f>J305</f>
        <v>0</v>
      </c>
      <c r="K321" t="n">
        <v>0</v>
      </c>
      <c r="L321" s="3" t="n"/>
    </row>
    <row r="322">
      <c r="A322" t="inlineStr">
        <is>
          <t>Ammonia</t>
        </is>
      </c>
      <c r="B322">
        <f>unallocated!B141/I322*J322</f>
        <v>0</v>
      </c>
      <c r="D322" t="inlineStr">
        <is>
          <t>kilogram</t>
        </is>
      </c>
      <c r="E322" t="inlineStr">
        <is>
          <t>air::urban air close to ground</t>
        </is>
      </c>
      <c r="F322" t="inlineStr">
        <is>
          <t>biosphere</t>
        </is>
      </c>
      <c r="I322" t="n">
        <v>1000</v>
      </c>
      <c r="J322" s="11">
        <f>J305</f>
        <v>0</v>
      </c>
      <c r="K322" t="n">
        <v>0</v>
      </c>
      <c r="L322" s="3" t="n"/>
    </row>
    <row r="323">
      <c r="A323" t="inlineStr">
        <is>
          <t>Particulate Matter, &lt; 2.5 um</t>
        </is>
      </c>
      <c r="B323">
        <f>unallocated!B142/I323*J323</f>
        <v>0</v>
      </c>
      <c r="D323" t="inlineStr">
        <is>
          <t>kilogram</t>
        </is>
      </c>
      <c r="E323" t="inlineStr">
        <is>
          <t>air::urban air close to ground</t>
        </is>
      </c>
      <c r="F323" t="inlineStr">
        <is>
          <t>biosphere</t>
        </is>
      </c>
      <c r="I323" t="n">
        <v>1000</v>
      </c>
      <c r="J323" s="11">
        <f>J305</f>
        <v>0</v>
      </c>
      <c r="K323" t="n">
        <v>0</v>
      </c>
      <c r="L323" s="3" t="n"/>
    </row>
    <row r="324">
      <c r="A324" t="inlineStr">
        <is>
          <t>Mercury II</t>
        </is>
      </c>
      <c r="B324">
        <f>unallocated!B143/I324*J324</f>
        <v>0</v>
      </c>
      <c r="D324" t="inlineStr">
        <is>
          <t>kilogram</t>
        </is>
      </c>
      <c r="E324" t="inlineStr">
        <is>
          <t>air::urban air close to ground</t>
        </is>
      </c>
      <c r="F324" t="inlineStr">
        <is>
          <t>biosphere</t>
        </is>
      </c>
      <c r="I324" t="n">
        <v>1000</v>
      </c>
      <c r="J324" s="11">
        <f>J305</f>
        <v>0</v>
      </c>
      <c r="K324" t="n">
        <v>0</v>
      </c>
      <c r="L324" s="3" t="n"/>
    </row>
    <row r="325">
      <c r="A325" t="inlineStr">
        <is>
          <t>Lead II</t>
        </is>
      </c>
      <c r="B325">
        <f>unallocated!B144/I325*J325</f>
        <v>0</v>
      </c>
      <c r="D325" t="inlineStr">
        <is>
          <t>kilogram</t>
        </is>
      </c>
      <c r="E325" t="inlineStr">
        <is>
          <t>air::urban air close to ground</t>
        </is>
      </c>
      <c r="F325" t="inlineStr">
        <is>
          <t>biosphere</t>
        </is>
      </c>
      <c r="I325" t="n">
        <v>1000</v>
      </c>
      <c r="J325" s="11">
        <f>J305</f>
        <v>0</v>
      </c>
      <c r="K325" t="n">
        <v>0</v>
      </c>
      <c r="L325" s="3" t="n"/>
    </row>
    <row r="326">
      <c r="A326" t="inlineStr">
        <is>
          <t>Cadmium II</t>
        </is>
      </c>
      <c r="B326">
        <f>unallocated!B145/I326*J326</f>
        <v>0</v>
      </c>
      <c r="D326" t="inlineStr">
        <is>
          <t>kilogram</t>
        </is>
      </c>
      <c r="E326" t="inlineStr">
        <is>
          <t>air::urban air close to ground</t>
        </is>
      </c>
      <c r="F326" t="inlineStr">
        <is>
          <t>biosphere</t>
        </is>
      </c>
      <c r="I326" t="n">
        <v>1000</v>
      </c>
      <c r="J326" s="11">
        <f>J305</f>
        <v>0</v>
      </c>
      <c r="K326" t="n">
        <v>0</v>
      </c>
      <c r="L326" s="3" t="n"/>
    </row>
    <row r="327">
      <c r="A327" t="inlineStr">
        <is>
          <t>Arsenic ion</t>
        </is>
      </c>
      <c r="B327">
        <f>unallocated!B146/I327*J327</f>
        <v>0</v>
      </c>
      <c r="D327" t="inlineStr">
        <is>
          <t>kilogram</t>
        </is>
      </c>
      <c r="E327" t="inlineStr">
        <is>
          <t>air::urban air close to ground</t>
        </is>
      </c>
      <c r="F327" t="inlineStr">
        <is>
          <t>biosphere</t>
        </is>
      </c>
      <c r="I327" t="n">
        <v>1000</v>
      </c>
      <c r="J327" s="11">
        <f>J305</f>
        <v>0</v>
      </c>
      <c r="K327" t="n">
        <v>0</v>
      </c>
      <c r="L327" s="3" t="n"/>
    </row>
    <row r="328">
      <c r="A328" t="inlineStr">
        <is>
          <t>Dioxins, measured as 2,3,7,8-tetrachlorodibenzo-p-dioxin</t>
        </is>
      </c>
      <c r="B328">
        <f>unallocated!B147/I328*J328</f>
        <v>0</v>
      </c>
      <c r="D328" t="inlineStr">
        <is>
          <t>kilogram</t>
        </is>
      </c>
      <c r="E328" t="inlineStr">
        <is>
          <t>air::urban air close to ground</t>
        </is>
      </c>
      <c r="F328" t="inlineStr">
        <is>
          <t>biosphere</t>
        </is>
      </c>
      <c r="I328" t="n">
        <v>1000</v>
      </c>
      <c r="J328" s="11">
        <f>J305</f>
        <v>0</v>
      </c>
      <c r="K328" t="n">
        <v>0</v>
      </c>
      <c r="L328" s="3" t="n"/>
    </row>
    <row r="329">
      <c r="A329" t="inlineStr">
        <is>
          <t>Carbon dioxide, fossil</t>
        </is>
      </c>
      <c r="B329">
        <f>unallocated!B148/I329*J329</f>
        <v>0</v>
      </c>
      <c r="D329" t="inlineStr">
        <is>
          <t>kilogram</t>
        </is>
      </c>
      <c r="E329" t="inlineStr">
        <is>
          <t>air::urban air close to ground</t>
        </is>
      </c>
      <c r="F329" t="inlineStr">
        <is>
          <t>biosphere</t>
        </is>
      </c>
      <c r="I329" t="n">
        <v>1000</v>
      </c>
      <c r="J329" s="11">
        <f>J305</f>
        <v>0</v>
      </c>
      <c r="K329" t="n">
        <v>0</v>
      </c>
      <c r="L329" s="3" t="n"/>
    </row>
    <row r="330">
      <c r="A330" t="inlineStr">
        <is>
          <t>Carbon dioxide, non-fossil</t>
        </is>
      </c>
      <c r="B330">
        <f>unallocated!B149/I330*J330</f>
        <v>0</v>
      </c>
      <c r="D330" t="inlineStr">
        <is>
          <t>kilogram</t>
        </is>
      </c>
      <c r="E330" t="inlineStr">
        <is>
          <t>air::urban air close to ground</t>
        </is>
      </c>
      <c r="F330" t="inlineStr">
        <is>
          <t>biosphere</t>
        </is>
      </c>
      <c r="I330" t="n">
        <v>1000</v>
      </c>
      <c r="J330" s="11">
        <f>J305</f>
        <v>0</v>
      </c>
      <c r="K330" t="n">
        <v>0</v>
      </c>
      <c r="L330" s="3" t="n"/>
    </row>
    <row r="331"/>
    <row r="332">
      <c r="A332" s="1" t="inlineStr">
        <is>
          <t>Activity</t>
        </is>
      </c>
      <c r="B332" s="1" t="inlineStr">
        <is>
          <t>municipal waste incineration, at incineration plant, with wet air pollution control, without flue gas condensation, with electricity and heat recovery, exergy allocation</t>
        </is>
      </c>
    </row>
    <row r="333">
      <c r="A333" t="inlineStr">
        <is>
          <t>location</t>
        </is>
      </c>
      <c r="B333" t="inlineStr">
        <is>
          <t>RER</t>
        </is>
      </c>
    </row>
    <row r="334">
      <c r="A334" t="inlineStr">
        <is>
          <t>production amount</t>
        </is>
      </c>
      <c r="B334" t="n">
        <v>1</v>
      </c>
    </row>
    <row r="335">
      <c r="A335" s="2" t="inlineStr">
        <is>
          <t>source</t>
        </is>
      </c>
      <c r="B335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336">
      <c r="A336" t="inlineStr">
        <is>
          <t>reference product</t>
        </is>
      </c>
      <c r="B336" t="inlineStr">
        <is>
          <t>electricity, medium voltage</t>
        </is>
      </c>
    </row>
    <row r="337">
      <c r="A337" t="inlineStr">
        <is>
          <t>type</t>
        </is>
      </c>
      <c r="B337" t="inlineStr">
        <is>
          <t>process</t>
        </is>
      </c>
    </row>
    <row r="338">
      <c r="A338" t="inlineStr">
        <is>
          <t>unit</t>
        </is>
      </c>
      <c r="B338" t="inlineStr">
        <is>
          <t>kilowatt hour</t>
        </is>
      </c>
    </row>
    <row r="339">
      <c r="A339" t="inlineStr">
        <is>
          <t>comment</t>
        </is>
      </c>
      <c r="B339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628 kWh. Heat production per ton MSWI incinerated: 6'170 MJ.</t>
        </is>
      </c>
    </row>
    <row r="340">
      <c r="A340" s="1" t="inlineStr">
        <is>
          <t>Exchanges</t>
        </is>
      </c>
    </row>
    <row r="341">
      <c r="A341" s="7" t="inlineStr">
        <is>
          <t>name</t>
        </is>
      </c>
      <c r="B341" s="7" t="inlineStr">
        <is>
          <t>amount</t>
        </is>
      </c>
      <c r="C341" s="7" t="inlineStr">
        <is>
          <t>location</t>
        </is>
      </c>
      <c r="D341" s="7" t="inlineStr">
        <is>
          <t>unit</t>
        </is>
      </c>
      <c r="E341" s="7" t="inlineStr">
        <is>
          <t>categories</t>
        </is>
      </c>
      <c r="F341" s="7" t="inlineStr">
        <is>
          <t>type</t>
        </is>
      </c>
      <c r="G341" s="7" t="inlineStr">
        <is>
          <t>reference product</t>
        </is>
      </c>
      <c r="H341" s="7" t="inlineStr">
        <is>
          <t>comment</t>
        </is>
      </c>
      <c r="I341" s="7" t="inlineStr">
        <is>
          <t>normalization</t>
        </is>
      </c>
      <c r="J341" s="7" t="inlineStr">
        <is>
          <t>allocation</t>
        </is>
      </c>
      <c r="K341" s="7" t="inlineStr">
        <is>
          <t>uncertainty type</t>
        </is>
      </c>
      <c r="L341" s="7" t="inlineStr">
        <is>
          <t>loc</t>
        </is>
      </c>
      <c r="M341" s="1" t="inlineStr">
        <is>
          <t>u1</t>
        </is>
      </c>
      <c r="N341" s="1" t="inlineStr">
        <is>
          <t>u2</t>
        </is>
      </c>
      <c r="O341" s="1" t="inlineStr">
        <is>
          <t>u3</t>
        </is>
      </c>
      <c r="P341" s="1" t="inlineStr">
        <is>
          <t>u4</t>
        </is>
      </c>
      <c r="Q341" s="1" t="inlineStr">
        <is>
          <t>u5</t>
        </is>
      </c>
      <c r="R341" s="1" t="inlineStr">
        <is>
          <t>u6</t>
        </is>
      </c>
      <c r="S341" s="1" t="inlineStr">
        <is>
          <t>ub</t>
        </is>
      </c>
      <c r="T341" s="1" t="inlineStr">
        <is>
          <t>scale</t>
        </is>
      </c>
    </row>
    <row r="342">
      <c r="A342" t="inlineStr">
        <is>
          <t>municipal waste incineration, at incineration plant, with wet air pollution control, without flue gas condensation, with electricity and heat recovery, exergy allocation</t>
        </is>
      </c>
      <c r="B342" t="n">
        <v>0</v>
      </c>
      <c r="C342" t="inlineStr">
        <is>
          <t>RER</t>
        </is>
      </c>
      <c r="D342" t="inlineStr">
        <is>
          <t>kilogram</t>
        </is>
      </c>
      <c r="F342" t="inlineStr">
        <is>
          <t>technosphere</t>
        </is>
      </c>
      <c r="G342" t="inlineStr">
        <is>
          <t>municipal solid waste</t>
        </is>
      </c>
      <c r="H342" t="inlineStr"/>
      <c r="I342" t="n">
        <v>628</v>
      </c>
      <c r="J342" s="14">
        <f>INDEX('allocation keys'!$I$4:$K$29,MATCH('allocated (exergy)'!$B$332,'allocation keys'!$B$4:$B$28,0),MATCH('allocated (exergy)'!$B$336,'allocation keys'!$I$3:$K$3,0))</f>
        <v>0.74318403548379486</v>
      </c>
      <c r="K342" t="n">
        <v>0</v>
      </c>
      <c r="M342" s="5" t="n"/>
      <c r="N342" s="5" t="n"/>
      <c r="O342" s="5" t="n"/>
      <c r="P342" s="5" t="n"/>
      <c r="Q342" s="5" t="n"/>
      <c r="R342" s="5" t="n"/>
    </row>
    <row r="343">
      <c r="A343" t="inlineStr">
        <is>
          <t>municipal waste incineration, at incineration plant, with wet air pollution control, without flue gas condensation, with electricity and heat recovery, exergy allocation</t>
        </is>
      </c>
      <c r="B343" s="6" t="n">
        <v>1</v>
      </c>
      <c r="C343" t="inlineStr">
        <is>
          <t>RER</t>
        </is>
      </c>
      <c r="D343" t="inlineStr">
        <is>
          <t>kilowatt hour</t>
        </is>
      </c>
      <c r="F343" t="inlineStr">
        <is>
          <t>production</t>
        </is>
      </c>
      <c r="G343" t="inlineStr">
        <is>
          <t>electricity, medium voltage</t>
        </is>
      </c>
      <c r="H343" t="inlineStr"/>
      <c r="I343" t="n">
        <v>628</v>
      </c>
      <c r="J343" s="11">
        <f>J342</f>
        <v>0.74318403548379486</v>
      </c>
      <c r="K343" t="n">
        <v>0</v>
      </c>
      <c r="L343" s="3" t="n"/>
    </row>
    <row r="344">
      <c r="A344" t="inlineStr">
        <is>
          <t>municipal waste incineration, at incineration plant, with wet air pollution control, without flue gas condensation, with electricity and heat recovery, exergy allocation</t>
        </is>
      </c>
      <c r="B344" t="n">
        <v>0</v>
      </c>
      <c r="C344" t="inlineStr">
        <is>
          <t>RER</t>
        </is>
      </c>
      <c r="D344" t="inlineStr">
        <is>
          <t>megajoule</t>
        </is>
      </c>
      <c r="F344" t="inlineStr">
        <is>
          <t>technosphere</t>
        </is>
      </c>
      <c r="G344" t="inlineStr">
        <is>
          <t>heat, district or industrial, other than natural gas</t>
        </is>
      </c>
      <c r="H344" t="inlineStr"/>
      <c r="I344" t="n">
        <v>628</v>
      </c>
      <c r="J344" s="11">
        <f>J342</f>
        <v>0.74318403548379486</v>
      </c>
      <c r="K344" t="n">
        <v>0</v>
      </c>
      <c r="L344" s="3" t="n"/>
    </row>
    <row r="345">
      <c r="A345" t="inlineStr">
        <is>
          <t>market for diesel, low-sulfur</t>
        </is>
      </c>
      <c r="B345">
        <f>unallocated!B127/I345*J345</f>
        <v>1.0059019588554548E-4</v>
      </c>
      <c r="C345" t="inlineStr">
        <is>
          <t>Europe without Switzerland</t>
        </is>
      </c>
      <c r="D345" t="inlineStr">
        <is>
          <t>kilogram</t>
        </is>
      </c>
      <c r="F345" t="inlineStr">
        <is>
          <t>technosphere</t>
        </is>
      </c>
      <c r="G345" t="inlineStr">
        <is>
          <t>diesel, low-sulfur</t>
        </is>
      </c>
      <c r="H345" t="inlineStr">
        <is>
          <t>Diesel density: 0.85 kg/l</t>
        </is>
      </c>
      <c r="I345" t="n">
        <v>628</v>
      </c>
      <c r="J345" s="11">
        <f>J342</f>
        <v>0.74318403548379486</v>
      </c>
      <c r="K345" t="n">
        <v>2</v>
      </c>
      <c r="L345" s="3">
        <f>LN(B345)</f>
        <v>-9.2044557614539286</v>
      </c>
      <c r="M345" t="n">
        <v>1</v>
      </c>
      <c r="N345" t="n">
        <v>1</v>
      </c>
      <c r="O345" t="n">
        <v>1</v>
      </c>
      <c r="P345" t="n">
        <v>1.02</v>
      </c>
      <c r="Q345" t="n">
        <v>1.2</v>
      </c>
      <c r="R345" t="n">
        <v>1</v>
      </c>
      <c r="S345" t="n">
        <v>1.05</v>
      </c>
      <c r="T345">
        <f>LN(SQRT(EXP(
SQRT(
+POWER(LN(M345),2)
+POWER(LN(N345),2)
+POWER(LN(O345),2)
+POWER(LN(P345),2)
+POWER(LN(Q345),2)
+POWER(LN(R345),2)
+POWER(LN(S345),2)
)
)))</f>
        <v>9.4886477223156879E-2</v>
      </c>
    </row>
    <row r="346">
      <c r="A346" t="inlineStr">
        <is>
          <t>market for activated carbon, granular</t>
        </is>
      </c>
      <c r="B346">
        <f>unallocated!B128/I346*J346</f>
        <v>4.7336562769668467E-4</v>
      </c>
      <c r="C346" t="inlineStr">
        <is>
          <t>GLO</t>
        </is>
      </c>
      <c r="D346" t="inlineStr">
        <is>
          <t>kilogram</t>
        </is>
      </c>
      <c r="F346" t="inlineStr">
        <is>
          <t>technosphere</t>
        </is>
      </c>
      <c r="G346" t="inlineStr">
        <is>
          <t>activated carbon, granular</t>
        </is>
      </c>
      <c r="I346" t="n">
        <v>628</v>
      </c>
      <c r="J346" s="11">
        <f>J342</f>
        <v>0.74318403548379486</v>
      </c>
      <c r="K346" t="n">
        <v>2</v>
      </c>
      <c r="L346" s="3">
        <f>LN(B346)</f>
        <v>-7.6556424708362627</v>
      </c>
      <c r="M346" t="n">
        <v>1</v>
      </c>
      <c r="N346" t="n">
        <v>1</v>
      </c>
      <c r="O346" t="n">
        <v>1</v>
      </c>
      <c r="P346" t="n">
        <v>1.02</v>
      </c>
      <c r="Q346" t="n">
        <v>1.2</v>
      </c>
      <c r="R346" t="n">
        <v>1</v>
      </c>
      <c r="S346" t="n">
        <v>1.05</v>
      </c>
      <c r="T346">
        <f>LN(SQRT(EXP(
SQRT(
+POWER(LN(M346),2)
+POWER(LN(N346),2)
+POWER(LN(O346),2)
+POWER(LN(P346),2)
+POWER(LN(Q346),2)
+POWER(LN(R346),2)
+POWER(LN(S346),2)
)
)))</f>
        <v>9.4886477223156879E-2</v>
      </c>
    </row>
    <row r="347">
      <c r="A347" t="inlineStr">
        <is>
          <t>market for ammonia, anhydrous, liquid</t>
        </is>
      </c>
      <c r="B347">
        <f>unallocated!B129/I347*J347</f>
        <v>1.1597457878568772E-3</v>
      </c>
      <c r="C347" t="inlineStr">
        <is>
          <t>RER</t>
        </is>
      </c>
      <c r="D347" t="inlineStr">
        <is>
          <t>kilogram</t>
        </is>
      </c>
      <c r="F347" t="inlineStr">
        <is>
          <t>technosphere</t>
        </is>
      </c>
      <c r="G347" t="inlineStr">
        <is>
          <t>ammonia, anhydrous, liquid</t>
        </is>
      </c>
      <c r="H347" t="inlineStr">
        <is>
          <t>100% liquid ammonia. In original publication, it is dilluated to 23.5% in water. We discount the original value by 75%.</t>
        </is>
      </c>
      <c r="I347" t="n">
        <v>628</v>
      </c>
      <c r="J347" s="11">
        <f>J342</f>
        <v>0.74318403548379486</v>
      </c>
      <c r="K347" t="n">
        <v>2</v>
      </c>
      <c r="L347" s="3">
        <f>LN(B347)</f>
        <v>-6.7595544462796271</v>
      </c>
      <c r="M347" t="n">
        <v>1</v>
      </c>
      <c r="N347" t="n">
        <v>1</v>
      </c>
      <c r="O347" t="n">
        <v>1</v>
      </c>
      <c r="P347" t="n">
        <v>1.02</v>
      </c>
      <c r="Q347" t="n">
        <v>1.2</v>
      </c>
      <c r="R347" t="n">
        <v>1</v>
      </c>
      <c r="S347" t="n">
        <v>1.05</v>
      </c>
      <c r="T347">
        <f>LN(SQRT(EXP(
SQRT(
+POWER(LN(M347),2)
+POWER(LN(N347),2)
+POWER(LN(O347),2)
+POWER(LN(P347),2)
+POWER(LN(Q347),2)
+POWER(LN(R347),2)
+POWER(LN(S347),2)
)
)))</f>
        <v>9.4886477223156879E-2</v>
      </c>
    </row>
    <row r="348">
      <c r="A348" t="inlineStr">
        <is>
          <t>market for tap water</t>
        </is>
      </c>
      <c r="B348">
        <f>unallocated!B130/I348*J348</f>
        <v>3.5739104891099687E-3</v>
      </c>
      <c r="C348" t="inlineStr">
        <is>
          <t>Europe without Switzerland</t>
        </is>
      </c>
      <c r="D348" t="inlineStr">
        <is>
          <t>kilogram</t>
        </is>
      </c>
      <c r="F348" t="inlineStr">
        <is>
          <t>technosphere</t>
        </is>
      </c>
      <c r="G348" t="inlineStr">
        <is>
          <t>tap water</t>
        </is>
      </c>
      <c r="H348" t="inlineStr">
        <is>
          <t>Used to dilute the ammonia.</t>
        </is>
      </c>
      <c r="I348" t="n">
        <v>628</v>
      </c>
      <c r="J348" s="11">
        <f>J342</f>
        <v>0.74318403548379486</v>
      </c>
      <c r="K348" t="n">
        <v>2</v>
      </c>
      <c r="L348" s="3">
        <f>LN(B348)</f>
        <v>-5.6340949075753288</v>
      </c>
      <c r="M348" t="n">
        <v>1</v>
      </c>
      <c r="N348" t="n">
        <v>1</v>
      </c>
      <c r="O348" t="n">
        <v>1</v>
      </c>
      <c r="P348" t="n">
        <v>1.02</v>
      </c>
      <c r="Q348" t="n">
        <v>1.2</v>
      </c>
      <c r="R348" t="n">
        <v>1</v>
      </c>
      <c r="S348" t="n">
        <v>1.05</v>
      </c>
      <c r="T348">
        <f>LN(SQRT(EXP(
SQRT(
+POWER(LN(M348),2)
+POWER(LN(N348),2)
+POWER(LN(O348),2)
+POWER(LN(P348),2)
+POWER(LN(Q348),2)
+POWER(LN(R348),2)
+POWER(LN(S348),2)
)
)))</f>
        <v>9.4886477223156879E-2</v>
      </c>
    </row>
    <row r="349">
      <c r="A349" t="inlineStr">
        <is>
          <t>market for calcium carbonate, precipitated</t>
        </is>
      </c>
      <c r="B349">
        <f>unallocated!B131/I349*J349</f>
        <v>8.2838984846919806E-3</v>
      </c>
      <c r="C349" t="inlineStr">
        <is>
          <t>RER</t>
        </is>
      </c>
      <c r="D349" t="inlineStr">
        <is>
          <t>kilogram</t>
        </is>
      </c>
      <c r="F349" t="inlineStr">
        <is>
          <t>technosphere</t>
        </is>
      </c>
      <c r="G349" t="inlineStr">
        <is>
          <t>calcium carbonate, precipitated</t>
        </is>
      </c>
      <c r="I349" t="n">
        <v>628</v>
      </c>
      <c r="J349" s="11">
        <f>J342</f>
        <v>0.74318403548379486</v>
      </c>
      <c r="K349" t="n">
        <v>0</v>
      </c>
      <c r="L349" s="3" t="n"/>
    </row>
    <row r="350">
      <c r="A350" t="inlineStr">
        <is>
          <t>market for iron(III) chloride, without water, in 40% solution state</t>
        </is>
      </c>
      <c r="B350">
        <f>unallocated!B132/I350*J350</f>
        <v>5.9170703462085584E-5</v>
      </c>
      <c r="C350" t="inlineStr">
        <is>
          <t>GLO</t>
        </is>
      </c>
      <c r="D350" t="inlineStr">
        <is>
          <t>kilogram</t>
        </is>
      </c>
      <c r="F350" t="inlineStr">
        <is>
          <t>technosphere</t>
        </is>
      </c>
      <c r="G350" t="inlineStr">
        <is>
          <t>iron(III) chloride, without water, in 40% solution state</t>
        </is>
      </c>
      <c r="I350" t="n">
        <v>628</v>
      </c>
      <c r="J350" s="11">
        <f>J342</f>
        <v>0.74318403548379486</v>
      </c>
      <c r="K350" t="n">
        <v>0</v>
      </c>
      <c r="L350" s="3" t="n"/>
    </row>
    <row r="351">
      <c r="A351" t="inlineStr">
        <is>
          <t>market for lime, hydrated, packed</t>
        </is>
      </c>
      <c r="B351">
        <f>unallocated!B133/I351*J351</f>
        <v>0</v>
      </c>
      <c r="C351" t="inlineStr">
        <is>
          <t>RER</t>
        </is>
      </c>
      <c r="D351" t="inlineStr">
        <is>
          <t>kilogram</t>
        </is>
      </c>
      <c r="F351" t="inlineStr">
        <is>
          <t>technosphere</t>
        </is>
      </c>
      <c r="G351" t="inlineStr">
        <is>
          <t>lime, hydrated, packed</t>
        </is>
      </c>
      <c r="I351" t="n">
        <v>628</v>
      </c>
      <c r="J351" s="11">
        <f>J342</f>
        <v>0.74318403548379486</v>
      </c>
      <c r="K351" t="n">
        <v>0</v>
      </c>
      <c r="L351" s="3" t="n"/>
    </row>
    <row r="352">
      <c r="A352" t="inlineStr">
        <is>
          <t>market for sodium hydroxide, without water, in 50% solution state</t>
        </is>
      </c>
      <c r="B352">
        <f>unallocated!B134/I352*J352</f>
        <v>2.9585351731042789E-4</v>
      </c>
      <c r="C352" t="inlineStr">
        <is>
          <t>RER</t>
        </is>
      </c>
      <c r="D352" t="inlineStr">
        <is>
          <t>kilogram</t>
        </is>
      </c>
      <c r="F352" t="inlineStr">
        <is>
          <t>technosphere</t>
        </is>
      </c>
      <c r="G352" t="inlineStr">
        <is>
          <t>sodium hydroxide, without water, in 50% solution state</t>
        </is>
      </c>
      <c r="H352" t="inlineStr">
        <is>
          <t>50% liquid ammonia. In original publication, it is dilluated to 27% in water. We discount the original value by 50%.</t>
        </is>
      </c>
      <c r="I352" t="n">
        <v>628</v>
      </c>
      <c r="J352" s="11">
        <f>J342</f>
        <v>0.74318403548379486</v>
      </c>
      <c r="K352" t="n">
        <v>0</v>
      </c>
      <c r="L352" s="3" t="n"/>
    </row>
    <row r="353">
      <c r="A353" t="inlineStr">
        <is>
          <t>market for monoethanolamine</t>
        </is>
      </c>
      <c r="B353">
        <f>unallocated!B135/I353*J353</f>
        <v>0</v>
      </c>
      <c r="C353" t="inlineStr">
        <is>
          <t>GLO</t>
        </is>
      </c>
      <c r="D353" t="inlineStr">
        <is>
          <t>kilogram</t>
        </is>
      </c>
      <c r="F353" t="inlineStr">
        <is>
          <t>technosphere</t>
        </is>
      </c>
      <c r="G353" t="inlineStr">
        <is>
          <t>monoethanolamine</t>
        </is>
      </c>
      <c r="I353" t="n">
        <v>628</v>
      </c>
      <c r="J353" s="11">
        <f>J342</f>
        <v>0.74318403548379486</v>
      </c>
      <c r="K353" t="n">
        <v>0</v>
      </c>
      <c r="L353" s="3" t="n"/>
    </row>
    <row r="354">
      <c r="A354" t="inlineStr">
        <is>
          <t>municipal waste incineration facility construction</t>
        </is>
      </c>
      <c r="B354">
        <f>unallocated!B136/I354*J354</f>
        <v>2.9585351731042791E-10</v>
      </c>
      <c r="C354" t="inlineStr">
        <is>
          <t>CH</t>
        </is>
      </c>
      <c r="D354" t="inlineStr">
        <is>
          <t>unit</t>
        </is>
      </c>
      <c r="F354" t="inlineStr">
        <is>
          <t>technosphere</t>
        </is>
      </c>
      <c r="G354" t="inlineStr">
        <is>
          <t>municipal waste incineration facility</t>
        </is>
      </c>
      <c r="H354" t="inlineStr">
        <is>
          <t>Lifetime: 4'000'000 tons MSWI treated.</t>
        </is>
      </c>
      <c r="I354" t="n">
        <v>628</v>
      </c>
      <c r="J354" s="11">
        <f>J342</f>
        <v>0.74318403548379486</v>
      </c>
      <c r="K354" t="n">
        <v>2</v>
      </c>
      <c r="L354" s="3">
        <f>LN(B354)</f>
        <v>-21.941156658046271</v>
      </c>
      <c r="M354" t="n">
        <v>1</v>
      </c>
      <c r="N354" t="n">
        <v>1</v>
      </c>
      <c r="O354" t="n">
        <v>1</v>
      </c>
      <c r="P354" t="n">
        <v>1.02</v>
      </c>
      <c r="Q354" t="n">
        <v>1.2</v>
      </c>
      <c r="R354" t="n">
        <v>1</v>
      </c>
      <c r="S354" t="n">
        <v>3</v>
      </c>
      <c r="T354">
        <f>LN(SQRT(EXP(
SQRT(
+POWER(LN(M354),2)
+POWER(LN(N354),2)
+POWER(LN(O354),2)
+POWER(LN(P354),2)
+POWER(LN(Q354),2)
+POWER(LN(R354),2)
+POWER(LN(S354),2)
)
)))</f>
        <v>0.5569071410325479</v>
      </c>
    </row>
    <row r="355">
      <c r="A355" t="inlineStr">
        <is>
          <t>Water, cooling, unspecified natural origin</t>
        </is>
      </c>
      <c r="B355">
        <f>unallocated!B137/I355*J355</f>
        <v>3.5502422077251345E-4</v>
      </c>
      <c r="D355" t="inlineStr">
        <is>
          <t>cubic meter</t>
        </is>
      </c>
      <c r="E355" t="inlineStr">
        <is>
          <t>natural resource::in water</t>
        </is>
      </c>
      <c r="F355" t="inlineStr">
        <is>
          <t>biosphere</t>
        </is>
      </c>
      <c r="I355" t="n">
        <v>628</v>
      </c>
      <c r="J355" s="11">
        <f>J342</f>
        <v>0.74318403548379486</v>
      </c>
      <c r="K355" t="n">
        <v>2</v>
      </c>
      <c r="L355" s="3">
        <f>LN(B355)</f>
        <v>-7.9433245432880435</v>
      </c>
      <c r="M355" t="n">
        <v>1</v>
      </c>
      <c r="N355" t="n">
        <v>1</v>
      </c>
      <c r="O355" t="n">
        <v>1</v>
      </c>
      <c r="P355" t="n">
        <v>1.02</v>
      </c>
      <c r="Q355" t="n">
        <v>1.2</v>
      </c>
      <c r="R355" t="n">
        <v>1</v>
      </c>
      <c r="S355" t="n">
        <v>1.05</v>
      </c>
      <c r="T355">
        <f>LN(SQRT(EXP(
SQRT(
+POWER(LN(M355),2)
+POWER(LN(N355),2)
+POWER(LN(O355),2)
+POWER(LN(P355),2)
+POWER(LN(Q355),2)
+POWER(LN(R355),2)
+POWER(LN(S355),2)
)
)))</f>
        <v>9.4886477223156879E-2</v>
      </c>
    </row>
    <row r="356">
      <c r="A356" t="inlineStr">
        <is>
          <t>Sulfur dioxide</t>
        </is>
      </c>
      <c r="B356">
        <f>unallocated!B138/I356*J356</f>
        <v>6.6271187877535852E-5</v>
      </c>
      <c r="D356" t="inlineStr">
        <is>
          <t>kilogram</t>
        </is>
      </c>
      <c r="E356" t="inlineStr">
        <is>
          <t>air::urban air close to ground</t>
        </is>
      </c>
      <c r="F356" t="inlineStr">
        <is>
          <t>biosphere</t>
        </is>
      </c>
      <c r="I356" t="n">
        <v>628</v>
      </c>
      <c r="J356" s="11">
        <f>J342</f>
        <v>0.74318403548379486</v>
      </c>
      <c r="K356" t="n">
        <v>2</v>
      </c>
      <c r="L356" s="3">
        <f>LN(B356)</f>
        <v>-9.6217553272090957</v>
      </c>
      <c r="M356" t="n">
        <v>1</v>
      </c>
      <c r="N356" t="n">
        <v>1</v>
      </c>
      <c r="O356" t="n">
        <v>1</v>
      </c>
      <c r="P356" t="n">
        <v>1.02</v>
      </c>
      <c r="Q356" t="n">
        <v>1.2</v>
      </c>
      <c r="R356" t="n">
        <v>1</v>
      </c>
      <c r="S356" t="n">
        <v>1.05</v>
      </c>
      <c r="T356">
        <f>LN(SQRT(EXP(
SQRT(
+POWER(LN(M356),2)
+POWER(LN(N356),2)
+POWER(LN(O356),2)
+POWER(LN(P356),2)
+POWER(LN(Q356),2)
+POWER(LN(R356),2)
+POWER(LN(S356),2)
)
)))</f>
        <v>9.4886477223156879E-2</v>
      </c>
    </row>
    <row r="357">
      <c r="A357" t="inlineStr">
        <is>
          <t>Hydrochloric acid</t>
        </is>
      </c>
      <c r="B357">
        <f>unallocated!B139/I357*J357</f>
        <v>7.1004844154502699E-6</v>
      </c>
      <c r="D357" t="inlineStr">
        <is>
          <t>kilogram</t>
        </is>
      </c>
      <c r="E357" t="inlineStr">
        <is>
          <t>air</t>
        </is>
      </c>
      <c r="F357" t="inlineStr">
        <is>
          <t>biosphere</t>
        </is>
      </c>
      <c r="I357" t="n">
        <v>628</v>
      </c>
      <c r="J357" s="11">
        <f>J342</f>
        <v>0.74318403548379486</v>
      </c>
      <c r="K357" t="n">
        <v>2</v>
      </c>
      <c r="L357" s="3">
        <f>LN(B357)</f>
        <v>-11.855347548716189</v>
      </c>
      <c r="M357" t="n">
        <v>1</v>
      </c>
      <c r="N357" t="n">
        <v>1</v>
      </c>
      <c r="O357" t="n">
        <v>1</v>
      </c>
      <c r="P357" t="n">
        <v>1.02</v>
      </c>
      <c r="Q357" t="n">
        <v>1.2</v>
      </c>
      <c r="R357" t="n">
        <v>1</v>
      </c>
      <c r="S357" t="n">
        <v>1.5</v>
      </c>
      <c r="T357">
        <f>LN(SQRT(EXP(
SQRT(
+POWER(LN(M357),2)
+POWER(LN(N357),2)
+POWER(LN(O357),2)
+POWER(LN(P357),2)
+POWER(LN(Q357),2)
+POWER(LN(R357),2)
+POWER(LN(S357),2)
)
)))</f>
        <v>0.22250575723605889</v>
      </c>
    </row>
    <row r="358">
      <c r="A358" t="inlineStr">
        <is>
          <t>Nitrogen oxides</t>
        </is>
      </c>
      <c r="B358">
        <f>unallocated!B140/I358*J358</f>
        <v>8.0117132487663876E-4</v>
      </c>
      <c r="D358" t="inlineStr">
        <is>
          <t>kilogram</t>
        </is>
      </c>
      <c r="E358" t="inlineStr">
        <is>
          <t>air::urban air close to ground</t>
        </is>
      </c>
      <c r="F358" t="inlineStr">
        <is>
          <t>biosphere</t>
        </is>
      </c>
      <c r="I358" t="n">
        <v>628</v>
      </c>
      <c r="J358" s="11">
        <f>J342</f>
        <v>0.74318403548379486</v>
      </c>
      <c r="K358" t="n">
        <v>2</v>
      </c>
      <c r="L358" s="3">
        <f>LN(B358)</f>
        <v>-7.1294357450319694</v>
      </c>
      <c r="M358" t="n">
        <v>1</v>
      </c>
      <c r="N358" t="n">
        <v>1</v>
      </c>
      <c r="O358" t="n">
        <v>1</v>
      </c>
      <c r="P358" t="n">
        <v>1.02</v>
      </c>
      <c r="Q358" t="n">
        <v>1.2</v>
      </c>
      <c r="R358" t="n">
        <v>1</v>
      </c>
      <c r="S358" t="n">
        <v>1.5</v>
      </c>
      <c r="T358">
        <f>LN(SQRT(EXP(
SQRT(
+POWER(LN(M358),2)
+POWER(LN(N358),2)
+POWER(LN(O358),2)
+POWER(LN(P358),2)
+POWER(LN(Q358),2)
+POWER(LN(R358),2)
+POWER(LN(S358),2)
)
)))</f>
        <v>0.22250575723605889</v>
      </c>
    </row>
    <row r="359">
      <c r="A359" t="inlineStr">
        <is>
          <t>Ammonia</t>
        </is>
      </c>
      <c r="B359">
        <f>unallocated!B141/I359*J359</f>
        <v>3.550242207725135E-6</v>
      </c>
      <c r="D359" t="inlineStr">
        <is>
          <t>kilogram</t>
        </is>
      </c>
      <c r="E359" t="inlineStr">
        <is>
          <t>air::urban air close to ground</t>
        </is>
      </c>
      <c r="F359" t="inlineStr">
        <is>
          <t>biosphere</t>
        </is>
      </c>
      <c r="I359" t="n">
        <v>628</v>
      </c>
      <c r="J359" s="11">
        <f>J342</f>
        <v>0.74318403548379486</v>
      </c>
      <c r="K359" t="n">
        <v>2</v>
      </c>
      <c r="L359" s="3">
        <f>LN(B359)</f>
        <v>-12.548494729276134</v>
      </c>
      <c r="M359" t="n">
        <v>1</v>
      </c>
      <c r="N359" t="n">
        <v>1</v>
      </c>
      <c r="O359" t="n">
        <v>1</v>
      </c>
      <c r="P359" t="n">
        <v>1.02</v>
      </c>
      <c r="Q359" t="n">
        <v>1.2</v>
      </c>
      <c r="R359" t="n">
        <v>1</v>
      </c>
      <c r="S359" t="n">
        <v>1.5</v>
      </c>
      <c r="T359">
        <f>LN(SQRT(EXP(
SQRT(
+POWER(LN(M359),2)
+POWER(LN(N359),2)
+POWER(LN(O359),2)
+POWER(LN(P359),2)
+POWER(LN(Q359),2)
+POWER(LN(R359),2)
+POWER(LN(S359),2)
)
)))</f>
        <v>0.22250575723605889</v>
      </c>
    </row>
    <row r="360">
      <c r="A360" t="inlineStr">
        <is>
          <t>Particulate Matter, &lt; 2.5 um</t>
        </is>
      </c>
      <c r="B360">
        <f>unallocated!B142/I360*J360</f>
        <v>7.1004844154502699E-6</v>
      </c>
      <c r="D360" t="inlineStr">
        <is>
          <t>kilogram</t>
        </is>
      </c>
      <c r="E360" t="inlineStr">
        <is>
          <t>air::urban air close to ground</t>
        </is>
      </c>
      <c r="F360" t="inlineStr">
        <is>
          <t>biosphere</t>
        </is>
      </c>
      <c r="I360" t="n">
        <v>628</v>
      </c>
      <c r="J360" s="11">
        <f>J342</f>
        <v>0.74318403548379486</v>
      </c>
      <c r="K360" t="n">
        <v>2</v>
      </c>
      <c r="L360" s="3">
        <f>LN(B360)</f>
        <v>-11.855347548716189</v>
      </c>
      <c r="M360" t="n">
        <v>1</v>
      </c>
      <c r="N360" t="n">
        <v>1</v>
      </c>
      <c r="O360" t="n">
        <v>1</v>
      </c>
      <c r="P360" t="n">
        <v>1.02</v>
      </c>
      <c r="Q360" t="n">
        <v>1.2</v>
      </c>
      <c r="R360" t="n">
        <v>1</v>
      </c>
      <c r="S360" t="n">
        <v>3</v>
      </c>
      <c r="T360">
        <f>LN(SQRT(EXP(
SQRT(
+POWER(LN(M360),2)
+POWER(LN(N360),2)
+POWER(LN(O360),2)
+POWER(LN(P360),2)
+POWER(LN(Q360),2)
+POWER(LN(R360),2)
+POWER(LN(S360),2)
)
)))</f>
        <v>0.5569071410325479</v>
      </c>
    </row>
    <row r="361">
      <c r="A361" t="inlineStr">
        <is>
          <t>Mercury II</t>
        </is>
      </c>
      <c r="B361">
        <f>unallocated!B143/I361*J361</f>
        <v>2.7218523592559366E-8</v>
      </c>
      <c r="D361" t="inlineStr">
        <is>
          <t>kilogram</t>
        </is>
      </c>
      <c r="E361" t="inlineStr">
        <is>
          <t>air::urban air close to ground</t>
        </is>
      </c>
      <c r="F361" t="inlineStr">
        <is>
          <t>biosphere</t>
        </is>
      </c>
      <c r="I361" t="n">
        <v>628</v>
      </c>
      <c r="J361" s="11">
        <f>J342</f>
        <v>0.74318403548379486</v>
      </c>
      <c r="K361" t="n">
        <v>2</v>
      </c>
      <c r="L361" s="3">
        <f>LN(B361)</f>
        <v>-17.419368080997231</v>
      </c>
      <c r="M361" t="n">
        <v>1</v>
      </c>
      <c r="N361" t="n">
        <v>1</v>
      </c>
      <c r="O361" t="n">
        <v>1</v>
      </c>
      <c r="P361" t="n">
        <v>1.02</v>
      </c>
      <c r="Q361" t="n">
        <v>1.2</v>
      </c>
      <c r="R361" t="n">
        <v>1</v>
      </c>
      <c r="S361" t="n">
        <v>5</v>
      </c>
      <c r="T361">
        <f>LN(SQRT(EXP(
SQRT(
+POWER(LN(M361),2)
+POWER(LN(N361),2)
+POWER(LN(O361),2)
+POWER(LN(P361),2)
+POWER(LN(Q361),2)
+POWER(LN(R361),2)
+POWER(LN(S361),2)
)
)))</f>
        <v>0.80992649174166365</v>
      </c>
    </row>
    <row r="362">
      <c r="A362" t="inlineStr">
        <is>
          <t>Lead II</t>
        </is>
      </c>
      <c r="B362">
        <f>unallocated!B144/I362*J362</f>
        <v>6.6271187877535849E-8</v>
      </c>
      <c r="D362" t="inlineStr">
        <is>
          <t>kilogram</t>
        </is>
      </c>
      <c r="E362" t="inlineStr">
        <is>
          <t>air::urban air close to ground</t>
        </is>
      </c>
      <c r="F362" t="inlineStr">
        <is>
          <t>biosphere</t>
        </is>
      </c>
      <c r="I362" t="n">
        <v>628</v>
      </c>
      <c r="J362" s="11">
        <f>J342</f>
        <v>0.74318403548379486</v>
      </c>
      <c r="K362" t="n">
        <v>2</v>
      </c>
      <c r="L362" s="3">
        <f>LN(B362)</f>
        <v>-16.529510606191231</v>
      </c>
      <c r="M362" t="n">
        <v>1</v>
      </c>
      <c r="N362" t="n">
        <v>1</v>
      </c>
      <c r="O362" t="n">
        <v>1</v>
      </c>
      <c r="P362" t="n">
        <v>1.02</v>
      </c>
      <c r="Q362" t="n">
        <v>1.2</v>
      </c>
      <c r="R362" t="n">
        <v>1</v>
      </c>
      <c r="S362" t="n">
        <v>5</v>
      </c>
      <c r="T362">
        <f>LN(SQRT(EXP(
SQRT(
+POWER(LN(M362),2)
+POWER(LN(N362),2)
+POWER(LN(O362),2)
+POWER(LN(P362),2)
+POWER(LN(Q362),2)
+POWER(LN(R362),2)
+POWER(LN(S362),2)
)
)))</f>
        <v>0.80992649174166365</v>
      </c>
    </row>
    <row r="363">
      <c r="A363" t="inlineStr">
        <is>
          <t>Cadmium II</t>
        </is>
      </c>
      <c r="B363">
        <f>unallocated!B145/I363*J363</f>
        <v>1.3017554761658829E-8</v>
      </c>
      <c r="D363" t="inlineStr">
        <is>
          <t>kilogram</t>
        </is>
      </c>
      <c r="E363" t="inlineStr">
        <is>
          <t>air::urban air close to ground</t>
        </is>
      </c>
      <c r="F363" t="inlineStr">
        <is>
          <t>biosphere</t>
        </is>
      </c>
      <c r="I363" t="n">
        <v>628</v>
      </c>
      <c r="J363" s="11">
        <f>J342</f>
        <v>0.74318403548379486</v>
      </c>
      <c r="K363" t="n">
        <v>2</v>
      </c>
      <c r="L363" s="3">
        <f>LN(B363)</f>
        <v>-18.156967024128011</v>
      </c>
      <c r="M363" t="n">
        <v>1</v>
      </c>
      <c r="N363" t="n">
        <v>1</v>
      </c>
      <c r="O363" t="n">
        <v>1</v>
      </c>
      <c r="P363" t="n">
        <v>1.02</v>
      </c>
      <c r="Q363" t="n">
        <v>1.2</v>
      </c>
      <c r="R363" t="n">
        <v>1</v>
      </c>
      <c r="S363" t="n">
        <v>5</v>
      </c>
      <c r="T363">
        <f>LN(SQRT(EXP(
SQRT(
+POWER(LN(M363),2)
+POWER(LN(N363),2)
+POWER(LN(O363),2)
+POWER(LN(P363),2)
+POWER(LN(Q363),2)
+POWER(LN(R363),2)
+POWER(LN(S363),2)
)
)))</f>
        <v>0.80992649174166365</v>
      </c>
    </row>
    <row r="364">
      <c r="A364" t="inlineStr">
        <is>
          <t>Arsenic ion</t>
        </is>
      </c>
      <c r="B364">
        <f>unallocated!B146/I364*J364</f>
        <v>7.1004844154502693E-9</v>
      </c>
      <c r="D364" t="inlineStr">
        <is>
          <t>kilogram</t>
        </is>
      </c>
      <c r="E364" t="inlineStr">
        <is>
          <t>air::urban air close to ground</t>
        </is>
      </c>
      <c r="F364" t="inlineStr">
        <is>
          <t>biosphere</t>
        </is>
      </c>
      <c r="I364" t="n">
        <v>628</v>
      </c>
      <c r="J364" s="11">
        <f>J342</f>
        <v>0.74318403548379486</v>
      </c>
      <c r="K364" t="n">
        <v>2</v>
      </c>
      <c r="L364" s="3">
        <f>LN(B364)</f>
        <v>-18.763102827698326</v>
      </c>
      <c r="M364" t="n">
        <v>1</v>
      </c>
      <c r="N364" t="n">
        <v>1</v>
      </c>
      <c r="O364" t="n">
        <v>1</v>
      </c>
      <c r="P364" t="n">
        <v>1.02</v>
      </c>
      <c r="Q364" t="n">
        <v>1.2</v>
      </c>
      <c r="R364" t="n">
        <v>1</v>
      </c>
      <c r="S364" t="n">
        <v>5</v>
      </c>
      <c r="T364">
        <f>LN(SQRT(EXP(
SQRT(
+POWER(LN(M364),2)
+POWER(LN(N364),2)
+POWER(LN(O364),2)
+POWER(LN(P364),2)
+POWER(LN(Q364),2)
+POWER(LN(R364),2)
+POWER(LN(S364),2)
)
)))</f>
        <v>0.80992649174166365</v>
      </c>
    </row>
    <row r="365">
      <c r="A365" t="inlineStr">
        <is>
          <t>Dioxins, measured as 2,3,7,8-tetrachlorodibenzo-p-dioxin</t>
        </is>
      </c>
      <c r="B365">
        <f>unallocated!B147/I365*J365</f>
        <v>1.3017554761658828E-13</v>
      </c>
      <c r="D365" t="inlineStr">
        <is>
          <t>kilogram</t>
        </is>
      </c>
      <c r="E365" t="inlineStr">
        <is>
          <t>air::urban air close to ground</t>
        </is>
      </c>
      <c r="F365" t="inlineStr">
        <is>
          <t>biosphere</t>
        </is>
      </c>
      <c r="I365" t="n">
        <v>628</v>
      </c>
      <c r="J365" s="11">
        <f>J342</f>
        <v>0.74318403548379486</v>
      </c>
      <c r="K365" t="n">
        <v>2</v>
      </c>
      <c r="L365" s="3">
        <f>LN(B365)</f>
        <v>-29.669892489098238</v>
      </c>
      <c r="M365" t="n">
        <v>1</v>
      </c>
      <c r="N365" t="n">
        <v>1</v>
      </c>
      <c r="O365" t="n">
        <v>1</v>
      </c>
      <c r="P365" t="n">
        <v>1.02</v>
      </c>
      <c r="Q365" t="n">
        <v>1.2</v>
      </c>
      <c r="R365" t="n">
        <v>1</v>
      </c>
      <c r="S365" t="n">
        <v>5</v>
      </c>
      <c r="T365">
        <f>LN(SQRT(EXP(
SQRT(
+POWER(LN(M365),2)
+POWER(LN(N365),2)
+POWER(LN(O365),2)
+POWER(LN(P365),2)
+POWER(LN(Q365),2)
+POWER(LN(R365),2)
+POWER(LN(S365),2)
)
)))</f>
        <v>0.80992649174166365</v>
      </c>
    </row>
    <row r="366">
      <c r="A366" t="inlineStr">
        <is>
          <t>Carbon dioxide, fossil</t>
        </is>
      </c>
      <c r="B366">
        <f>unallocated!B148/I366*J366</f>
        <v>0.44259686189640013</v>
      </c>
      <c r="D366" t="inlineStr">
        <is>
          <t>kilogram</t>
        </is>
      </c>
      <c r="E366" t="inlineStr">
        <is>
          <t>air::urban air close to ground</t>
        </is>
      </c>
      <c r="F366" t="inlineStr">
        <is>
          <t>biosphere</t>
        </is>
      </c>
      <c r="I366" t="n">
        <v>628</v>
      </c>
      <c r="J366" s="11">
        <f>J342</f>
        <v>0.74318403548379486</v>
      </c>
      <c r="K366" t="n">
        <v>2</v>
      </c>
      <c r="L366" s="3">
        <f>LN(B366)</f>
        <v>-0.81509594154757536</v>
      </c>
      <c r="M366" t="n">
        <v>1</v>
      </c>
      <c r="N366" t="n">
        <v>1</v>
      </c>
      <c r="O366" t="n">
        <v>1</v>
      </c>
      <c r="P366" t="n">
        <v>1.02</v>
      </c>
      <c r="Q366" t="n">
        <v>1.2</v>
      </c>
      <c r="R366" t="n">
        <v>1</v>
      </c>
      <c r="S366" t="n">
        <v>1.05</v>
      </c>
      <c r="T366">
        <f>LN(SQRT(EXP(
SQRT(
+POWER(LN(M366),2)
+POWER(LN(N366),2)
+POWER(LN(O366),2)
+POWER(LN(P366),2)
+POWER(LN(Q366),2)
+POWER(LN(R366),2)
+POWER(LN(S366),2)
)
)))</f>
        <v>9.4886477223156879E-2</v>
      </c>
    </row>
    <row r="367">
      <c r="A367" t="inlineStr">
        <is>
          <t>Carbon dioxide, non-fossil</t>
        </is>
      </c>
      <c r="B367">
        <f>unallocated!B149/I367*J367</f>
        <v>0.70294795712957669</v>
      </c>
      <c r="D367" t="inlineStr">
        <is>
          <t>kilogram</t>
        </is>
      </c>
      <c r="E367" t="inlineStr">
        <is>
          <t>air::urban air close to ground</t>
        </is>
      </c>
      <c r="F367" t="inlineStr">
        <is>
          <t>biosphere</t>
        </is>
      </c>
      <c r="I367" t="n">
        <v>628</v>
      </c>
      <c r="J367" s="11">
        <f>J342</f>
        <v>0.74318403548379486</v>
      </c>
      <c r="K367" t="n">
        <v>2</v>
      </c>
      <c r="L367" s="3">
        <f>LN(B367)</f>
        <v>-0.35247241959946235</v>
      </c>
      <c r="M367" t="n">
        <v>1</v>
      </c>
      <c r="N367" t="n">
        <v>1</v>
      </c>
      <c r="O367" t="n">
        <v>1</v>
      </c>
      <c r="P367" t="n">
        <v>1.02</v>
      </c>
      <c r="Q367" t="n">
        <v>1.2</v>
      </c>
      <c r="R367" t="n">
        <v>1</v>
      </c>
      <c r="S367" t="n">
        <v>1.05</v>
      </c>
      <c r="T367">
        <f>LN(SQRT(EXP(
SQRT(
+POWER(LN(M367),2)
+POWER(LN(N367),2)
+POWER(LN(O367),2)
+POWER(LN(P367),2)
+POWER(LN(Q367),2)
+POWER(LN(R367),2)
+POWER(LN(S367),2)
)
)))</f>
        <v>9.4886477223156879E-2</v>
      </c>
    </row>
    <row r="368"/>
    <row r="369">
      <c r="A369" s="1" t="inlineStr">
        <is>
          <t>Activity</t>
        </is>
      </c>
      <c r="B369" s="1" t="inlineStr">
        <is>
          <t>municipal waste incineration, at incineration plant, with wet air pollution control, without flue gas condensation, with electricity and heat recovery, exergy allocation</t>
        </is>
      </c>
    </row>
    <row r="370">
      <c r="A370" t="inlineStr">
        <is>
          <t>location</t>
        </is>
      </c>
      <c r="B370" t="inlineStr">
        <is>
          <t>RER</t>
        </is>
      </c>
    </row>
    <row r="371">
      <c r="A371" t="inlineStr">
        <is>
          <t>production amount</t>
        </is>
      </c>
      <c r="B371" t="n">
        <v>1</v>
      </c>
    </row>
    <row r="372">
      <c r="A372" s="2" t="inlineStr">
        <is>
          <t>source</t>
        </is>
      </c>
      <c r="B372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373">
      <c r="A373" t="inlineStr">
        <is>
          <t>reference product</t>
        </is>
      </c>
      <c r="B373" t="inlineStr">
        <is>
          <t>heat, district or industrial, other than natural gas</t>
        </is>
      </c>
    </row>
    <row r="374">
      <c r="A374" t="inlineStr">
        <is>
          <t>type</t>
        </is>
      </c>
      <c r="B374" t="inlineStr">
        <is>
          <t>process</t>
        </is>
      </c>
    </row>
    <row r="375">
      <c r="A375" t="inlineStr">
        <is>
          <t>unit</t>
        </is>
      </c>
      <c r="B375" t="inlineStr">
        <is>
          <t>megajoule</t>
        </is>
      </c>
    </row>
    <row r="376">
      <c r="A376" t="inlineStr">
        <is>
          <t>comment</t>
        </is>
      </c>
      <c r="B376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628 kWh. Heat production per ton MSWI incinerated: 6'170 MJ.</t>
        </is>
      </c>
    </row>
    <row r="377">
      <c r="A377" s="1" t="inlineStr">
        <is>
          <t>Exchanges</t>
        </is>
      </c>
    </row>
    <row r="378">
      <c r="A378" s="7" t="inlineStr">
        <is>
          <t>name</t>
        </is>
      </c>
      <c r="B378" s="7" t="inlineStr">
        <is>
          <t>amount</t>
        </is>
      </c>
      <c r="C378" s="7" t="inlineStr">
        <is>
          <t>location</t>
        </is>
      </c>
      <c r="D378" s="7" t="inlineStr">
        <is>
          <t>unit</t>
        </is>
      </c>
      <c r="E378" s="7" t="inlineStr">
        <is>
          <t>categories</t>
        </is>
      </c>
      <c r="F378" s="7" t="inlineStr">
        <is>
          <t>type</t>
        </is>
      </c>
      <c r="G378" s="7" t="inlineStr">
        <is>
          <t>reference product</t>
        </is>
      </c>
      <c r="H378" s="7" t="inlineStr">
        <is>
          <t>comment</t>
        </is>
      </c>
      <c r="I378" s="7" t="inlineStr">
        <is>
          <t>normalization</t>
        </is>
      </c>
      <c r="J378" s="7" t="inlineStr">
        <is>
          <t>allocation</t>
        </is>
      </c>
      <c r="K378" s="7" t="inlineStr">
        <is>
          <t>uncertainty type</t>
        </is>
      </c>
      <c r="L378" s="7" t="inlineStr">
        <is>
          <t>loc</t>
        </is>
      </c>
      <c r="M378" s="1" t="inlineStr">
        <is>
          <t>u1</t>
        </is>
      </c>
      <c r="N378" s="1" t="inlineStr">
        <is>
          <t>u2</t>
        </is>
      </c>
      <c r="O378" s="1" t="inlineStr">
        <is>
          <t>u3</t>
        </is>
      </c>
      <c r="P378" s="1" t="inlineStr">
        <is>
          <t>u4</t>
        </is>
      </c>
      <c r="Q378" s="1" t="inlineStr">
        <is>
          <t>u5</t>
        </is>
      </c>
      <c r="R378" s="1" t="inlineStr">
        <is>
          <t>u6</t>
        </is>
      </c>
      <c r="S378" s="1" t="inlineStr">
        <is>
          <t>ub</t>
        </is>
      </c>
      <c r="T378" s="1" t="inlineStr">
        <is>
          <t>scale</t>
        </is>
      </c>
    </row>
    <row r="379">
      <c r="A379" t="inlineStr">
        <is>
          <t>municipal waste incineration, at incineration plant, with wet air pollution control, without flue gas condensation, with electricity and heat recovery, exergy allocation</t>
        </is>
      </c>
      <c r="B379" t="n">
        <v>0</v>
      </c>
      <c r="C379" t="inlineStr">
        <is>
          <t>RER</t>
        </is>
      </c>
      <c r="D379" t="inlineStr">
        <is>
          <t>kilogram</t>
        </is>
      </c>
      <c r="F379" t="inlineStr">
        <is>
          <t>technosphere</t>
        </is>
      </c>
      <c r="G379" t="inlineStr">
        <is>
          <t>municipal solid waste</t>
        </is>
      </c>
      <c r="H379" t="inlineStr"/>
      <c r="I379" t="n">
        <v>6170</v>
      </c>
      <c r="J379" s="14">
        <f>INDEX('allocation keys'!$I$4:$K$29,MATCH('allocated (exergy)'!$B$369,'allocation keys'!$B$4:$B$28,0),MATCH('allocated (exergy)'!$B$373,'allocation keys'!$I$3:$K$3,0))</f>
        <v>0.25681596451620514</v>
      </c>
      <c r="K379" t="n">
        <v>0</v>
      </c>
      <c r="M379" s="5" t="n"/>
      <c r="N379" s="5" t="n"/>
      <c r="O379" s="5" t="n"/>
      <c r="P379" s="5" t="n"/>
      <c r="Q379" s="5" t="n"/>
      <c r="R379" s="5" t="n"/>
    </row>
    <row r="380">
      <c r="A380" t="inlineStr">
        <is>
          <t>municipal waste incineration, at incineration plant, with wet air pollution control, without flue gas condensation, with electricity and heat recovery, exergy allocation</t>
        </is>
      </c>
      <c r="B380" s="6" t="n">
        <v>0</v>
      </c>
      <c r="C380" t="inlineStr">
        <is>
          <t>RER</t>
        </is>
      </c>
      <c r="D380" t="inlineStr">
        <is>
          <t>kilowatt hour</t>
        </is>
      </c>
      <c r="F380" t="inlineStr">
        <is>
          <t>technosphere</t>
        </is>
      </c>
      <c r="G380" t="inlineStr">
        <is>
          <t>electricity, medium voltage</t>
        </is>
      </c>
      <c r="H380" t="inlineStr"/>
      <c r="I380" t="n">
        <v>6170</v>
      </c>
      <c r="J380" s="11">
        <f>J379</f>
        <v>0.25681596451620514</v>
      </c>
      <c r="K380" t="n">
        <v>0</v>
      </c>
      <c r="L380" s="3" t="n"/>
    </row>
    <row r="381">
      <c r="A381" t="inlineStr">
        <is>
          <t>municipal waste incineration, at incineration plant, with wet air pollution control, without flue gas condensation, with electricity and heat recovery, exergy allocation</t>
        </is>
      </c>
      <c r="B381" t="n">
        <v>1</v>
      </c>
      <c r="C381" t="inlineStr">
        <is>
          <t>RER</t>
        </is>
      </c>
      <c r="D381" t="inlineStr">
        <is>
          <t>megajoule</t>
        </is>
      </c>
      <c r="F381" t="inlineStr">
        <is>
          <t>production</t>
        </is>
      </c>
      <c r="G381" t="inlineStr">
        <is>
          <t>heat, district or industrial, other than natural gas</t>
        </is>
      </c>
      <c r="H381" t="inlineStr"/>
      <c r="I381" t="n">
        <v>6170</v>
      </c>
      <c r="J381" s="11">
        <f>J379</f>
        <v>0.25681596451620514</v>
      </c>
      <c r="K381" t="n">
        <v>0</v>
      </c>
      <c r="L381" s="3" t="n"/>
    </row>
    <row r="382">
      <c r="A382" t="inlineStr">
        <is>
          <t>market for diesel, low-sulfur</t>
        </is>
      </c>
      <c r="B382">
        <f>unallocated!B127/I382*J382</f>
        <v>3.5379833037078505E-6</v>
      </c>
      <c r="C382" t="inlineStr">
        <is>
          <t>Europe without Switzerland</t>
        </is>
      </c>
      <c r="D382" t="inlineStr">
        <is>
          <t>kilogram</t>
        </is>
      </c>
      <c r="F382" t="inlineStr">
        <is>
          <t>technosphere</t>
        </is>
      </c>
      <c r="G382" t="inlineStr">
        <is>
          <t>diesel, low-sulfur</t>
        </is>
      </c>
      <c r="H382" t="inlineStr">
        <is>
          <t>Diesel density: 0.85 kg/l</t>
        </is>
      </c>
      <c r="I382" t="n">
        <v>6170</v>
      </c>
      <c r="J382" s="11">
        <f>J379</f>
        <v>0.25681596451620514</v>
      </c>
      <c r="K382" t="n">
        <v>2</v>
      </c>
      <c r="L382" s="3">
        <f>LN(B382)</f>
        <v>-12.551953681370701</v>
      </c>
      <c r="M382" t="n">
        <v>1</v>
      </c>
      <c r="N382" t="n">
        <v>1</v>
      </c>
      <c r="O382" t="n">
        <v>1</v>
      </c>
      <c r="P382" t="n">
        <v>1.02</v>
      </c>
      <c r="Q382" t="n">
        <v>1.2</v>
      </c>
      <c r="R382" t="n">
        <v>1</v>
      </c>
      <c r="S382" t="n">
        <v>1.05</v>
      </c>
      <c r="T382">
        <f>LN(SQRT(EXP(
SQRT(
+POWER(LN(M382),2)
+POWER(LN(N382),2)
+POWER(LN(O382),2)
+POWER(LN(P382),2)
+POWER(LN(Q382),2)
+POWER(LN(R382),2)
+POWER(LN(S382),2)
)
)))</f>
        <v>9.4886477223156879E-2</v>
      </c>
    </row>
    <row r="383">
      <c r="A383" t="inlineStr">
        <is>
          <t>market for activated carbon, granular</t>
        </is>
      </c>
      <c r="B383">
        <f>unallocated!B128/I383*J383</f>
        <v>1.6649333193919296E-5</v>
      </c>
      <c r="C383" t="inlineStr">
        <is>
          <t>GLO</t>
        </is>
      </c>
      <c r="D383" t="inlineStr">
        <is>
          <t>kilogram</t>
        </is>
      </c>
      <c r="F383" t="inlineStr">
        <is>
          <t>technosphere</t>
        </is>
      </c>
      <c r="G383" t="inlineStr">
        <is>
          <t>activated carbon, granular</t>
        </is>
      </c>
      <c r="I383" t="n">
        <v>6170</v>
      </c>
      <c r="J383" s="11">
        <f>J379</f>
        <v>0.25681596451620514</v>
      </c>
      <c r="K383" t="n">
        <v>2</v>
      </c>
      <c r="L383" s="3">
        <f>LN(B383)</f>
        <v>-11.003140390753035</v>
      </c>
      <c r="M383" t="n">
        <v>1</v>
      </c>
      <c r="N383" t="n">
        <v>1</v>
      </c>
      <c r="O383" t="n">
        <v>1</v>
      </c>
      <c r="P383" t="n">
        <v>1.02</v>
      </c>
      <c r="Q383" t="n">
        <v>1.2</v>
      </c>
      <c r="R383" t="n">
        <v>1</v>
      </c>
      <c r="S383" t="n">
        <v>1.05</v>
      </c>
      <c r="T383">
        <f>LN(SQRT(EXP(
SQRT(
+POWER(LN(M383),2)
+POWER(LN(N383),2)
+POWER(LN(O383),2)
+POWER(LN(P383),2)
+POWER(LN(Q383),2)
+POWER(LN(R383),2)
+POWER(LN(S383),2)
)
)))</f>
        <v>9.4886477223156879E-2</v>
      </c>
    </row>
    <row r="384">
      <c r="A384" t="inlineStr">
        <is>
          <t>market for ammonia, anhydrous, liquid</t>
        </is>
      </c>
      <c r="B384">
        <f>unallocated!B129/I384*J384</f>
        <v>4.0790866325102273E-5</v>
      </c>
      <c r="C384" t="inlineStr">
        <is>
          <t>RER</t>
        </is>
      </c>
      <c r="D384" t="inlineStr">
        <is>
          <t>kilogram</t>
        </is>
      </c>
      <c r="F384" t="inlineStr">
        <is>
          <t>technosphere</t>
        </is>
      </c>
      <c r="G384" t="inlineStr">
        <is>
          <t>ammonia, anhydrous, liquid</t>
        </is>
      </c>
      <c r="H384" t="inlineStr">
        <is>
          <t>100% liquid ammonia. In original publication, it is dilluated to 23.5% in water. We discount the original value by 75%.</t>
        </is>
      </c>
      <c r="I384" t="n">
        <v>6170</v>
      </c>
      <c r="J384" s="11">
        <f>J379</f>
        <v>0.25681596451620514</v>
      </c>
      <c r="K384" t="n">
        <v>2</v>
      </c>
      <c r="L384" s="3">
        <f>LN(B384)</f>
        <v>-10.107052366196401</v>
      </c>
      <c r="M384" t="n">
        <v>1</v>
      </c>
      <c r="N384" t="n">
        <v>1</v>
      </c>
      <c r="O384" t="n">
        <v>1</v>
      </c>
      <c r="P384" t="n">
        <v>1.02</v>
      </c>
      <c r="Q384" t="n">
        <v>1.2</v>
      </c>
      <c r="R384" t="n">
        <v>1</v>
      </c>
      <c r="S384" t="n">
        <v>1.05</v>
      </c>
      <c r="T384">
        <f>LN(SQRT(EXP(
SQRT(
+POWER(LN(M384),2)
+POWER(LN(N384),2)
+POWER(LN(O384),2)
+POWER(LN(P384),2)
+POWER(LN(Q384),2)
+POWER(LN(R384),2)
+POWER(LN(S384),2)
)
)))</f>
        <v>9.4886477223156879E-2</v>
      </c>
    </row>
    <row r="385">
      <c r="A385" t="inlineStr">
        <is>
          <t>market for tap water</t>
        </is>
      </c>
      <c r="B385">
        <f>unallocated!B130/I385*J385</f>
        <v>1.2570246561409068E-4</v>
      </c>
      <c r="C385" t="inlineStr">
        <is>
          <t>Europe without Switzerland</t>
        </is>
      </c>
      <c r="D385" t="inlineStr">
        <is>
          <t>kilogram</t>
        </is>
      </c>
      <c r="F385" t="inlineStr">
        <is>
          <t>technosphere</t>
        </is>
      </c>
      <c r="G385" t="inlineStr">
        <is>
          <t>tap water</t>
        </is>
      </c>
      <c r="H385" t="inlineStr">
        <is>
          <t>Used to dilute the ammonia.</t>
        </is>
      </c>
      <c r="I385" t="n">
        <v>6170</v>
      </c>
      <c r="J385" s="11">
        <f>J379</f>
        <v>0.25681596451620514</v>
      </c>
      <c r="K385" t="n">
        <v>2</v>
      </c>
      <c r="L385" s="3">
        <f>LN(B385)</f>
        <v>-8.9815928274921024</v>
      </c>
      <c r="M385" t="n">
        <v>1</v>
      </c>
      <c r="N385" t="n">
        <v>1</v>
      </c>
      <c r="O385" t="n">
        <v>1</v>
      </c>
      <c r="P385" t="n">
        <v>1.02</v>
      </c>
      <c r="Q385" t="n">
        <v>1.2</v>
      </c>
      <c r="R385" t="n">
        <v>1</v>
      </c>
      <c r="S385" t="n">
        <v>1.05</v>
      </c>
      <c r="T385">
        <f>LN(SQRT(EXP(
SQRT(
+POWER(LN(M385),2)
+POWER(LN(N385),2)
+POWER(LN(O385),2)
+POWER(LN(P385),2)
+POWER(LN(Q385),2)
+POWER(LN(R385),2)
+POWER(LN(S385),2)
)
)))</f>
        <v>9.4886477223156879E-2</v>
      </c>
    </row>
    <row r="386">
      <c r="A386" t="inlineStr">
        <is>
          <t>market for calcium carbonate, precipitated</t>
        </is>
      </c>
      <c r="B386">
        <f>unallocated!B131/I386*J386</f>
        <v>2.913633308935877E-4</v>
      </c>
      <c r="C386" t="inlineStr">
        <is>
          <t>RER</t>
        </is>
      </c>
      <c r="D386" t="inlineStr">
        <is>
          <t>kilogram</t>
        </is>
      </c>
      <c r="F386" t="inlineStr">
        <is>
          <t>technosphere</t>
        </is>
      </c>
      <c r="G386" t="inlineStr">
        <is>
          <t>calcium carbonate, precipitated</t>
        </is>
      </c>
      <c r="I386" t="n">
        <v>6170</v>
      </c>
      <c r="J386" s="11">
        <f>J379</f>
        <v>0.25681596451620514</v>
      </c>
      <c r="K386" t="n">
        <v>0</v>
      </c>
      <c r="L386" s="3" t="n"/>
    </row>
    <row r="387">
      <c r="A387" t="inlineStr">
        <is>
          <t>market for iron(III) chloride, without water, in 40% solution state</t>
        </is>
      </c>
      <c r="B387">
        <f>unallocated!B132/I387*J387</f>
        <v>2.081166649239912E-6</v>
      </c>
      <c r="C387" t="inlineStr">
        <is>
          <t>GLO</t>
        </is>
      </c>
      <c r="D387" t="inlineStr">
        <is>
          <t>kilogram</t>
        </is>
      </c>
      <c r="F387" t="inlineStr">
        <is>
          <t>technosphere</t>
        </is>
      </c>
      <c r="G387" t="inlineStr">
        <is>
          <t>iron(III) chloride, without water, in 40% solution state</t>
        </is>
      </c>
      <c r="I387" t="n">
        <v>6170</v>
      </c>
      <c r="J387" s="11">
        <f>J379</f>
        <v>0.25681596451620514</v>
      </c>
      <c r="K387" t="n">
        <v>0</v>
      </c>
      <c r="L387" s="3" t="n"/>
    </row>
    <row r="388">
      <c r="A388" t="inlineStr">
        <is>
          <t>market for lime, hydrated, packed</t>
        </is>
      </c>
      <c r="B388">
        <f>unallocated!B133/I388*J388</f>
        <v>0</v>
      </c>
      <c r="C388" t="inlineStr">
        <is>
          <t>RER</t>
        </is>
      </c>
      <c r="D388" t="inlineStr">
        <is>
          <t>kilogram</t>
        </is>
      </c>
      <c r="F388" t="inlineStr">
        <is>
          <t>technosphere</t>
        </is>
      </c>
      <c r="G388" t="inlineStr">
        <is>
          <t>lime, hydrated, packed</t>
        </is>
      </c>
      <c r="I388" t="n">
        <v>6170</v>
      </c>
      <c r="J388" s="11">
        <f>J379</f>
        <v>0.25681596451620514</v>
      </c>
      <c r="K388" t="n">
        <v>0</v>
      </c>
      <c r="L388" s="3" t="n"/>
    </row>
    <row r="389">
      <c r="A389" t="inlineStr">
        <is>
          <t>market for sodium hydroxide, without water, in 50% solution state</t>
        </is>
      </c>
      <c r="B389">
        <f>unallocated!B134/I389*J389</f>
        <v>1.0405833246199558E-5</v>
      </c>
      <c r="C389" t="inlineStr">
        <is>
          <t>RER</t>
        </is>
      </c>
      <c r="D389" t="inlineStr">
        <is>
          <t>kilogram</t>
        </is>
      </c>
      <c r="F389" t="inlineStr">
        <is>
          <t>technosphere</t>
        </is>
      </c>
      <c r="G389" t="inlineStr">
        <is>
          <t>sodium hydroxide, without water, in 50% solution state</t>
        </is>
      </c>
      <c r="H389" t="inlineStr">
        <is>
          <t>50% liquid ammonia. In original publication, it is dilluated to 27% in water. We discount the original value by 50%.</t>
        </is>
      </c>
      <c r="I389" t="n">
        <v>6170</v>
      </c>
      <c r="J389" s="11">
        <f>J379</f>
        <v>0.25681596451620514</v>
      </c>
      <c r="K389" t="n">
        <v>0</v>
      </c>
      <c r="L389" s="3" t="n"/>
    </row>
    <row r="390">
      <c r="A390" t="inlineStr">
        <is>
          <t>market for monoethanolamine</t>
        </is>
      </c>
      <c r="B390">
        <f>unallocated!B135/I390*J390</f>
        <v>0</v>
      </c>
      <c r="C390" t="inlineStr">
        <is>
          <t>GLO</t>
        </is>
      </c>
      <c r="D390" t="inlineStr">
        <is>
          <t>kilogram</t>
        </is>
      </c>
      <c r="F390" t="inlineStr">
        <is>
          <t>technosphere</t>
        </is>
      </c>
      <c r="G390" t="inlineStr">
        <is>
          <t>monoethanolamine</t>
        </is>
      </c>
      <c r="I390" t="n">
        <v>6170</v>
      </c>
      <c r="J390" s="11">
        <f>J379</f>
        <v>0.25681596451620514</v>
      </c>
      <c r="K390" t="n">
        <v>0</v>
      </c>
      <c r="L390" s="3" t="n"/>
    </row>
    <row r="391">
      <c r="A391" t="inlineStr">
        <is>
          <t>municipal waste incineration facility construction</t>
        </is>
      </c>
      <c r="B391">
        <f>unallocated!B136/I391*J391</f>
        <v>1.0405833246199559E-11</v>
      </c>
      <c r="C391" t="inlineStr">
        <is>
          <t>CH</t>
        </is>
      </c>
      <c r="D391" t="inlineStr">
        <is>
          <t>unit</t>
        </is>
      </c>
      <c r="F391" t="inlineStr">
        <is>
          <t>technosphere</t>
        </is>
      </c>
      <c r="G391" t="inlineStr">
        <is>
          <t>municipal waste incineration facility</t>
        </is>
      </c>
      <c r="H391" t="inlineStr">
        <is>
          <t>Lifetime: 4'000'000 tons MSWI treated.</t>
        </is>
      </c>
      <c r="I391" t="n">
        <v>6170</v>
      </c>
      <c r="J391" s="11">
        <f>J379</f>
        <v>0.25681596451620514</v>
      </c>
      <c r="K391" t="n">
        <v>2</v>
      </c>
      <c r="L391" s="3">
        <f>LN(B391)</f>
        <v>-25.288654577963047</v>
      </c>
      <c r="M391" t="n">
        <v>1</v>
      </c>
      <c r="N391" t="n">
        <v>1</v>
      </c>
      <c r="O391" t="n">
        <v>1</v>
      </c>
      <c r="P391" t="n">
        <v>1.02</v>
      </c>
      <c r="Q391" t="n">
        <v>1.2</v>
      </c>
      <c r="R391" t="n">
        <v>1</v>
      </c>
      <c r="S391" t="n">
        <v>3</v>
      </c>
      <c r="T391">
        <f>LN(SQRT(EXP(
SQRT(
+POWER(LN(M391),2)
+POWER(LN(N391),2)
+POWER(LN(O391),2)
+POWER(LN(P391),2)
+POWER(LN(Q391),2)
+POWER(LN(R391),2)
+POWER(LN(S391),2)
)
)))</f>
        <v>0.5569071410325479</v>
      </c>
    </row>
    <row r="392">
      <c r="A392" t="inlineStr">
        <is>
          <t>Water, cooling, unspecified natural origin</t>
        </is>
      </c>
      <c r="B392">
        <f>unallocated!B137/I392*J392</f>
        <v>1.2486999895439472E-5</v>
      </c>
      <c r="D392" t="inlineStr">
        <is>
          <t>cubic meter</t>
        </is>
      </c>
      <c r="E392" t="inlineStr">
        <is>
          <t>natural resource::in water</t>
        </is>
      </c>
      <c r="F392" t="inlineStr">
        <is>
          <t>biosphere</t>
        </is>
      </c>
      <c r="I392" t="n">
        <v>6170</v>
      </c>
      <c r="J392" s="11">
        <f>J379</f>
        <v>0.25681596451620514</v>
      </c>
      <c r="K392" t="n">
        <v>2</v>
      </c>
      <c r="L392" s="3">
        <f>LN(B392)</f>
        <v>-11.290822463204817</v>
      </c>
      <c r="M392" t="n">
        <v>1</v>
      </c>
      <c r="N392" t="n">
        <v>1</v>
      </c>
      <c r="O392" t="n">
        <v>1</v>
      </c>
      <c r="P392" t="n">
        <v>1.02</v>
      </c>
      <c r="Q392" t="n">
        <v>1.2</v>
      </c>
      <c r="R392" t="n">
        <v>1</v>
      </c>
      <c r="S392" t="n">
        <v>1.05</v>
      </c>
      <c r="T392">
        <f>LN(SQRT(EXP(
SQRT(
+POWER(LN(M392),2)
+POWER(LN(N392),2)
+POWER(LN(O392),2)
+POWER(LN(P392),2)
+POWER(LN(Q392),2)
+POWER(LN(R392),2)
+POWER(LN(S392),2)
)
)))</f>
        <v>9.4886477223156879E-2</v>
      </c>
    </row>
    <row r="393">
      <c r="A393" t="inlineStr">
        <is>
          <t>Sulfur dioxide</t>
        </is>
      </c>
      <c r="B393">
        <f>unallocated!B138/I393*J393</f>
        <v>2.3309066471487014E-6</v>
      </c>
      <c r="D393" t="inlineStr">
        <is>
          <t>kilogram</t>
        </is>
      </c>
      <c r="E393" t="inlineStr">
        <is>
          <t>air::urban air close to ground</t>
        </is>
      </c>
      <c r="F393" t="inlineStr">
        <is>
          <t>biosphere</t>
        </is>
      </c>
      <c r="I393" t="n">
        <v>6170</v>
      </c>
      <c r="J393" s="11">
        <f>J379</f>
        <v>0.25681596451620514</v>
      </c>
      <c r="K393" t="n">
        <v>2</v>
      </c>
      <c r="L393" s="3">
        <f>LN(B393)</f>
        <v>-12.969253247125868</v>
      </c>
      <c r="M393" t="n">
        <v>1</v>
      </c>
      <c r="N393" t="n">
        <v>1</v>
      </c>
      <c r="O393" t="n">
        <v>1</v>
      </c>
      <c r="P393" t="n">
        <v>1.02</v>
      </c>
      <c r="Q393" t="n">
        <v>1.2</v>
      </c>
      <c r="R393" t="n">
        <v>1</v>
      </c>
      <c r="S393" t="n">
        <v>1.05</v>
      </c>
      <c r="T393">
        <f>LN(SQRT(EXP(
SQRT(
+POWER(LN(M393),2)
+POWER(LN(N393),2)
+POWER(LN(O393),2)
+POWER(LN(P393),2)
+POWER(LN(Q393),2)
+POWER(LN(R393),2)
+POWER(LN(S393),2)
)
)))</f>
        <v>9.4886477223156879E-2</v>
      </c>
    </row>
    <row r="394">
      <c r="A394" t="inlineStr">
        <is>
          <t>Hydrochloric acid</t>
        </is>
      </c>
      <c r="B394">
        <f>unallocated!B139/I394*J394</f>
        <v>2.4973999790878943E-7</v>
      </c>
      <c r="D394" t="inlineStr">
        <is>
          <t>kilogram</t>
        </is>
      </c>
      <c r="E394" t="inlineStr">
        <is>
          <t>air</t>
        </is>
      </c>
      <c r="F394" t="inlineStr">
        <is>
          <t>biosphere</t>
        </is>
      </c>
      <c r="I394" t="n">
        <v>6170</v>
      </c>
      <c r="J394" s="11">
        <f>J379</f>
        <v>0.25681596451620514</v>
      </c>
      <c r="K394" t="n">
        <v>2</v>
      </c>
      <c r="L394" s="3">
        <f>LN(B394)</f>
        <v>-15.202845468632963</v>
      </c>
      <c r="M394" t="n">
        <v>1</v>
      </c>
      <c r="N394" t="n">
        <v>1</v>
      </c>
      <c r="O394" t="n">
        <v>1</v>
      </c>
      <c r="P394" t="n">
        <v>1.02</v>
      </c>
      <c r="Q394" t="n">
        <v>1.2</v>
      </c>
      <c r="R394" t="n">
        <v>1</v>
      </c>
      <c r="S394" t="n">
        <v>1.5</v>
      </c>
      <c r="T394">
        <f>LN(SQRT(EXP(
SQRT(
+POWER(LN(M394),2)
+POWER(LN(N394),2)
+POWER(LN(O394),2)
+POWER(LN(P394),2)
+POWER(LN(Q394),2)
+POWER(LN(R394),2)
+POWER(LN(S394),2)
)
)))</f>
        <v>0.22250575723605889</v>
      </c>
    </row>
    <row r="395">
      <c r="A395" t="inlineStr">
        <is>
          <t>Nitrogen oxides</t>
        </is>
      </c>
      <c r="B395">
        <f>unallocated!B140/I395*J395</f>
        <v>2.8178996430708412E-5</v>
      </c>
      <c r="D395" t="inlineStr">
        <is>
          <t>kilogram</t>
        </is>
      </c>
      <c r="E395" t="inlineStr">
        <is>
          <t>air::urban air close to ground</t>
        </is>
      </c>
      <c r="F395" t="inlineStr">
        <is>
          <t>biosphere</t>
        </is>
      </c>
      <c r="I395" t="n">
        <v>6170</v>
      </c>
      <c r="J395" s="11">
        <f>J379</f>
        <v>0.25681596451620514</v>
      </c>
      <c r="K395" t="n">
        <v>2</v>
      </c>
      <c r="L395" s="3">
        <f>LN(B395)</f>
        <v>-10.476933664948742</v>
      </c>
      <c r="M395" t="n">
        <v>1</v>
      </c>
      <c r="N395" t="n">
        <v>1</v>
      </c>
      <c r="O395" t="n">
        <v>1</v>
      </c>
      <c r="P395" t="n">
        <v>1.02</v>
      </c>
      <c r="Q395" t="n">
        <v>1.2</v>
      </c>
      <c r="R395" t="n">
        <v>1</v>
      </c>
      <c r="S395" t="n">
        <v>1.5</v>
      </c>
      <c r="T395">
        <f>LN(SQRT(EXP(
SQRT(
+POWER(LN(M395),2)
+POWER(LN(N395),2)
+POWER(LN(O395),2)
+POWER(LN(P395),2)
+POWER(LN(Q395),2)
+POWER(LN(R395),2)
+POWER(LN(S395),2)
)
)))</f>
        <v>0.22250575723605889</v>
      </c>
    </row>
    <row r="396">
      <c r="A396" t="inlineStr">
        <is>
          <t>Ammonia</t>
        </is>
      </c>
      <c r="B396">
        <f>unallocated!B141/I396*J396</f>
        <v>1.2486999895439472E-7</v>
      </c>
      <c r="D396" t="inlineStr">
        <is>
          <t>kilogram</t>
        </is>
      </c>
      <c r="E396" t="inlineStr">
        <is>
          <t>air::urban air close to ground</t>
        </is>
      </c>
      <c r="F396" t="inlineStr">
        <is>
          <t>biosphere</t>
        </is>
      </c>
      <c r="I396" t="n">
        <v>6170</v>
      </c>
      <c r="J396" s="11">
        <f>J379</f>
        <v>0.25681596451620514</v>
      </c>
      <c r="K396" t="n">
        <v>2</v>
      </c>
      <c r="L396" s="3">
        <f>LN(B396)</f>
        <v>-15.895992649192909</v>
      </c>
      <c r="M396" t="n">
        <v>1</v>
      </c>
      <c r="N396" t="n">
        <v>1</v>
      </c>
      <c r="O396" t="n">
        <v>1</v>
      </c>
      <c r="P396" t="n">
        <v>1.02</v>
      </c>
      <c r="Q396" t="n">
        <v>1.2</v>
      </c>
      <c r="R396" t="n">
        <v>1</v>
      </c>
      <c r="S396" t="n">
        <v>1.5</v>
      </c>
      <c r="T396">
        <f>LN(SQRT(EXP(
SQRT(
+POWER(LN(M396),2)
+POWER(LN(N396),2)
+POWER(LN(O396),2)
+POWER(LN(P396),2)
+POWER(LN(Q396),2)
+POWER(LN(R396),2)
+POWER(LN(S396),2)
)
)))</f>
        <v>0.22250575723605889</v>
      </c>
    </row>
    <row r="397">
      <c r="A397" t="inlineStr">
        <is>
          <t>Particulate Matter, &lt; 2.5 um</t>
        </is>
      </c>
      <c r="B397">
        <f>unallocated!B142/I397*J397</f>
        <v>2.4973999790878943E-7</v>
      </c>
      <c r="D397" t="inlineStr">
        <is>
          <t>kilogram</t>
        </is>
      </c>
      <c r="E397" t="inlineStr">
        <is>
          <t>air::urban air close to ground</t>
        </is>
      </c>
      <c r="F397" t="inlineStr">
        <is>
          <t>biosphere</t>
        </is>
      </c>
      <c r="I397" t="n">
        <v>6170</v>
      </c>
      <c r="J397" s="11">
        <f>J379</f>
        <v>0.25681596451620514</v>
      </c>
      <c r="K397" t="n">
        <v>2</v>
      </c>
      <c r="L397" s="3">
        <f>LN(B397)</f>
        <v>-15.202845468632963</v>
      </c>
      <c r="M397" t="n">
        <v>1</v>
      </c>
      <c r="N397" t="n">
        <v>1</v>
      </c>
      <c r="O397" t="n">
        <v>1</v>
      </c>
      <c r="P397" t="n">
        <v>1.02</v>
      </c>
      <c r="Q397" t="n">
        <v>1.2</v>
      </c>
      <c r="R397" t="n">
        <v>1</v>
      </c>
      <c r="S397" t="n">
        <v>3</v>
      </c>
      <c r="T397">
        <f>LN(SQRT(EXP(
SQRT(
+POWER(LN(M397),2)
+POWER(LN(N397),2)
+POWER(LN(O397),2)
+POWER(LN(P397),2)
+POWER(LN(Q397),2)
+POWER(LN(R397),2)
+POWER(LN(S397),2)
)
)))</f>
        <v>0.5569071410325479</v>
      </c>
    </row>
    <row r="398">
      <c r="A398" t="inlineStr">
        <is>
          <t>Mercury II</t>
        </is>
      </c>
      <c r="B398">
        <f>unallocated!B143/I398*J398</f>
        <v>9.5733665865035964E-10</v>
      </c>
      <c r="D398" t="inlineStr">
        <is>
          <t>kilogram</t>
        </is>
      </c>
      <c r="E398" t="inlineStr">
        <is>
          <t>air::urban air close to ground</t>
        </is>
      </c>
      <c r="F398" t="inlineStr">
        <is>
          <t>biosphere</t>
        </is>
      </c>
      <c r="I398" t="n">
        <v>6170</v>
      </c>
      <c r="J398" s="11">
        <f>J379</f>
        <v>0.25681596451620514</v>
      </c>
      <c r="K398" t="n">
        <v>2</v>
      </c>
      <c r="L398" s="3">
        <f>LN(B398)</f>
        <v>-20.766866000914003</v>
      </c>
      <c r="M398" t="n">
        <v>1</v>
      </c>
      <c r="N398" t="n">
        <v>1</v>
      </c>
      <c r="O398" t="n">
        <v>1</v>
      </c>
      <c r="P398" t="n">
        <v>1.02</v>
      </c>
      <c r="Q398" t="n">
        <v>1.2</v>
      </c>
      <c r="R398" t="n">
        <v>1</v>
      </c>
      <c r="S398" t="n">
        <v>5</v>
      </c>
      <c r="T398">
        <f>LN(SQRT(EXP(
SQRT(
+POWER(LN(M398),2)
+POWER(LN(N398),2)
+POWER(LN(O398),2)
+POWER(LN(P398),2)
+POWER(LN(Q398),2)
+POWER(LN(R398),2)
+POWER(LN(S398),2)
)
)))</f>
        <v>0.80992649174166365</v>
      </c>
    </row>
    <row r="399">
      <c r="A399" t="inlineStr">
        <is>
          <t>Lead II</t>
        </is>
      </c>
      <c r="B399">
        <f>unallocated!B144/I399*J399</f>
        <v>2.3309066471487017E-9</v>
      </c>
      <c r="D399" t="inlineStr">
        <is>
          <t>kilogram</t>
        </is>
      </c>
      <c r="E399" t="inlineStr">
        <is>
          <t>air::urban air close to ground</t>
        </is>
      </c>
      <c r="F399" t="inlineStr">
        <is>
          <t>biosphere</t>
        </is>
      </c>
      <c r="I399" t="n">
        <v>6170</v>
      </c>
      <c r="J399" s="11">
        <f>J379</f>
        <v>0.25681596451620514</v>
      </c>
      <c r="K399" t="n">
        <v>2</v>
      </c>
      <c r="L399" s="3">
        <f>LN(B399)</f>
        <v>-19.877008526108007</v>
      </c>
      <c r="M399" t="n">
        <v>1</v>
      </c>
      <c r="N399" t="n">
        <v>1</v>
      </c>
      <c r="O399" t="n">
        <v>1</v>
      </c>
      <c r="P399" t="n">
        <v>1.02</v>
      </c>
      <c r="Q399" t="n">
        <v>1.2</v>
      </c>
      <c r="R399" t="n">
        <v>1</v>
      </c>
      <c r="S399" t="n">
        <v>5</v>
      </c>
      <c r="T399">
        <f>LN(SQRT(EXP(
SQRT(
+POWER(LN(M399),2)
+POWER(LN(N399),2)
+POWER(LN(O399),2)
+POWER(LN(P399),2)
+POWER(LN(Q399),2)
+POWER(LN(R399),2)
+POWER(LN(S399),2)
)
)))</f>
        <v>0.80992649174166365</v>
      </c>
    </row>
    <row r="400">
      <c r="A400" t="inlineStr">
        <is>
          <t>Cadmium II</t>
        </is>
      </c>
      <c r="B400">
        <f>unallocated!B145/I400*J400</f>
        <v>4.5785666283278063E-10</v>
      </c>
      <c r="D400" t="inlineStr">
        <is>
          <t>kilogram</t>
        </is>
      </c>
      <c r="E400" t="inlineStr">
        <is>
          <t>air::urban air close to ground</t>
        </is>
      </c>
      <c r="F400" t="inlineStr">
        <is>
          <t>biosphere</t>
        </is>
      </c>
      <c r="I400" t="n">
        <v>6170</v>
      </c>
      <c r="J400" s="11">
        <f>J379</f>
        <v>0.25681596451620514</v>
      </c>
      <c r="K400" t="n">
        <v>2</v>
      </c>
      <c r="L400" s="3">
        <f>LN(B400)</f>
        <v>-21.504464944044784</v>
      </c>
      <c r="M400" t="n">
        <v>1</v>
      </c>
      <c r="N400" t="n">
        <v>1</v>
      </c>
      <c r="O400" t="n">
        <v>1</v>
      </c>
      <c r="P400" t="n">
        <v>1.02</v>
      </c>
      <c r="Q400" t="n">
        <v>1.2</v>
      </c>
      <c r="R400" t="n">
        <v>1</v>
      </c>
      <c r="S400" t="n">
        <v>5</v>
      </c>
      <c r="T400">
        <f>LN(SQRT(EXP(
SQRT(
+POWER(LN(M400),2)
+POWER(LN(N400),2)
+POWER(LN(O400),2)
+POWER(LN(P400),2)
+POWER(LN(Q400),2)
+POWER(LN(R400),2)
+POWER(LN(S400),2)
)
)))</f>
        <v>0.80992649174166365</v>
      </c>
    </row>
    <row r="401">
      <c r="A401" t="inlineStr">
        <is>
          <t>Arsenic ion</t>
        </is>
      </c>
      <c r="B401">
        <f>unallocated!B146/I401*J401</f>
        <v>2.4973999790878945E-10</v>
      </c>
      <c r="D401" t="inlineStr">
        <is>
          <t>kilogram</t>
        </is>
      </c>
      <c r="E401" t="inlineStr">
        <is>
          <t>air::urban air close to ground</t>
        </is>
      </c>
      <c r="F401" t="inlineStr">
        <is>
          <t>biosphere</t>
        </is>
      </c>
      <c r="I401" t="n">
        <v>6170</v>
      </c>
      <c r="J401" s="11">
        <f>J379</f>
        <v>0.25681596451620514</v>
      </c>
      <c r="K401" t="n">
        <v>2</v>
      </c>
      <c r="L401" s="3">
        <f>LN(B401)</f>
        <v>-22.110600747615099</v>
      </c>
      <c r="M401" t="n">
        <v>1</v>
      </c>
      <c r="N401" t="n">
        <v>1</v>
      </c>
      <c r="O401" t="n">
        <v>1</v>
      </c>
      <c r="P401" t="n">
        <v>1.02</v>
      </c>
      <c r="Q401" t="n">
        <v>1.2</v>
      </c>
      <c r="R401" t="n">
        <v>1</v>
      </c>
      <c r="S401" t="n">
        <v>5</v>
      </c>
      <c r="T401">
        <f>LN(SQRT(EXP(
SQRT(
+POWER(LN(M401),2)
+POWER(LN(N401),2)
+POWER(LN(O401),2)
+POWER(LN(P401),2)
+POWER(LN(Q401),2)
+POWER(LN(R401),2)
+POWER(LN(S401),2)
)
)))</f>
        <v>0.80992649174166365</v>
      </c>
    </row>
    <row r="402">
      <c r="A402" t="inlineStr">
        <is>
          <t>Dioxins, measured as 2,3,7,8-tetrachlorodibenzo-p-dioxin</t>
        </is>
      </c>
      <c r="B402">
        <f>unallocated!B147/I402*J402</f>
        <v>4.5785666283278062E-15</v>
      </c>
      <c r="D402" t="inlineStr">
        <is>
          <t>kilogram</t>
        </is>
      </c>
      <c r="E402" t="inlineStr">
        <is>
          <t>air::urban air close to ground</t>
        </is>
      </c>
      <c r="F402" t="inlineStr">
        <is>
          <t>biosphere</t>
        </is>
      </c>
      <c r="I402" t="n">
        <v>6170</v>
      </c>
      <c r="J402" s="11">
        <f>J379</f>
        <v>0.25681596451620514</v>
      </c>
      <c r="K402" t="n">
        <v>2</v>
      </c>
      <c r="L402" s="3">
        <f>LN(B402)</f>
        <v>-33.017390409015015</v>
      </c>
      <c r="M402" t="n">
        <v>1</v>
      </c>
      <c r="N402" t="n">
        <v>1</v>
      </c>
      <c r="O402" t="n">
        <v>1</v>
      </c>
      <c r="P402" t="n">
        <v>1.02</v>
      </c>
      <c r="Q402" t="n">
        <v>1.2</v>
      </c>
      <c r="R402" t="n">
        <v>1</v>
      </c>
      <c r="S402" t="n">
        <v>5</v>
      </c>
      <c r="T402">
        <f>LN(SQRT(EXP(
SQRT(
+POWER(LN(M402),2)
+POWER(LN(N402),2)
+POWER(LN(O402),2)
+POWER(LN(P402),2)
+POWER(LN(Q402),2)
+POWER(LN(R402),2)
+POWER(LN(S402),2)
)
)))</f>
        <v>0.80992649174166365</v>
      </c>
    </row>
    <row r="403">
      <c r="A403" t="inlineStr">
        <is>
          <t>Carbon dioxide, fossil</t>
        </is>
      </c>
      <c r="B403">
        <f>unallocated!B148/I403*J403</f>
        <v>1.5567126536314542E-2</v>
      </c>
      <c r="D403" t="inlineStr">
        <is>
          <t>kilogram</t>
        </is>
      </c>
      <c r="E403" t="inlineStr">
        <is>
          <t>air::urban air close to ground</t>
        </is>
      </c>
      <c r="F403" t="inlineStr">
        <is>
          <t>biosphere</t>
        </is>
      </c>
      <c r="I403" t="n">
        <v>6170</v>
      </c>
      <c r="J403" s="11">
        <f>J379</f>
        <v>0.25681596451620514</v>
      </c>
      <c r="K403" t="n">
        <v>2</v>
      </c>
      <c r="L403" s="3">
        <f>LN(B403)</f>
        <v>-4.162593861464349</v>
      </c>
      <c r="M403" t="n">
        <v>1</v>
      </c>
      <c r="N403" t="n">
        <v>1</v>
      </c>
      <c r="O403" t="n">
        <v>1</v>
      </c>
      <c r="P403" t="n">
        <v>1.02</v>
      </c>
      <c r="Q403" t="n">
        <v>1.2</v>
      </c>
      <c r="R403" t="n">
        <v>1</v>
      </c>
      <c r="S403" t="n">
        <v>1.05</v>
      </c>
      <c r="T403">
        <f>LN(SQRT(EXP(
SQRT(
+POWER(LN(M403),2)
+POWER(LN(N403),2)
+POWER(LN(O403),2)
+POWER(LN(P403),2)
+POWER(LN(Q403),2)
+POWER(LN(R403),2)
+POWER(LN(S403),2)
)
)))</f>
        <v>9.4886477223156879E-2</v>
      </c>
    </row>
    <row r="404">
      <c r="A404" t="inlineStr">
        <is>
          <t>Carbon dioxide, non-fossil</t>
        </is>
      </c>
      <c r="B404">
        <f>unallocated!B149/I404*J404</f>
        <v>2.4724259792970157E-2</v>
      </c>
      <c r="D404" t="inlineStr">
        <is>
          <t>kilogram</t>
        </is>
      </c>
      <c r="E404" t="inlineStr">
        <is>
          <t>air::urban air close to ground</t>
        </is>
      </c>
      <c r="F404" t="inlineStr">
        <is>
          <t>biosphere</t>
        </is>
      </c>
      <c r="I404" t="n">
        <v>6170</v>
      </c>
      <c r="J404" s="11">
        <f>J379</f>
        <v>0.25681596451620514</v>
      </c>
      <c r="K404" t="n">
        <v>2</v>
      </c>
      <c r="L404" s="3">
        <f>LN(B404)</f>
        <v>-3.699970339516236</v>
      </c>
      <c r="M404" t="n">
        <v>1</v>
      </c>
      <c r="N404" t="n">
        <v>1</v>
      </c>
      <c r="O404" t="n">
        <v>1</v>
      </c>
      <c r="P404" t="n">
        <v>1.02</v>
      </c>
      <c r="Q404" t="n">
        <v>1.2</v>
      </c>
      <c r="R404" t="n">
        <v>1</v>
      </c>
      <c r="S404" t="n">
        <v>1.05</v>
      </c>
      <c r="T404">
        <f>LN(SQRT(EXP(
SQRT(
+POWER(LN(M404),2)
+POWER(LN(N404),2)
+POWER(LN(O404),2)
+POWER(LN(P404),2)
+POWER(LN(Q404),2)
+POWER(LN(R404),2)
+POWER(LN(S404),2)
)
)))</f>
        <v>9.4886477223156879E-2</v>
      </c>
    </row>
    <row r="405"/>
    <row r="406">
      <c r="A406" s="1" t="inlineStr">
        <is>
          <t>Activity</t>
        </is>
      </c>
      <c r="B406" s="1" t="inlineStr">
        <is>
          <t>municipal waste incineration, at incineration plant, with wet air pollution control, with flue gas condensation, with electricity and heat recovery, exergy allocation</t>
        </is>
      </c>
    </row>
    <row r="407">
      <c r="A407" t="inlineStr">
        <is>
          <t>location</t>
        </is>
      </c>
      <c r="B407" t="inlineStr">
        <is>
          <t>RER</t>
        </is>
      </c>
    </row>
    <row r="408">
      <c r="A408" t="inlineStr">
        <is>
          <t>production amount</t>
        </is>
      </c>
      <c r="B408" t="n">
        <v>1</v>
      </c>
    </row>
    <row r="409">
      <c r="A409" s="2" t="inlineStr">
        <is>
          <t>source</t>
        </is>
      </c>
      <c r="B409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10">
      <c r="A410" t="inlineStr">
        <is>
          <t>reference product</t>
        </is>
      </c>
      <c r="B410" t="inlineStr">
        <is>
          <t>municipal solid waste</t>
        </is>
      </c>
    </row>
    <row r="411">
      <c r="A411" t="inlineStr">
        <is>
          <t>type</t>
        </is>
      </c>
      <c r="B411" t="inlineStr">
        <is>
          <t>process</t>
        </is>
      </c>
    </row>
    <row r="412">
      <c r="A412" t="inlineStr">
        <is>
          <t>unit</t>
        </is>
      </c>
      <c r="B412" t="inlineStr">
        <is>
          <t>kilogram</t>
        </is>
      </c>
    </row>
    <row r="413">
      <c r="A413" t="inlineStr">
        <is>
          <t>comment</t>
        </is>
      </c>
      <c r="B413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618 kWh. Heat production per ton MSWI incinerated: 7'860 MJ.</t>
        </is>
      </c>
    </row>
    <row r="414">
      <c r="A414" s="1" t="inlineStr">
        <is>
          <t>Exchanges</t>
        </is>
      </c>
    </row>
    <row r="415">
      <c r="A415" s="7" t="inlineStr">
        <is>
          <t>name</t>
        </is>
      </c>
      <c r="B415" s="7" t="inlineStr">
        <is>
          <t>amount</t>
        </is>
      </c>
      <c r="C415" s="7" t="inlineStr">
        <is>
          <t>location</t>
        </is>
      </c>
      <c r="D415" s="7" t="inlineStr">
        <is>
          <t>unit</t>
        </is>
      </c>
      <c r="E415" s="7" t="inlineStr">
        <is>
          <t>categories</t>
        </is>
      </c>
      <c r="F415" s="7" t="inlineStr">
        <is>
          <t>type</t>
        </is>
      </c>
      <c r="G415" s="7" t="inlineStr">
        <is>
          <t>reference product</t>
        </is>
      </c>
      <c r="H415" s="7" t="inlineStr">
        <is>
          <t>comment</t>
        </is>
      </c>
      <c r="I415" s="7" t="inlineStr">
        <is>
          <t>normalization</t>
        </is>
      </c>
      <c r="J415" s="7" t="inlineStr">
        <is>
          <t>allocation</t>
        </is>
      </c>
      <c r="K415" s="7" t="inlineStr">
        <is>
          <t>uncertainty type</t>
        </is>
      </c>
      <c r="L415" s="7" t="inlineStr">
        <is>
          <t>loc</t>
        </is>
      </c>
      <c r="M415" s="1" t="inlineStr">
        <is>
          <t>u1</t>
        </is>
      </c>
      <c r="N415" s="1" t="inlineStr">
        <is>
          <t>u2</t>
        </is>
      </c>
      <c r="O415" s="1" t="inlineStr">
        <is>
          <t>u3</t>
        </is>
      </c>
      <c r="P415" s="1" t="inlineStr">
        <is>
          <t>u4</t>
        </is>
      </c>
      <c r="Q415" s="1" t="inlineStr">
        <is>
          <t>u5</t>
        </is>
      </c>
      <c r="R415" s="1" t="inlineStr">
        <is>
          <t>u6</t>
        </is>
      </c>
      <c r="S415" s="1" t="inlineStr">
        <is>
          <t>ub</t>
        </is>
      </c>
      <c r="T415" s="1" t="inlineStr">
        <is>
          <t>scale</t>
        </is>
      </c>
      <c r="U415" s="1" t="inlineStr">
        <is>
          <t>negative</t>
        </is>
      </c>
    </row>
    <row r="416">
      <c r="A416" t="inlineStr">
        <is>
          <t>municipal waste incineration, at incineration plant, with wet air pollution control, with flue gas condensation, with electricity and heat recovery, exergy allocation</t>
        </is>
      </c>
      <c r="B416" t="n">
        <v>1</v>
      </c>
      <c r="C416" t="inlineStr">
        <is>
          <t>RER</t>
        </is>
      </c>
      <c r="D416" t="inlineStr">
        <is>
          <t>kilogram</t>
        </is>
      </c>
      <c r="F416" t="inlineStr">
        <is>
          <t>production</t>
        </is>
      </c>
      <c r="G416" t="inlineStr">
        <is>
          <t>municipal solid waste</t>
        </is>
      </c>
      <c r="H416" t="inlineStr"/>
      <c r="I416" t="n">
        <v>1000</v>
      </c>
      <c r="J416" s="14">
        <f>INDEX('allocation keys'!$I$4:$K$29,MATCH('allocated (exergy)'!$B$406,'allocation keys'!$B$4:$B$28,0),MATCH('allocated (exergy)'!$B$410,'allocation keys'!$I$3:$K$3,0))</f>
        <v>0</v>
      </c>
      <c r="K416" t="n">
        <v>0</v>
      </c>
      <c r="M416" s="5" t="n"/>
      <c r="N416" s="5" t="n"/>
      <c r="O416" s="5" t="n"/>
      <c r="P416" s="5" t="n"/>
      <c r="Q416" s="5" t="n"/>
      <c r="R416" s="5" t="n"/>
    </row>
    <row r="417">
      <c r="A417" t="inlineStr">
        <is>
          <t>municipal waste incineration, at incineration plant, with wet air pollution control, with flue gas condensation, with electricity and heat recovery, exergy allocation</t>
        </is>
      </c>
      <c r="B417" s="6" t="n">
        <v>0</v>
      </c>
      <c r="C417" t="inlineStr">
        <is>
          <t>RER</t>
        </is>
      </c>
      <c r="D417" t="inlineStr">
        <is>
          <t>kilowatt hour</t>
        </is>
      </c>
      <c r="F417" t="inlineStr">
        <is>
          <t>technosphere</t>
        </is>
      </c>
      <c r="G417" t="inlineStr">
        <is>
          <t>electricity, medium voltage</t>
        </is>
      </c>
      <c r="H417" t="inlineStr"/>
      <c r="I417" t="n">
        <v>1000</v>
      </c>
      <c r="J417" s="11">
        <f>J416</f>
        <v>0</v>
      </c>
      <c r="K417" t="n">
        <v>0</v>
      </c>
      <c r="L417" s="3" t="n"/>
    </row>
    <row r="418">
      <c r="A418" t="inlineStr">
        <is>
          <t>municipal waste incineration, at incineration plant, with wet air pollution control, with flue gas condensation, with electricity and heat recovery, exergy allocation</t>
        </is>
      </c>
      <c r="B418" t="n">
        <v>0</v>
      </c>
      <c r="C418" t="inlineStr">
        <is>
          <t>RER</t>
        </is>
      </c>
      <c r="D418" t="inlineStr">
        <is>
          <t>megajoule</t>
        </is>
      </c>
      <c r="F418" t="inlineStr">
        <is>
          <t>technosphere</t>
        </is>
      </c>
      <c r="G418" t="inlineStr">
        <is>
          <t>heat, district or industrial, other than natural gas</t>
        </is>
      </c>
      <c r="H418" t="inlineStr"/>
      <c r="I418" t="n">
        <v>1000</v>
      </c>
      <c r="J418" s="11">
        <f>J416</f>
        <v>0</v>
      </c>
      <c r="K418" t="n">
        <v>0</v>
      </c>
      <c r="L418" s="3" t="n"/>
    </row>
    <row r="419">
      <c r="A419" t="inlineStr">
        <is>
          <t>market for diesel, low-sulfur</t>
        </is>
      </c>
      <c r="B419">
        <f>unallocated!B164/I419*J419</f>
        <v>0</v>
      </c>
      <c r="C419" t="inlineStr">
        <is>
          <t>Europe without Switzerland</t>
        </is>
      </c>
      <c r="D419" t="inlineStr">
        <is>
          <t>kilogram</t>
        </is>
      </c>
      <c r="F419" t="inlineStr">
        <is>
          <t>technosphere</t>
        </is>
      </c>
      <c r="G419" t="inlineStr">
        <is>
          <t>diesel, low-sulfur</t>
        </is>
      </c>
      <c r="H419" t="inlineStr">
        <is>
          <t>Diesel density: 0.85 kg/l</t>
        </is>
      </c>
      <c r="I419" t="n">
        <v>1000</v>
      </c>
      <c r="J419" s="11">
        <f>J416</f>
        <v>0</v>
      </c>
      <c r="K419" t="n">
        <v>0</v>
      </c>
      <c r="L419" s="3" t="n"/>
    </row>
    <row r="420">
      <c r="A420" t="inlineStr">
        <is>
          <t>market for activated carbon, granular</t>
        </is>
      </c>
      <c r="B420">
        <f>unallocated!B165/I420*J420</f>
        <v>0</v>
      </c>
      <c r="C420" t="inlineStr">
        <is>
          <t>GLO</t>
        </is>
      </c>
      <c r="D420" t="inlineStr">
        <is>
          <t>kilogram</t>
        </is>
      </c>
      <c r="F420" t="inlineStr">
        <is>
          <t>technosphere</t>
        </is>
      </c>
      <c r="G420" t="inlineStr">
        <is>
          <t>activated carbon, granular</t>
        </is>
      </c>
      <c r="I420" t="n">
        <v>1000</v>
      </c>
      <c r="J420" s="11">
        <f>J416</f>
        <v>0</v>
      </c>
      <c r="K420" t="n">
        <v>0</v>
      </c>
      <c r="L420" s="3" t="n"/>
    </row>
    <row r="421">
      <c r="A421" t="inlineStr">
        <is>
          <t>market for ammonia, anhydrous, liquid</t>
        </is>
      </c>
      <c r="B421">
        <f>unallocated!B166/I421*J421</f>
        <v>0</v>
      </c>
      <c r="C421" t="inlineStr">
        <is>
          <t>RER</t>
        </is>
      </c>
      <c r="D421" t="inlineStr">
        <is>
          <t>kilogram</t>
        </is>
      </c>
      <c r="F421" t="inlineStr">
        <is>
          <t>technosphere</t>
        </is>
      </c>
      <c r="G421" t="inlineStr">
        <is>
          <t>ammonia, anhydrous, liquid</t>
        </is>
      </c>
      <c r="H421" t="inlineStr">
        <is>
          <t>100% liquid ammonia. In original publication, it is dilluated to 23.5% in water. We discount the original value by 75%.</t>
        </is>
      </c>
      <c r="I421" t="n">
        <v>1000</v>
      </c>
      <c r="J421" s="11">
        <f>J416</f>
        <v>0</v>
      </c>
      <c r="K421" t="n">
        <v>0</v>
      </c>
      <c r="L421" s="3" t="n"/>
    </row>
    <row r="422">
      <c r="A422" t="inlineStr">
        <is>
          <t>market for tap water</t>
        </is>
      </c>
      <c r="B422">
        <f>unallocated!B167/I422*J422</f>
        <v>0</v>
      </c>
      <c r="C422" t="inlineStr">
        <is>
          <t>Europe without Switzerland</t>
        </is>
      </c>
      <c r="D422" t="inlineStr">
        <is>
          <t>kilogram</t>
        </is>
      </c>
      <c r="F422" t="inlineStr">
        <is>
          <t>technosphere</t>
        </is>
      </c>
      <c r="G422" t="inlineStr">
        <is>
          <t>tap water</t>
        </is>
      </c>
      <c r="H422" t="inlineStr">
        <is>
          <t>Used to dilute the ammonia.</t>
        </is>
      </c>
      <c r="I422" t="n">
        <v>1000</v>
      </c>
      <c r="J422" s="11">
        <f>J416</f>
        <v>0</v>
      </c>
      <c r="K422" t="n">
        <v>0</v>
      </c>
      <c r="L422" s="3" t="n"/>
    </row>
    <row r="423">
      <c r="A423" t="inlineStr">
        <is>
          <t>market for calcium carbonate, precipitated</t>
        </is>
      </c>
      <c r="B423">
        <f>unallocated!B168/I423*J423</f>
        <v>0</v>
      </c>
      <c r="C423" t="inlineStr">
        <is>
          <t>RER</t>
        </is>
      </c>
      <c r="D423" t="inlineStr">
        <is>
          <t>kilogram</t>
        </is>
      </c>
      <c r="F423" t="inlineStr">
        <is>
          <t>technosphere</t>
        </is>
      </c>
      <c r="G423" t="inlineStr">
        <is>
          <t>calcium carbonate, precipitated</t>
        </is>
      </c>
      <c r="I423" t="n">
        <v>1000</v>
      </c>
      <c r="J423" s="11">
        <f>J416</f>
        <v>0</v>
      </c>
      <c r="K423" t="n">
        <v>0</v>
      </c>
      <c r="L423" s="3" t="n"/>
    </row>
    <row r="424">
      <c r="A424" t="inlineStr">
        <is>
          <t>market for iron(III) chloride, without water, in 40% solution state</t>
        </is>
      </c>
      <c r="B424">
        <f>unallocated!B169/I424*J424</f>
        <v>0</v>
      </c>
      <c r="C424" t="inlineStr">
        <is>
          <t>GLO</t>
        </is>
      </c>
      <c r="D424" t="inlineStr">
        <is>
          <t>kilogram</t>
        </is>
      </c>
      <c r="F424" t="inlineStr">
        <is>
          <t>technosphere</t>
        </is>
      </c>
      <c r="G424" t="inlineStr">
        <is>
          <t>iron(III) chloride, without water, in 40% solution state</t>
        </is>
      </c>
      <c r="I424" t="n">
        <v>1000</v>
      </c>
      <c r="J424" s="11">
        <f>J416</f>
        <v>0</v>
      </c>
      <c r="K424" t="n">
        <v>0</v>
      </c>
      <c r="L424" s="3" t="n"/>
    </row>
    <row r="425">
      <c r="A425" t="inlineStr">
        <is>
          <t>market for lime, hydrated, packed</t>
        </is>
      </c>
      <c r="B425">
        <f>unallocated!B170/I425*J425</f>
        <v>0</v>
      </c>
      <c r="C425" t="inlineStr">
        <is>
          <t>RER</t>
        </is>
      </c>
      <c r="D425" t="inlineStr">
        <is>
          <t>kilogram</t>
        </is>
      </c>
      <c r="F425" t="inlineStr">
        <is>
          <t>technosphere</t>
        </is>
      </c>
      <c r="G425" t="inlineStr">
        <is>
          <t>lime, hydrated, packed</t>
        </is>
      </c>
      <c r="I425" t="n">
        <v>1000</v>
      </c>
      <c r="J425" s="11">
        <f>J416</f>
        <v>0</v>
      </c>
      <c r="K425" t="n">
        <v>0</v>
      </c>
      <c r="L425" s="3" t="n"/>
    </row>
    <row r="426">
      <c r="A426" t="inlineStr">
        <is>
          <t>market for sodium hydroxide, without water, in 50% solution state</t>
        </is>
      </c>
      <c r="B426">
        <f>unallocated!B171/I426*J426</f>
        <v>0</v>
      </c>
      <c r="C426" t="inlineStr">
        <is>
          <t>RER</t>
        </is>
      </c>
      <c r="D426" t="inlineStr">
        <is>
          <t>kilogram</t>
        </is>
      </c>
      <c r="F426" t="inlineStr">
        <is>
          <t>technosphere</t>
        </is>
      </c>
      <c r="G426" t="inlineStr">
        <is>
          <t>sodium hydroxide, without water, in 50% solution state</t>
        </is>
      </c>
      <c r="H426" t="inlineStr">
        <is>
          <t>50% liquid ammonia. In original publication, it is dilluated to 27% in water. We discount the original value by 50%.</t>
        </is>
      </c>
      <c r="I426" t="n">
        <v>1000</v>
      </c>
      <c r="J426" s="11">
        <f>J416</f>
        <v>0</v>
      </c>
      <c r="K426" t="n">
        <v>0</v>
      </c>
      <c r="L426" s="3" t="n"/>
    </row>
    <row r="427">
      <c r="A427" t="inlineStr">
        <is>
          <t>market for monoethanolamine</t>
        </is>
      </c>
      <c r="B427">
        <f>unallocated!B172/I427*J427</f>
        <v>0</v>
      </c>
      <c r="C427" t="inlineStr">
        <is>
          <t>GLO</t>
        </is>
      </c>
      <c r="D427" t="inlineStr">
        <is>
          <t>kilogram</t>
        </is>
      </c>
      <c r="F427" t="inlineStr">
        <is>
          <t>technosphere</t>
        </is>
      </c>
      <c r="G427" t="inlineStr">
        <is>
          <t>monoethanolamine</t>
        </is>
      </c>
      <c r="I427" t="n">
        <v>1000</v>
      </c>
      <c r="J427" s="11">
        <f>J416</f>
        <v>0</v>
      </c>
      <c r="K427" t="n">
        <v>0</v>
      </c>
      <c r="L427" s="3" t="n"/>
    </row>
    <row r="428">
      <c r="A428" t="inlineStr">
        <is>
          <t>municipal waste incineration facility construction</t>
        </is>
      </c>
      <c r="B428">
        <f>unallocated!B173/I428*J428</f>
        <v>0</v>
      </c>
      <c r="C428" t="inlineStr">
        <is>
          <t>CH</t>
        </is>
      </c>
      <c r="D428" t="inlineStr">
        <is>
          <t>unit</t>
        </is>
      </c>
      <c r="F428" t="inlineStr">
        <is>
          <t>technosphere</t>
        </is>
      </c>
      <c r="G428" t="inlineStr">
        <is>
          <t>municipal waste incineration facility</t>
        </is>
      </c>
      <c r="H428" t="inlineStr">
        <is>
          <t>Lifetime: 4'000'000 tons MSWI treated.</t>
        </is>
      </c>
      <c r="I428" t="n">
        <v>1000</v>
      </c>
      <c r="J428" s="11">
        <f>J416</f>
        <v>0</v>
      </c>
      <c r="K428" t="n">
        <v>0</v>
      </c>
      <c r="L428" s="3" t="n"/>
    </row>
    <row r="429">
      <c r="A429" t="inlineStr">
        <is>
          <t>Water, cooling, unspecified natural origin</t>
        </is>
      </c>
      <c r="B429">
        <f>unallocated!B174/I429*J429</f>
        <v>0</v>
      </c>
      <c r="D429" t="inlineStr">
        <is>
          <t>cubic meter</t>
        </is>
      </c>
      <c r="E429" t="inlineStr">
        <is>
          <t>natural resource::in water</t>
        </is>
      </c>
      <c r="F429" t="inlineStr">
        <is>
          <t>biosphere</t>
        </is>
      </c>
      <c r="I429" t="n">
        <v>1000</v>
      </c>
      <c r="J429" s="11">
        <f>J416</f>
        <v>0</v>
      </c>
      <c r="K429" t="n">
        <v>0</v>
      </c>
      <c r="L429" s="3" t="n"/>
    </row>
    <row r="430">
      <c r="A430" t="inlineStr">
        <is>
          <t>Sulfur dioxide</t>
        </is>
      </c>
      <c r="B430">
        <f>unallocated!B175/I430*J430</f>
        <v>0</v>
      </c>
      <c r="D430" t="inlineStr">
        <is>
          <t>kilogram</t>
        </is>
      </c>
      <c r="E430" t="inlineStr">
        <is>
          <t>air::urban air close to ground</t>
        </is>
      </c>
      <c r="F430" t="inlineStr">
        <is>
          <t>biosphere</t>
        </is>
      </c>
      <c r="I430" t="n">
        <v>1000</v>
      </c>
      <c r="J430" s="11">
        <f>J416</f>
        <v>0</v>
      </c>
      <c r="K430" t="n">
        <v>0</v>
      </c>
      <c r="L430" s="3" t="n"/>
    </row>
    <row r="431">
      <c r="A431" t="inlineStr">
        <is>
          <t>Hydrochloric acid</t>
        </is>
      </c>
      <c r="B431">
        <f>unallocated!B176/I431*J431</f>
        <v>0</v>
      </c>
      <c r="D431" t="inlineStr">
        <is>
          <t>kilogram</t>
        </is>
      </c>
      <c r="E431" t="inlineStr">
        <is>
          <t>air</t>
        </is>
      </c>
      <c r="F431" t="inlineStr">
        <is>
          <t>biosphere</t>
        </is>
      </c>
      <c r="I431" t="n">
        <v>1000</v>
      </c>
      <c r="J431" s="11">
        <f>J416</f>
        <v>0</v>
      </c>
      <c r="K431" t="n">
        <v>0</v>
      </c>
      <c r="L431" s="3" t="n"/>
    </row>
    <row r="432">
      <c r="A432" t="inlineStr">
        <is>
          <t>Nitrogen oxides</t>
        </is>
      </c>
      <c r="B432">
        <f>unallocated!B177/I432*J432</f>
        <v>0</v>
      </c>
      <c r="D432" t="inlineStr">
        <is>
          <t>kilogram</t>
        </is>
      </c>
      <c r="E432" t="inlineStr">
        <is>
          <t>air::urban air close to ground</t>
        </is>
      </c>
      <c r="F432" t="inlineStr">
        <is>
          <t>biosphere</t>
        </is>
      </c>
      <c r="I432" t="n">
        <v>1000</v>
      </c>
      <c r="J432" s="11">
        <f>J416</f>
        <v>0</v>
      </c>
      <c r="K432" t="n">
        <v>0</v>
      </c>
      <c r="L432" s="3" t="n"/>
    </row>
    <row r="433">
      <c r="A433" t="inlineStr">
        <is>
          <t>Ammonia</t>
        </is>
      </c>
      <c r="B433">
        <f>unallocated!B178/I433*J433</f>
        <v>0</v>
      </c>
      <c r="D433" t="inlineStr">
        <is>
          <t>kilogram</t>
        </is>
      </c>
      <c r="E433" t="inlineStr">
        <is>
          <t>air::urban air close to ground</t>
        </is>
      </c>
      <c r="F433" t="inlineStr">
        <is>
          <t>biosphere</t>
        </is>
      </c>
      <c r="I433" t="n">
        <v>1000</v>
      </c>
      <c r="J433" s="11">
        <f>J416</f>
        <v>0</v>
      </c>
      <c r="K433" t="n">
        <v>0</v>
      </c>
      <c r="L433" s="3" t="n"/>
    </row>
    <row r="434">
      <c r="A434" t="inlineStr">
        <is>
          <t>Particulate Matter, &lt; 2.5 um</t>
        </is>
      </c>
      <c r="B434">
        <f>unallocated!B179/I434*J434</f>
        <v>0</v>
      </c>
      <c r="D434" t="inlineStr">
        <is>
          <t>kilogram</t>
        </is>
      </c>
      <c r="E434" t="inlineStr">
        <is>
          <t>air::urban air close to ground</t>
        </is>
      </c>
      <c r="F434" t="inlineStr">
        <is>
          <t>biosphere</t>
        </is>
      </c>
      <c r="I434" t="n">
        <v>1000</v>
      </c>
      <c r="J434" s="11">
        <f>J416</f>
        <v>0</v>
      </c>
      <c r="K434" t="n">
        <v>0</v>
      </c>
      <c r="L434" s="3" t="n"/>
    </row>
    <row r="435">
      <c r="A435" t="inlineStr">
        <is>
          <t>Mercury II</t>
        </is>
      </c>
      <c r="B435">
        <f>unallocated!B180/I435*J435</f>
        <v>0</v>
      </c>
      <c r="D435" t="inlineStr">
        <is>
          <t>kilogram</t>
        </is>
      </c>
      <c r="E435" t="inlineStr">
        <is>
          <t>air::urban air close to ground</t>
        </is>
      </c>
      <c r="F435" t="inlineStr">
        <is>
          <t>biosphere</t>
        </is>
      </c>
      <c r="I435" t="n">
        <v>1000</v>
      </c>
      <c r="J435" s="11">
        <f>J416</f>
        <v>0</v>
      </c>
      <c r="K435" t="n">
        <v>0</v>
      </c>
      <c r="L435" s="3" t="n"/>
    </row>
    <row r="436">
      <c r="A436" t="inlineStr">
        <is>
          <t>Lead II</t>
        </is>
      </c>
      <c r="B436">
        <f>unallocated!B181/I436*J436</f>
        <v>0</v>
      </c>
      <c r="D436" t="inlineStr">
        <is>
          <t>kilogram</t>
        </is>
      </c>
      <c r="E436" t="inlineStr">
        <is>
          <t>air::urban air close to ground</t>
        </is>
      </c>
      <c r="F436" t="inlineStr">
        <is>
          <t>biosphere</t>
        </is>
      </c>
      <c r="I436" t="n">
        <v>1000</v>
      </c>
      <c r="J436" s="11">
        <f>J416</f>
        <v>0</v>
      </c>
      <c r="K436" t="n">
        <v>0</v>
      </c>
      <c r="L436" s="3" t="n"/>
    </row>
    <row r="437">
      <c r="A437" t="inlineStr">
        <is>
          <t>Cadmium II</t>
        </is>
      </c>
      <c r="B437">
        <f>unallocated!B182/I437*J437</f>
        <v>0</v>
      </c>
      <c r="D437" t="inlineStr">
        <is>
          <t>kilogram</t>
        </is>
      </c>
      <c r="E437" t="inlineStr">
        <is>
          <t>air::urban air close to ground</t>
        </is>
      </c>
      <c r="F437" t="inlineStr">
        <is>
          <t>biosphere</t>
        </is>
      </c>
      <c r="I437" t="n">
        <v>1000</v>
      </c>
      <c r="J437" s="11">
        <f>J416</f>
        <v>0</v>
      </c>
      <c r="K437" t="n">
        <v>0</v>
      </c>
      <c r="L437" s="3" t="n"/>
    </row>
    <row r="438">
      <c r="A438" t="inlineStr">
        <is>
          <t>Arsenic ion</t>
        </is>
      </c>
      <c r="B438">
        <f>unallocated!B183/I438*J438</f>
        <v>0</v>
      </c>
      <c r="D438" t="inlineStr">
        <is>
          <t>kilogram</t>
        </is>
      </c>
      <c r="E438" t="inlineStr">
        <is>
          <t>air::urban air close to ground</t>
        </is>
      </c>
      <c r="F438" t="inlineStr">
        <is>
          <t>biosphere</t>
        </is>
      </c>
      <c r="I438" t="n">
        <v>1000</v>
      </c>
      <c r="J438" s="11">
        <f>J416</f>
        <v>0</v>
      </c>
      <c r="K438" t="n">
        <v>0</v>
      </c>
      <c r="L438" s="3" t="n"/>
    </row>
    <row r="439">
      <c r="A439" t="inlineStr">
        <is>
          <t>Dioxins, measured as 2,3,7,8-tetrachlorodibenzo-p-dioxin</t>
        </is>
      </c>
      <c r="B439">
        <f>unallocated!B184/I439*J439</f>
        <v>0</v>
      </c>
      <c r="D439" t="inlineStr">
        <is>
          <t>kilogram</t>
        </is>
      </c>
      <c r="E439" t="inlineStr">
        <is>
          <t>air::urban air close to ground</t>
        </is>
      </c>
      <c r="F439" t="inlineStr">
        <is>
          <t>biosphere</t>
        </is>
      </c>
      <c r="I439" t="n">
        <v>1000</v>
      </c>
      <c r="J439" s="11">
        <f>J416</f>
        <v>0</v>
      </c>
      <c r="K439" t="n">
        <v>0</v>
      </c>
      <c r="L439" s="3" t="n"/>
    </row>
    <row r="440">
      <c r="A440" t="inlineStr">
        <is>
          <t>Carbon dioxide, fossil</t>
        </is>
      </c>
      <c r="B440">
        <f>unallocated!B185/I440*J440</f>
        <v>0</v>
      </c>
      <c r="D440" t="inlineStr">
        <is>
          <t>kilogram</t>
        </is>
      </c>
      <c r="E440" t="inlineStr">
        <is>
          <t>air::urban air close to ground</t>
        </is>
      </c>
      <c r="F440" t="inlineStr">
        <is>
          <t>biosphere</t>
        </is>
      </c>
      <c r="I440" t="n">
        <v>1000</v>
      </c>
      <c r="J440" s="11">
        <f>J416</f>
        <v>0</v>
      </c>
      <c r="K440" t="n">
        <v>0</v>
      </c>
      <c r="L440" s="3" t="n"/>
    </row>
    <row r="441">
      <c r="A441" t="inlineStr">
        <is>
          <t>Carbon dioxide, non-fossil</t>
        </is>
      </c>
      <c r="B441">
        <f>unallocated!B186/I441*J441</f>
        <v>0</v>
      </c>
      <c r="D441" t="inlineStr">
        <is>
          <t>kilogram</t>
        </is>
      </c>
      <c r="E441" t="inlineStr">
        <is>
          <t>air::urban air close to ground</t>
        </is>
      </c>
      <c r="F441" t="inlineStr">
        <is>
          <t>biosphere</t>
        </is>
      </c>
      <c r="I441" t="n">
        <v>1000</v>
      </c>
      <c r="J441" s="11">
        <f>J416</f>
        <v>0</v>
      </c>
      <c r="K441" t="n">
        <v>0</v>
      </c>
      <c r="L441" s="3" t="n"/>
    </row>
    <row r="442"/>
    <row r="443">
      <c r="A443" s="1" t="inlineStr">
        <is>
          <t>Activity</t>
        </is>
      </c>
      <c r="B443" s="1" t="inlineStr">
        <is>
          <t>municipal waste incineration, at incineration plant, with wet air pollution control, with flue gas condensation, with electricity and heat recovery, exergy allocation</t>
        </is>
      </c>
    </row>
    <row r="444">
      <c r="A444" t="inlineStr">
        <is>
          <t>location</t>
        </is>
      </c>
      <c r="B444" t="inlineStr">
        <is>
          <t>RER</t>
        </is>
      </c>
    </row>
    <row r="445">
      <c r="A445" t="inlineStr">
        <is>
          <t>production amount</t>
        </is>
      </c>
      <c r="B445" t="n">
        <v>1</v>
      </c>
    </row>
    <row r="446">
      <c r="A446" s="2" t="inlineStr">
        <is>
          <t>source</t>
        </is>
      </c>
      <c r="B446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47">
      <c r="A447" t="inlineStr">
        <is>
          <t>reference product</t>
        </is>
      </c>
      <c r="B447" t="inlineStr">
        <is>
          <t>electricity, medium voltage</t>
        </is>
      </c>
    </row>
    <row r="448">
      <c r="A448" t="inlineStr">
        <is>
          <t>type</t>
        </is>
      </c>
      <c r="B448" t="inlineStr">
        <is>
          <t>process</t>
        </is>
      </c>
    </row>
    <row r="449">
      <c r="A449" t="inlineStr">
        <is>
          <t>unit</t>
        </is>
      </c>
      <c r="B449" t="inlineStr">
        <is>
          <t>kilowatt hour</t>
        </is>
      </c>
    </row>
    <row r="450">
      <c r="A450" t="inlineStr">
        <is>
          <t>comment</t>
        </is>
      </c>
      <c r="B450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618 kWh. Heat production per ton MSWI incinerated: 7'860 MJ.</t>
        </is>
      </c>
    </row>
    <row r="451">
      <c r="A451" s="1" t="inlineStr">
        <is>
          <t>Exchanges</t>
        </is>
      </c>
    </row>
    <row r="452">
      <c r="A452" s="7" t="inlineStr">
        <is>
          <t>name</t>
        </is>
      </c>
      <c r="B452" s="7" t="inlineStr">
        <is>
          <t>amount</t>
        </is>
      </c>
      <c r="C452" s="7" t="inlineStr">
        <is>
          <t>location</t>
        </is>
      </c>
      <c r="D452" s="7" t="inlineStr">
        <is>
          <t>unit</t>
        </is>
      </c>
      <c r="E452" s="7" t="inlineStr">
        <is>
          <t>categories</t>
        </is>
      </c>
      <c r="F452" s="7" t="inlineStr">
        <is>
          <t>type</t>
        </is>
      </c>
      <c r="G452" s="7" t="inlineStr">
        <is>
          <t>reference product</t>
        </is>
      </c>
      <c r="H452" s="7" t="inlineStr">
        <is>
          <t>comment</t>
        </is>
      </c>
      <c r="I452" s="7" t="inlineStr">
        <is>
          <t>normalization</t>
        </is>
      </c>
      <c r="J452" s="7" t="inlineStr">
        <is>
          <t>allocation</t>
        </is>
      </c>
      <c r="K452" s="7" t="inlineStr">
        <is>
          <t>uncertainty type</t>
        </is>
      </c>
      <c r="L452" s="7" t="inlineStr">
        <is>
          <t>loc</t>
        </is>
      </c>
      <c r="M452" s="1" t="inlineStr">
        <is>
          <t>u1</t>
        </is>
      </c>
      <c r="N452" s="1" t="inlineStr">
        <is>
          <t>u2</t>
        </is>
      </c>
      <c r="O452" s="1" t="inlineStr">
        <is>
          <t>u3</t>
        </is>
      </c>
      <c r="P452" s="1" t="inlineStr">
        <is>
          <t>u4</t>
        </is>
      </c>
      <c r="Q452" s="1" t="inlineStr">
        <is>
          <t>u5</t>
        </is>
      </c>
      <c r="R452" s="1" t="inlineStr">
        <is>
          <t>u6</t>
        </is>
      </c>
      <c r="S452" s="1" t="inlineStr">
        <is>
          <t>ub</t>
        </is>
      </c>
      <c r="T452" s="1" t="inlineStr">
        <is>
          <t>scale</t>
        </is>
      </c>
      <c r="U452" s="1" t="inlineStr">
        <is>
          <t>negative</t>
        </is>
      </c>
    </row>
    <row r="453">
      <c r="A453" t="inlineStr">
        <is>
          <t>municipal waste incineration, at incineration plant, with wet air pollution control, with flue gas condensation, with electricity and heat recovery, exergy allocation</t>
        </is>
      </c>
      <c r="B453" t="n">
        <v>0</v>
      </c>
      <c r="C453" t="inlineStr">
        <is>
          <t>RER</t>
        </is>
      </c>
      <c r="D453" t="inlineStr">
        <is>
          <t>kilogram</t>
        </is>
      </c>
      <c r="F453" t="inlineStr">
        <is>
          <t>technosphere</t>
        </is>
      </c>
      <c r="G453" t="inlineStr">
        <is>
          <t>municipal solid waste</t>
        </is>
      </c>
      <c r="H453" t="inlineStr"/>
      <c r="I453" s="6" t="n">
        <v>618</v>
      </c>
      <c r="J453" s="14">
        <f>INDEX('allocation keys'!$I$4:$K$29,MATCH('allocated (exergy)'!$B$443,'allocation keys'!$B$4:$B$28,0),MATCH('allocated (exergy)'!$B$447,'allocation keys'!$I$3:$K$3,0))</f>
        <v>0.69092439743601641</v>
      </c>
      <c r="K453" t="n">
        <v>0</v>
      </c>
      <c r="M453" s="5" t="n"/>
      <c r="N453" s="5" t="n"/>
      <c r="O453" s="5" t="n"/>
      <c r="P453" s="5" t="n"/>
      <c r="Q453" s="5" t="n"/>
      <c r="R453" s="5" t="n"/>
    </row>
    <row r="454">
      <c r="A454" t="inlineStr">
        <is>
          <t>municipal waste incineration, at incineration plant, with wet air pollution control, with flue gas condensation, with electricity and heat recovery, exergy allocation</t>
        </is>
      </c>
      <c r="B454" s="6" t="n">
        <v>1</v>
      </c>
      <c r="C454" t="inlineStr">
        <is>
          <t>RER</t>
        </is>
      </c>
      <c r="D454" t="inlineStr">
        <is>
          <t>kilowatt hour</t>
        </is>
      </c>
      <c r="F454" t="inlineStr">
        <is>
          <t>production</t>
        </is>
      </c>
      <c r="G454" t="inlineStr">
        <is>
          <t>electricity, medium voltage</t>
        </is>
      </c>
      <c r="H454" t="inlineStr"/>
      <c r="I454" s="6" t="n">
        <v>618</v>
      </c>
      <c r="J454" s="11">
        <f>J453</f>
        <v>0.69092439743601641</v>
      </c>
      <c r="K454" t="n">
        <v>0</v>
      </c>
      <c r="L454" s="3" t="n"/>
    </row>
    <row r="455">
      <c r="A455" t="inlineStr">
        <is>
          <t>municipal waste incineration, at incineration plant, with wet air pollution control, with flue gas condensation, with electricity and heat recovery, exergy allocation</t>
        </is>
      </c>
      <c r="B455" t="n">
        <v>0</v>
      </c>
      <c r="C455" t="inlineStr">
        <is>
          <t>RER</t>
        </is>
      </c>
      <c r="D455" t="inlineStr">
        <is>
          <t>megajoule</t>
        </is>
      </c>
      <c r="F455" t="inlineStr">
        <is>
          <t>technosphere</t>
        </is>
      </c>
      <c r="G455" t="inlineStr">
        <is>
          <t>heat, district or industrial, other than natural gas</t>
        </is>
      </c>
      <c r="H455" t="inlineStr"/>
      <c r="I455" s="6" t="n">
        <v>618</v>
      </c>
      <c r="J455" s="11">
        <f>J453</f>
        <v>0.69092439743601641</v>
      </c>
      <c r="K455" t="n">
        <v>0</v>
      </c>
      <c r="L455" s="3" t="n"/>
    </row>
    <row r="456">
      <c r="A456" t="inlineStr">
        <is>
          <t>market for diesel, low-sulfur</t>
        </is>
      </c>
      <c r="B456">
        <f>unallocated!B164/I456*J456</f>
        <v>9.5030054663529769E-5</v>
      </c>
      <c r="C456" t="inlineStr">
        <is>
          <t>Europe without Switzerland</t>
        </is>
      </c>
      <c r="D456" t="inlineStr">
        <is>
          <t>kilogram</t>
        </is>
      </c>
      <c r="F456" t="inlineStr">
        <is>
          <t>technosphere</t>
        </is>
      </c>
      <c r="G456" t="inlineStr">
        <is>
          <t>diesel, low-sulfur</t>
        </is>
      </c>
      <c r="H456" t="inlineStr">
        <is>
          <t>Diesel density: 0.85 kg/l</t>
        </is>
      </c>
      <c r="I456" s="6" t="n">
        <v>618</v>
      </c>
      <c r="J456" s="11">
        <f>J453</f>
        <v>0.69092439743601641</v>
      </c>
      <c r="K456" t="n">
        <v>2</v>
      </c>
      <c r="L456" s="3">
        <f>LN(B456)</f>
        <v>-9.2613173515172882</v>
      </c>
      <c r="M456" t="n">
        <v>1</v>
      </c>
      <c r="N456" t="n">
        <v>1</v>
      </c>
      <c r="O456" t="n">
        <v>1</v>
      </c>
      <c r="P456" t="n">
        <v>1.02</v>
      </c>
      <c r="Q456" t="n">
        <v>1.2</v>
      </c>
      <c r="R456" t="n">
        <v>1</v>
      </c>
      <c r="S456" t="n">
        <v>1.05</v>
      </c>
      <c r="T456">
        <f>LN(SQRT(EXP(
SQRT(
+POWER(LN(M456),2)
+POWER(LN(N456),2)
+POWER(LN(O456),2)
+POWER(LN(P456),2)
+POWER(LN(Q456),2)
+POWER(LN(R456),2)
+POWER(LN(S456),2)
)
)))</f>
        <v>9.4886477223156879E-2</v>
      </c>
    </row>
    <row r="457">
      <c r="A457" t="inlineStr">
        <is>
          <t>market for activated carbon, granular</t>
        </is>
      </c>
      <c r="B457">
        <f>unallocated!B165/I457*J457</f>
        <v>4.4720025724014008E-4</v>
      </c>
      <c r="C457" t="inlineStr">
        <is>
          <t>GLO</t>
        </is>
      </c>
      <c r="D457" t="inlineStr">
        <is>
          <t>kilogram</t>
        </is>
      </c>
      <c r="F457" t="inlineStr">
        <is>
          <t>technosphere</t>
        </is>
      </c>
      <c r="G457" t="inlineStr">
        <is>
          <t>activated carbon, granular</t>
        </is>
      </c>
      <c r="I457" s="6" t="n">
        <v>618</v>
      </c>
      <c r="J457" s="11">
        <f>J453</f>
        <v>0.69092439743601641</v>
      </c>
      <c r="K457" t="n">
        <v>2</v>
      </c>
      <c r="L457" s="3">
        <f>LN(B457)</f>
        <v>-7.7125040608996231</v>
      </c>
      <c r="M457" t="n">
        <v>1</v>
      </c>
      <c r="N457" t="n">
        <v>1</v>
      </c>
      <c r="O457" t="n">
        <v>1</v>
      </c>
      <c r="P457" t="n">
        <v>1.02</v>
      </c>
      <c r="Q457" t="n">
        <v>1.2</v>
      </c>
      <c r="R457" t="n">
        <v>1</v>
      </c>
      <c r="S457" t="n">
        <v>1.05</v>
      </c>
      <c r="T457">
        <f>LN(SQRT(EXP(
SQRT(
+POWER(LN(M457),2)
+POWER(LN(N457),2)
+POWER(LN(O457),2)
+POWER(LN(P457),2)
+POWER(LN(Q457),2)
+POWER(LN(R457),2)
+POWER(LN(S457),2)
)
)))</f>
        <v>9.4886477223156879E-2</v>
      </c>
    </row>
    <row r="458">
      <c r="A458" t="inlineStr">
        <is>
          <t>market for ammonia, anhydrous, liquid</t>
        </is>
      </c>
      <c r="B458">
        <f>unallocated!B166/I458*J458</f>
        <v>1.0956406302383432E-3</v>
      </c>
      <c r="C458" t="inlineStr">
        <is>
          <t>RER</t>
        </is>
      </c>
      <c r="D458" t="inlineStr">
        <is>
          <t>kilogram</t>
        </is>
      </c>
      <c r="F458" t="inlineStr">
        <is>
          <t>technosphere</t>
        </is>
      </c>
      <c r="G458" t="inlineStr">
        <is>
          <t>ammonia, anhydrous, liquid</t>
        </is>
      </c>
      <c r="H458" t="inlineStr">
        <is>
          <t>100% liquid ammonia. In original publication, it is dilluated to 23.5% in water. We discount the original value by 75%.</t>
        </is>
      </c>
      <c r="I458" s="6" t="n">
        <v>618</v>
      </c>
      <c r="J458" s="11">
        <f>J453</f>
        <v>0.69092439743601641</v>
      </c>
      <c r="K458" t="n">
        <v>2</v>
      </c>
      <c r="L458" s="3">
        <f>LN(B458)</f>
        <v>-6.8164160363429875</v>
      </c>
      <c r="M458" t="n">
        <v>1</v>
      </c>
      <c r="N458" t="n">
        <v>1</v>
      </c>
      <c r="O458" t="n">
        <v>1</v>
      </c>
      <c r="P458" t="n">
        <v>1.02</v>
      </c>
      <c r="Q458" t="n">
        <v>1.2</v>
      </c>
      <c r="R458" t="n">
        <v>1</v>
      </c>
      <c r="S458" t="n">
        <v>1.05</v>
      </c>
      <c r="T458">
        <f>LN(SQRT(EXP(
SQRT(
+POWER(LN(M458),2)
+POWER(LN(N458),2)
+POWER(LN(O458),2)
+POWER(LN(P458),2)
+POWER(LN(Q458),2)
+POWER(LN(R458),2)
+POWER(LN(S458),2)
)
)))</f>
        <v>9.4886477223156879E-2</v>
      </c>
    </row>
    <row r="459">
      <c r="A459" t="inlineStr">
        <is>
          <t>market for tap water</t>
        </is>
      </c>
      <c r="B459">
        <f>unallocated!B167/I459*J459</f>
        <v>3.3763619421630577E-3</v>
      </c>
      <c r="C459" t="inlineStr">
        <is>
          <t>Europe without Switzerland</t>
        </is>
      </c>
      <c r="D459" t="inlineStr">
        <is>
          <t>kilogram</t>
        </is>
      </c>
      <c r="F459" t="inlineStr">
        <is>
          <t>technosphere</t>
        </is>
      </c>
      <c r="G459" t="inlineStr">
        <is>
          <t>tap water</t>
        </is>
      </c>
      <c r="H459" t="inlineStr">
        <is>
          <t>Used to dilute the ammonia.</t>
        </is>
      </c>
      <c r="I459" s="6" t="n">
        <v>618</v>
      </c>
      <c r="J459" s="11">
        <f>J453</f>
        <v>0.69092439743601641</v>
      </c>
      <c r="K459" t="n">
        <v>2</v>
      </c>
      <c r="L459" s="3">
        <f>LN(B459)</f>
        <v>-5.6909564976386902</v>
      </c>
      <c r="M459" t="n">
        <v>1</v>
      </c>
      <c r="N459" t="n">
        <v>1</v>
      </c>
      <c r="O459" t="n">
        <v>1</v>
      </c>
      <c r="P459" t="n">
        <v>1.02</v>
      </c>
      <c r="Q459" t="n">
        <v>1.2</v>
      </c>
      <c r="R459" t="n">
        <v>1</v>
      </c>
      <c r="S459" t="n">
        <v>1.05</v>
      </c>
      <c r="T459">
        <f>LN(SQRT(EXP(
SQRT(
+POWER(LN(M459),2)
+POWER(LN(N459),2)
+POWER(LN(O459),2)
+POWER(LN(P459),2)
+POWER(LN(Q459),2)
+POWER(LN(R459),2)
+POWER(LN(S459),2)
)
)))</f>
        <v>9.4886477223156879E-2</v>
      </c>
    </row>
    <row r="460">
      <c r="A460" t="inlineStr">
        <is>
          <t>market for calcium carbonate, precipitated</t>
        </is>
      </c>
      <c r="B460">
        <f>unallocated!B168/I460*J460</f>
        <v>7.8260045017024514E-3</v>
      </c>
      <c r="C460" t="inlineStr">
        <is>
          <t>RER</t>
        </is>
      </c>
      <c r="D460" t="inlineStr">
        <is>
          <t>kilogram</t>
        </is>
      </c>
      <c r="F460" t="inlineStr">
        <is>
          <t>technosphere</t>
        </is>
      </c>
      <c r="G460" t="inlineStr">
        <is>
          <t>calcium carbonate, precipitated</t>
        </is>
      </c>
      <c r="I460" s="6" t="n">
        <v>618</v>
      </c>
      <c r="J460" s="11">
        <f>J453</f>
        <v>0.69092439743601641</v>
      </c>
      <c r="K460" t="n">
        <v>0</v>
      </c>
      <c r="L460" s="3" t="n"/>
    </row>
    <row r="461">
      <c r="A461" t="inlineStr">
        <is>
          <t>market for iron(III) chloride, without water, in 40% solution state</t>
        </is>
      </c>
      <c r="B461">
        <f>unallocated!B169/I461*J461</f>
        <v>5.590003215501751E-5</v>
      </c>
      <c r="C461" t="inlineStr">
        <is>
          <t>GLO</t>
        </is>
      </c>
      <c r="D461" t="inlineStr">
        <is>
          <t>kilogram</t>
        </is>
      </c>
      <c r="F461" t="inlineStr">
        <is>
          <t>technosphere</t>
        </is>
      </c>
      <c r="G461" t="inlineStr">
        <is>
          <t>iron(III) chloride, without water, in 40% solution state</t>
        </is>
      </c>
      <c r="I461" s="6" t="n">
        <v>618</v>
      </c>
      <c r="J461" s="11">
        <f>J453</f>
        <v>0.69092439743601641</v>
      </c>
      <c r="K461" t="n">
        <v>0</v>
      </c>
      <c r="L461" s="3" t="n"/>
    </row>
    <row r="462">
      <c r="A462" t="inlineStr">
        <is>
          <t>market for lime, hydrated, packed</t>
        </is>
      </c>
      <c r="B462">
        <f>unallocated!B170/I462*J462</f>
        <v>0</v>
      </c>
      <c r="C462" t="inlineStr">
        <is>
          <t>RER</t>
        </is>
      </c>
      <c r="D462" t="inlineStr">
        <is>
          <t>kilogram</t>
        </is>
      </c>
      <c r="F462" t="inlineStr">
        <is>
          <t>technosphere</t>
        </is>
      </c>
      <c r="G462" t="inlineStr">
        <is>
          <t>lime, hydrated, packed</t>
        </is>
      </c>
      <c r="I462" s="6" t="n">
        <v>618</v>
      </c>
      <c r="J462" s="11">
        <f>J453</f>
        <v>0.69092439743601641</v>
      </c>
      <c r="K462" t="n">
        <v>0</v>
      </c>
      <c r="L462" s="3" t="n"/>
    </row>
    <row r="463">
      <c r="A463" t="inlineStr">
        <is>
          <t>market for sodium hydroxide, without water, in 50% solution state</t>
        </is>
      </c>
      <c r="B463">
        <f>unallocated!B171/I463*J463</f>
        <v>5.5900032155017508E-4</v>
      </c>
      <c r="C463" t="inlineStr">
        <is>
          <t>RER</t>
        </is>
      </c>
      <c r="D463" t="inlineStr">
        <is>
          <t>kilogram</t>
        </is>
      </c>
      <c r="F463" t="inlineStr">
        <is>
          <t>technosphere</t>
        </is>
      </c>
      <c r="G463" t="inlineStr">
        <is>
          <t>sodium hydroxide, without water, in 50% solution state</t>
        </is>
      </c>
      <c r="H463" t="inlineStr">
        <is>
          <t>50% liquid ammonia. In original publication, it is dilluated to 27% in water. We discount the original value by 50%.</t>
        </is>
      </c>
      <c r="I463" s="6" t="n">
        <v>618</v>
      </c>
      <c r="J463" s="11">
        <f>J453</f>
        <v>0.69092439743601641</v>
      </c>
      <c r="K463" t="n">
        <v>0</v>
      </c>
      <c r="L463" s="3" t="n"/>
    </row>
    <row r="464">
      <c r="A464" t="inlineStr">
        <is>
          <t>market for monoethanolamine</t>
        </is>
      </c>
      <c r="B464">
        <f>unallocated!B172/I464*J464</f>
        <v>0</v>
      </c>
      <c r="C464" t="inlineStr">
        <is>
          <t>GLO</t>
        </is>
      </c>
      <c r="D464" t="inlineStr">
        <is>
          <t>kilogram</t>
        </is>
      </c>
      <c r="F464" t="inlineStr">
        <is>
          <t>technosphere</t>
        </is>
      </c>
      <c r="G464" t="inlineStr">
        <is>
          <t>monoethanolamine</t>
        </is>
      </c>
      <c r="I464" s="6" t="n">
        <v>618</v>
      </c>
      <c r="J464" s="11">
        <f>J453</f>
        <v>0.69092439743601641</v>
      </c>
      <c r="K464" t="n">
        <v>0</v>
      </c>
      <c r="L464" s="3" t="n"/>
    </row>
    <row r="465">
      <c r="A465" t="inlineStr">
        <is>
          <t>municipal waste incineration facility construction</t>
        </is>
      </c>
      <c r="B465">
        <f>unallocated!B173/I465*J465</f>
        <v>2.7950016077508752E-10</v>
      </c>
      <c r="C465" t="inlineStr">
        <is>
          <t>CH</t>
        </is>
      </c>
      <c r="D465" t="inlineStr">
        <is>
          <t>unit</t>
        </is>
      </c>
      <c r="F465" t="inlineStr">
        <is>
          <t>technosphere</t>
        </is>
      </c>
      <c r="G465" t="inlineStr">
        <is>
          <t>municipal waste incineration facility</t>
        </is>
      </c>
      <c r="H465" t="inlineStr">
        <is>
          <t>Lifetime: 4'000'000 tons MSWI treated.</t>
        </is>
      </c>
      <c r="I465" s="6" t="n">
        <v>618</v>
      </c>
      <c r="J465" s="11">
        <f>J453</f>
        <v>0.69092439743601641</v>
      </c>
      <c r="K465" t="n">
        <v>2</v>
      </c>
      <c r="L465" s="3">
        <f>LN(B465)</f>
        <v>-21.998018248109634</v>
      </c>
      <c r="M465" t="n">
        <v>1</v>
      </c>
      <c r="N465" t="n">
        <v>1</v>
      </c>
      <c r="O465" t="n">
        <v>1</v>
      </c>
      <c r="P465" t="n">
        <v>1.02</v>
      </c>
      <c r="Q465" t="n">
        <v>1.2</v>
      </c>
      <c r="R465" t="n">
        <v>1</v>
      </c>
      <c r="S465" t="n">
        <v>3</v>
      </c>
      <c r="T465">
        <f>LN(SQRT(EXP(
SQRT(
+POWER(LN(M465),2)
+POWER(LN(N465),2)
+POWER(LN(O465),2)
+POWER(LN(P465),2)
+POWER(LN(Q465),2)
+POWER(LN(R465),2)
+POWER(LN(S465),2)
)
)))</f>
        <v>0.5569071410325479</v>
      </c>
    </row>
    <row r="466">
      <c r="A466" t="inlineStr">
        <is>
          <t>Water, cooling, unspecified natural origin</t>
        </is>
      </c>
      <c r="B466">
        <f>unallocated!B174/I466*J466</f>
        <v>0</v>
      </c>
      <c r="D466" t="inlineStr">
        <is>
          <t>cubic meter</t>
        </is>
      </c>
      <c r="E466" t="inlineStr">
        <is>
          <t>natural resource::in water</t>
        </is>
      </c>
      <c r="F466" t="inlineStr">
        <is>
          <t>biosphere</t>
        </is>
      </c>
      <c r="I466" s="6" t="n">
        <v>618</v>
      </c>
      <c r="J466" s="11">
        <f>J453</f>
        <v>0.69092439743601641</v>
      </c>
      <c r="K466" t="n">
        <v>0</v>
      </c>
      <c r="L466" s="3" t="n"/>
    </row>
    <row r="467">
      <c r="A467" t="inlineStr">
        <is>
          <t>Sulfur dioxide</t>
        </is>
      </c>
      <c r="B467">
        <f>unallocated!B175/I467*J467</f>
        <v>6.7080038586021009E-6</v>
      </c>
      <c r="D467" t="inlineStr">
        <is>
          <t>kilogram</t>
        </is>
      </c>
      <c r="E467" t="inlineStr">
        <is>
          <t>air::urban air close to ground</t>
        </is>
      </c>
      <c r="F467" t="inlineStr">
        <is>
          <t>biosphere</t>
        </is>
      </c>
      <c r="I467" s="6" t="n">
        <v>618</v>
      </c>
      <c r="J467" s="11">
        <f>J453</f>
        <v>0.69092439743601641</v>
      </c>
      <c r="K467" t="n">
        <v>2</v>
      </c>
      <c r="L467" s="3">
        <f>LN(B467)</f>
        <v>-11.91220913877955</v>
      </c>
      <c r="M467" t="n">
        <v>1</v>
      </c>
      <c r="N467" t="n">
        <v>1</v>
      </c>
      <c r="O467" t="n">
        <v>1</v>
      </c>
      <c r="P467" t="n">
        <v>1.02</v>
      </c>
      <c r="Q467" t="n">
        <v>1.2</v>
      </c>
      <c r="R467" t="n">
        <v>1</v>
      </c>
      <c r="S467" t="n">
        <v>1.05</v>
      </c>
      <c r="T467">
        <f>LN(SQRT(EXP(
SQRT(
+POWER(LN(M467),2)
+POWER(LN(N467),2)
+POWER(LN(O467),2)
+POWER(LN(P467),2)
+POWER(LN(Q467),2)
+POWER(LN(R467),2)
+POWER(LN(S467),2)
)
)))</f>
        <v>9.4886477223156879E-2</v>
      </c>
    </row>
    <row r="468">
      <c r="A468" t="inlineStr">
        <is>
          <t>Hydrochloric acid</t>
        </is>
      </c>
      <c r="B468">
        <f>unallocated!B176/I468*J468</f>
        <v>3.3540019293010504E-6</v>
      </c>
      <c r="D468" t="inlineStr">
        <is>
          <t>kilogram</t>
        </is>
      </c>
      <c r="E468" t="inlineStr">
        <is>
          <t>air</t>
        </is>
      </c>
      <c r="F468" t="inlineStr">
        <is>
          <t>biosphere</t>
        </is>
      </c>
      <c r="I468" s="6" t="n">
        <v>618</v>
      </c>
      <c r="J468" s="11">
        <f>J453</f>
        <v>0.69092439743601641</v>
      </c>
      <c r="K468" t="n">
        <v>2</v>
      </c>
      <c r="L468" s="3">
        <f>LN(B468)</f>
        <v>-12.605356319339496</v>
      </c>
      <c r="M468" t="n">
        <v>1</v>
      </c>
      <c r="N468" t="n">
        <v>1</v>
      </c>
      <c r="O468" t="n">
        <v>1</v>
      </c>
      <c r="P468" t="n">
        <v>1.02</v>
      </c>
      <c r="Q468" t="n">
        <v>1.2</v>
      </c>
      <c r="R468" t="n">
        <v>1</v>
      </c>
      <c r="S468" t="n">
        <v>1.5</v>
      </c>
      <c r="T468">
        <f>LN(SQRT(EXP(
SQRT(
+POWER(LN(M468),2)
+POWER(LN(N468),2)
+POWER(LN(O468),2)
+POWER(LN(P468),2)
+POWER(LN(Q468),2)
+POWER(LN(R468),2)
+POWER(LN(S468),2)
)
)))</f>
        <v>0.22250575723605889</v>
      </c>
    </row>
    <row r="469">
      <c r="A469" t="inlineStr">
        <is>
          <t>Nitrogen oxides</t>
        </is>
      </c>
      <c r="B469">
        <f>unallocated!B177/I469*J469</f>
        <v>7.5688643537893713E-4</v>
      </c>
      <c r="D469" t="inlineStr">
        <is>
          <t>kilogram</t>
        </is>
      </c>
      <c r="E469" t="inlineStr">
        <is>
          <t>air::urban air close to ground</t>
        </is>
      </c>
      <c r="F469" t="inlineStr">
        <is>
          <t>biosphere</t>
        </is>
      </c>
      <c r="I469" s="6" t="n">
        <v>618</v>
      </c>
      <c r="J469" s="11">
        <f>J453</f>
        <v>0.69092439743601641</v>
      </c>
      <c r="K469" t="n">
        <v>2</v>
      </c>
      <c r="L469" s="3">
        <f>LN(B469)</f>
        <v>-7.1862973350953299</v>
      </c>
      <c r="M469" t="n">
        <v>1</v>
      </c>
      <c r="N469" t="n">
        <v>1</v>
      </c>
      <c r="O469" t="n">
        <v>1</v>
      </c>
      <c r="P469" t="n">
        <v>1.02</v>
      </c>
      <c r="Q469" t="n">
        <v>1.2</v>
      </c>
      <c r="R469" t="n">
        <v>1</v>
      </c>
      <c r="S469" t="n">
        <v>1.5</v>
      </c>
      <c r="T469">
        <f>LN(SQRT(EXP(
SQRT(
+POWER(LN(M469),2)
+POWER(LN(N469),2)
+POWER(LN(O469),2)
+POWER(LN(P469),2)
+POWER(LN(Q469),2)
+POWER(LN(R469),2)
+POWER(LN(S469),2)
)
)))</f>
        <v>0.22250575723605889</v>
      </c>
    </row>
    <row r="470">
      <c r="A470" t="inlineStr">
        <is>
          <t>Ammonia</t>
        </is>
      </c>
      <c r="B470">
        <f>unallocated!B178/I470*J470</f>
        <v>1.1180006431003501E-6</v>
      </c>
      <c r="D470" t="inlineStr">
        <is>
          <t>kilogram</t>
        </is>
      </c>
      <c r="E470" t="inlineStr">
        <is>
          <t>air::urban air close to ground</t>
        </is>
      </c>
      <c r="F470" t="inlineStr">
        <is>
          <t>biosphere</t>
        </is>
      </c>
      <c r="I470" s="6" t="n">
        <v>618</v>
      </c>
      <c r="J470" s="11">
        <f>J453</f>
        <v>0.69092439743601641</v>
      </c>
      <c r="K470" t="n">
        <v>2</v>
      </c>
      <c r="L470" s="3">
        <f>LN(B470)</f>
        <v>-13.703968608007605</v>
      </c>
      <c r="M470" t="n">
        <v>1</v>
      </c>
      <c r="N470" t="n">
        <v>1</v>
      </c>
      <c r="O470" t="n">
        <v>1</v>
      </c>
      <c r="P470" t="n">
        <v>1.02</v>
      </c>
      <c r="Q470" t="n">
        <v>1.2</v>
      </c>
      <c r="R470" t="n">
        <v>1</v>
      </c>
      <c r="S470" t="n">
        <v>1.5</v>
      </c>
      <c r="T470">
        <f>LN(SQRT(EXP(
SQRT(
+POWER(LN(M470),2)
+POWER(LN(N470),2)
+POWER(LN(O470),2)
+POWER(LN(P470),2)
+POWER(LN(Q470),2)
+POWER(LN(R470),2)
+POWER(LN(S470),2)
)
)))</f>
        <v>0.22250575723605889</v>
      </c>
    </row>
    <row r="471">
      <c r="A471" t="inlineStr">
        <is>
          <t>Particulate Matter, &lt; 2.5 um</t>
        </is>
      </c>
      <c r="B471">
        <f>unallocated!B179/I471*J471</f>
        <v>6.7080038586021009E-6</v>
      </c>
      <c r="D471" t="inlineStr">
        <is>
          <t>kilogram</t>
        </is>
      </c>
      <c r="E471" t="inlineStr">
        <is>
          <t>air::urban air close to ground</t>
        </is>
      </c>
      <c r="F471" t="inlineStr">
        <is>
          <t>biosphere</t>
        </is>
      </c>
      <c r="I471" s="6" t="n">
        <v>618</v>
      </c>
      <c r="J471" s="11">
        <f>J453</f>
        <v>0.69092439743601641</v>
      </c>
      <c r="K471" t="n">
        <v>2</v>
      </c>
      <c r="L471" s="3">
        <f>LN(B471)</f>
        <v>-11.91220913877955</v>
      </c>
      <c r="M471" t="n">
        <v>1</v>
      </c>
      <c r="N471" t="n">
        <v>1</v>
      </c>
      <c r="O471" t="n">
        <v>1</v>
      </c>
      <c r="P471" t="n">
        <v>1.02</v>
      </c>
      <c r="Q471" t="n">
        <v>1.2</v>
      </c>
      <c r="R471" t="n">
        <v>1</v>
      </c>
      <c r="S471" t="n">
        <v>3</v>
      </c>
      <c r="T471">
        <f>LN(SQRT(EXP(
SQRT(
+POWER(LN(M471),2)
+POWER(LN(N471),2)
+POWER(LN(O471),2)
+POWER(LN(P471),2)
+POWER(LN(Q471),2)
+POWER(LN(R471),2)
+POWER(LN(S471),2)
)
)))</f>
        <v>0.5569071410325479</v>
      </c>
    </row>
    <row r="472">
      <c r="A472" t="inlineStr">
        <is>
          <t>Mercury II</t>
        </is>
      </c>
      <c r="B472">
        <f>unallocated!B180/I472*J472</f>
        <v>6.7080038586021018E-9</v>
      </c>
      <c r="D472" t="inlineStr">
        <is>
          <t>kilogram</t>
        </is>
      </c>
      <c r="E472" t="inlineStr">
        <is>
          <t>air::urban air close to ground</t>
        </is>
      </c>
      <c r="F472" t="inlineStr">
        <is>
          <t>biosphere</t>
        </is>
      </c>
      <c r="I472" s="6" t="n">
        <v>618</v>
      </c>
      <c r="J472" s="11">
        <f>J453</f>
        <v>0.69092439743601641</v>
      </c>
      <c r="K472" t="n">
        <v>2</v>
      </c>
      <c r="L472" s="3">
        <f>LN(B472)</f>
        <v>-18.819964417761689</v>
      </c>
      <c r="M472" t="n">
        <v>1</v>
      </c>
      <c r="N472" t="n">
        <v>1</v>
      </c>
      <c r="O472" t="n">
        <v>1</v>
      </c>
      <c r="P472" t="n">
        <v>1.02</v>
      </c>
      <c r="Q472" t="n">
        <v>1.2</v>
      </c>
      <c r="R472" t="n">
        <v>1</v>
      </c>
      <c r="S472" t="n">
        <v>5</v>
      </c>
      <c r="T472">
        <f>LN(SQRT(EXP(
SQRT(
+POWER(LN(M472),2)
+POWER(LN(N472),2)
+POWER(LN(O472),2)
+POWER(LN(P472),2)
+POWER(LN(Q472),2)
+POWER(LN(R472),2)
+POWER(LN(S472),2)
)
)))</f>
        <v>0.80992649174166365</v>
      </c>
    </row>
    <row r="473">
      <c r="A473" t="inlineStr">
        <is>
          <t>Lead II</t>
        </is>
      </c>
      <c r="B473">
        <f>unallocated!B181/I473*J473</f>
        <v>6.7080038586021018E-9</v>
      </c>
      <c r="D473" t="inlineStr">
        <is>
          <t>kilogram</t>
        </is>
      </c>
      <c r="E473" t="inlineStr">
        <is>
          <t>air::urban air close to ground</t>
        </is>
      </c>
      <c r="F473" t="inlineStr">
        <is>
          <t>biosphere</t>
        </is>
      </c>
      <c r="I473" s="6" t="n">
        <v>618</v>
      </c>
      <c r="J473" s="11">
        <f>J453</f>
        <v>0.69092439743601641</v>
      </c>
      <c r="K473" t="n">
        <v>2</v>
      </c>
      <c r="L473" s="3">
        <f>LN(B473)</f>
        <v>-18.819964417761689</v>
      </c>
      <c r="M473" t="n">
        <v>1</v>
      </c>
      <c r="N473" t="n">
        <v>1</v>
      </c>
      <c r="O473" t="n">
        <v>1</v>
      </c>
      <c r="P473" t="n">
        <v>1.02</v>
      </c>
      <c r="Q473" t="n">
        <v>1.2</v>
      </c>
      <c r="R473" t="n">
        <v>1</v>
      </c>
      <c r="S473" t="n">
        <v>5</v>
      </c>
      <c r="T473">
        <f>LN(SQRT(EXP(
SQRT(
+POWER(LN(M473),2)
+POWER(LN(N473),2)
+POWER(LN(O473),2)
+POWER(LN(P473),2)
+POWER(LN(Q473),2)
+POWER(LN(R473),2)
+POWER(LN(S473),2)
)
)))</f>
        <v>0.80992649174166365</v>
      </c>
    </row>
    <row r="474">
      <c r="A474" t="inlineStr">
        <is>
          <t>Cadmium II</t>
        </is>
      </c>
      <c r="B474">
        <f>unallocated!B182/I474*J474</f>
        <v>3.3540019293010509E-9</v>
      </c>
      <c r="D474" t="inlineStr">
        <is>
          <t>kilogram</t>
        </is>
      </c>
      <c r="E474" t="inlineStr">
        <is>
          <t>air::urban air close to ground</t>
        </is>
      </c>
      <c r="F474" t="inlineStr">
        <is>
          <t>biosphere</t>
        </is>
      </c>
      <c r="I474" s="6" t="n">
        <v>618</v>
      </c>
      <c r="J474" s="11">
        <f>J453</f>
        <v>0.69092439743601641</v>
      </c>
      <c r="K474" t="n">
        <v>2</v>
      </c>
      <c r="L474" s="3">
        <f>LN(B474)</f>
        <v>-19.513111598321633</v>
      </c>
      <c r="M474" t="n">
        <v>1</v>
      </c>
      <c r="N474" t="n">
        <v>1</v>
      </c>
      <c r="O474" t="n">
        <v>1</v>
      </c>
      <c r="P474" t="n">
        <v>1.02</v>
      </c>
      <c r="Q474" t="n">
        <v>1.2</v>
      </c>
      <c r="R474" t="n">
        <v>1</v>
      </c>
      <c r="S474" t="n">
        <v>5</v>
      </c>
      <c r="T474">
        <f>LN(SQRT(EXP(
SQRT(
+POWER(LN(M474),2)
+POWER(LN(N474),2)
+POWER(LN(O474),2)
+POWER(LN(P474),2)
+POWER(LN(Q474),2)
+POWER(LN(R474),2)
+POWER(LN(S474),2)
)
)))</f>
        <v>0.80992649174166365</v>
      </c>
    </row>
    <row r="475">
      <c r="A475" t="inlineStr">
        <is>
          <t>Arsenic ion</t>
        </is>
      </c>
      <c r="B475">
        <f>unallocated!B183/I475*J475</f>
        <v>3.3540019293010509E-9</v>
      </c>
      <c r="D475" t="inlineStr">
        <is>
          <t>kilogram</t>
        </is>
      </c>
      <c r="E475" t="inlineStr">
        <is>
          <t>air::urban air close to ground</t>
        </is>
      </c>
      <c r="F475" t="inlineStr">
        <is>
          <t>biosphere</t>
        </is>
      </c>
      <c r="I475" s="6" t="n">
        <v>618</v>
      </c>
      <c r="J475" s="11">
        <f>J453</f>
        <v>0.69092439743601641</v>
      </c>
      <c r="K475" t="n">
        <v>2</v>
      </c>
      <c r="L475" s="3">
        <f>LN(B475)</f>
        <v>-19.513111598321633</v>
      </c>
      <c r="M475" t="n">
        <v>1</v>
      </c>
      <c r="N475" t="n">
        <v>1</v>
      </c>
      <c r="O475" t="n">
        <v>1</v>
      </c>
      <c r="P475" t="n">
        <v>1.02</v>
      </c>
      <c r="Q475" t="n">
        <v>1.2</v>
      </c>
      <c r="R475" t="n">
        <v>1</v>
      </c>
      <c r="S475" t="n">
        <v>5</v>
      </c>
      <c r="T475">
        <f>LN(SQRT(EXP(
SQRT(
+POWER(LN(M475),2)
+POWER(LN(N475),2)
+POWER(LN(O475),2)
+POWER(LN(P475),2)
+POWER(LN(Q475),2)
+POWER(LN(R475),2)
+POWER(LN(S475),2)
)
)))</f>
        <v>0.80992649174166365</v>
      </c>
    </row>
    <row r="476">
      <c r="A476" t="inlineStr">
        <is>
          <t>Dioxins, measured as 2,3,7,8-tetrachlorodibenzo-p-dioxin</t>
        </is>
      </c>
      <c r="B476">
        <f>unallocated!B184/I476*J476</f>
        <v>1.2298007074103854E-13</v>
      </c>
      <c r="D476" t="inlineStr">
        <is>
          <t>kilogram</t>
        </is>
      </c>
      <c r="E476" t="inlineStr">
        <is>
          <t>air::urban air close to ground</t>
        </is>
      </c>
      <c r="F476" t="inlineStr">
        <is>
          <t>biosphere</t>
        </is>
      </c>
      <c r="I476" s="6" t="n">
        <v>618</v>
      </c>
      <c r="J476" s="11">
        <f>J453</f>
        <v>0.69092439743601641</v>
      </c>
      <c r="K476" t="n">
        <v>2</v>
      </c>
      <c r="L476" s="3">
        <f>LN(B476)</f>
        <v>-29.726754079161601</v>
      </c>
      <c r="M476" t="n">
        <v>1</v>
      </c>
      <c r="N476" t="n">
        <v>1</v>
      </c>
      <c r="O476" t="n">
        <v>1</v>
      </c>
      <c r="P476" t="n">
        <v>1.02</v>
      </c>
      <c r="Q476" t="n">
        <v>1.2</v>
      </c>
      <c r="R476" t="n">
        <v>1</v>
      </c>
      <c r="S476" t="n">
        <v>5</v>
      </c>
      <c r="T476">
        <f>LN(SQRT(EXP(
SQRT(
+POWER(LN(M476),2)
+POWER(LN(N476),2)
+POWER(LN(O476),2)
+POWER(LN(P476),2)
+POWER(LN(Q476),2)
+POWER(LN(R476),2)
+POWER(LN(S476),2)
)
)))</f>
        <v>0.80992649174166365</v>
      </c>
    </row>
    <row r="477">
      <c r="A477" t="inlineStr">
        <is>
          <t>Carbon dioxide, fossil</t>
        </is>
      </c>
      <c r="B477">
        <f>unallocated!B185/I477*J477</f>
        <v>0.41813224051953096</v>
      </c>
      <c r="D477" t="inlineStr">
        <is>
          <t>kilogram</t>
        </is>
      </c>
      <c r="E477" t="inlineStr">
        <is>
          <t>air::urban air close to ground</t>
        </is>
      </c>
      <c r="F477" t="inlineStr">
        <is>
          <t>biosphere</t>
        </is>
      </c>
      <c r="I477" s="6" t="n">
        <v>618</v>
      </c>
      <c r="J477" s="11">
        <f>J453</f>
        <v>0.69092439743601641</v>
      </c>
      <c r="K477" t="n">
        <v>2</v>
      </c>
      <c r="L477" s="3">
        <f>LN(B477)</f>
        <v>-0.87195753161093636</v>
      </c>
      <c r="M477" t="n">
        <v>1</v>
      </c>
      <c r="N477" t="n">
        <v>1</v>
      </c>
      <c r="O477" t="n">
        <v>1</v>
      </c>
      <c r="P477" t="n">
        <v>1.02</v>
      </c>
      <c r="Q477" t="n">
        <v>1.2</v>
      </c>
      <c r="R477" t="n">
        <v>1</v>
      </c>
      <c r="S477" t="n">
        <v>1.05</v>
      </c>
      <c r="T477">
        <f>LN(SQRT(EXP(
SQRT(
+POWER(LN(M477),2)
+POWER(LN(N477),2)
+POWER(LN(O477),2)
+POWER(LN(P477),2)
+POWER(LN(Q477),2)
+POWER(LN(R477),2)
+POWER(LN(S477),2)
)
)))</f>
        <v>9.4886477223156879E-2</v>
      </c>
    </row>
    <row r="478">
      <c r="A478" t="inlineStr">
        <is>
          <t>Carbon dioxide, non-fossil</t>
        </is>
      </c>
      <c r="B478">
        <f>unallocated!B186/I478*J478</f>
        <v>0.66409238200160803</v>
      </c>
      <c r="D478" t="inlineStr">
        <is>
          <t>kilogram</t>
        </is>
      </c>
      <c r="E478" t="inlineStr">
        <is>
          <t>air::urban air close to ground</t>
        </is>
      </c>
      <c r="F478" t="inlineStr">
        <is>
          <t>biosphere</t>
        </is>
      </c>
      <c r="I478" s="6" t="n">
        <v>618</v>
      </c>
      <c r="J478" s="11">
        <f>J453</f>
        <v>0.69092439743601641</v>
      </c>
      <c r="K478" t="n">
        <v>2</v>
      </c>
      <c r="L478" s="3">
        <f>LN(B478)</f>
        <v>-0.40933400966282329</v>
      </c>
      <c r="M478" t="n">
        <v>1</v>
      </c>
      <c r="N478" t="n">
        <v>1</v>
      </c>
      <c r="O478" t="n">
        <v>1</v>
      </c>
      <c r="P478" t="n">
        <v>1.02</v>
      </c>
      <c r="Q478" t="n">
        <v>1.2</v>
      </c>
      <c r="R478" t="n">
        <v>1</v>
      </c>
      <c r="S478" t="n">
        <v>1.05</v>
      </c>
      <c r="T478">
        <f>LN(SQRT(EXP(
SQRT(
+POWER(LN(M478),2)
+POWER(LN(N478),2)
+POWER(LN(O478),2)
+POWER(LN(P478),2)
+POWER(LN(Q478),2)
+POWER(LN(R478),2)
+POWER(LN(S478),2)
)
)))</f>
        <v>9.4886477223156879E-2</v>
      </c>
    </row>
    <row r="479"/>
    <row r="480">
      <c r="A480" s="1" t="inlineStr">
        <is>
          <t>Activity</t>
        </is>
      </c>
      <c r="B480" s="1" t="inlineStr">
        <is>
          <t>municipal waste incineration, at incineration plant, with wet air pollution control, with flue gas condensation, with electricity and heat recovery, exergy allocation</t>
        </is>
      </c>
    </row>
    <row r="481">
      <c r="A481" t="inlineStr">
        <is>
          <t>location</t>
        </is>
      </c>
      <c r="B481" t="inlineStr">
        <is>
          <t>RER</t>
        </is>
      </c>
    </row>
    <row r="482">
      <c r="A482" t="inlineStr">
        <is>
          <t>production amount</t>
        </is>
      </c>
      <c r="B482" t="n">
        <v>1</v>
      </c>
    </row>
    <row r="483">
      <c r="A483" s="2" t="inlineStr">
        <is>
          <t>source</t>
        </is>
      </c>
      <c r="B483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84">
      <c r="A484" t="inlineStr">
        <is>
          <t>reference product</t>
        </is>
      </c>
      <c r="B484" t="inlineStr">
        <is>
          <t>heat, district or industrial, other than natural gas</t>
        </is>
      </c>
    </row>
    <row r="485">
      <c r="A485" t="inlineStr">
        <is>
          <t>type</t>
        </is>
      </c>
      <c r="B485" t="inlineStr">
        <is>
          <t>process</t>
        </is>
      </c>
    </row>
    <row r="486">
      <c r="A486" t="inlineStr">
        <is>
          <t>unit</t>
        </is>
      </c>
      <c r="B486" t="inlineStr">
        <is>
          <t>megajoule</t>
        </is>
      </c>
    </row>
    <row r="487">
      <c r="A487" t="inlineStr">
        <is>
          <t>comment</t>
        </is>
      </c>
      <c r="B487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618 kWh. Heat production per ton MSWI incinerated: 7'860 MJ.</t>
        </is>
      </c>
    </row>
    <row r="488">
      <c r="A488" s="1" t="inlineStr">
        <is>
          <t>Exchanges</t>
        </is>
      </c>
    </row>
    <row r="489">
      <c r="A489" s="7" t="inlineStr">
        <is>
          <t>name</t>
        </is>
      </c>
      <c r="B489" s="7" t="inlineStr">
        <is>
          <t>amount</t>
        </is>
      </c>
      <c r="C489" s="7" t="inlineStr">
        <is>
          <t>location</t>
        </is>
      </c>
      <c r="D489" s="7" t="inlineStr">
        <is>
          <t>unit</t>
        </is>
      </c>
      <c r="E489" s="7" t="inlineStr">
        <is>
          <t>categories</t>
        </is>
      </c>
      <c r="F489" s="7" t="inlineStr">
        <is>
          <t>type</t>
        </is>
      </c>
      <c r="G489" s="7" t="inlineStr">
        <is>
          <t>reference product</t>
        </is>
      </c>
      <c r="H489" s="7" t="inlineStr">
        <is>
          <t>comment</t>
        </is>
      </c>
      <c r="I489" s="7" t="inlineStr">
        <is>
          <t>normalization</t>
        </is>
      </c>
      <c r="J489" s="7" t="inlineStr">
        <is>
          <t>allocation</t>
        </is>
      </c>
      <c r="K489" s="7" t="inlineStr">
        <is>
          <t>uncertainty type</t>
        </is>
      </c>
      <c r="L489" s="7" t="inlineStr">
        <is>
          <t>loc</t>
        </is>
      </c>
      <c r="M489" s="1" t="inlineStr">
        <is>
          <t>u1</t>
        </is>
      </c>
      <c r="N489" s="1" t="inlineStr">
        <is>
          <t>u2</t>
        </is>
      </c>
      <c r="O489" s="1" t="inlineStr">
        <is>
          <t>u3</t>
        </is>
      </c>
      <c r="P489" s="1" t="inlineStr">
        <is>
          <t>u4</t>
        </is>
      </c>
      <c r="Q489" s="1" t="inlineStr">
        <is>
          <t>u5</t>
        </is>
      </c>
      <c r="R489" s="1" t="inlineStr">
        <is>
          <t>u6</t>
        </is>
      </c>
      <c r="S489" s="1" t="inlineStr">
        <is>
          <t>ub</t>
        </is>
      </c>
      <c r="T489" s="1" t="inlineStr">
        <is>
          <t>scale</t>
        </is>
      </c>
      <c r="U489" s="1" t="inlineStr">
        <is>
          <t>negative</t>
        </is>
      </c>
    </row>
    <row r="490">
      <c r="A490" t="inlineStr">
        <is>
          <t>municipal waste incineration, at incineration plant, with wet air pollution control, with flue gas condensation, with electricity and heat recovery, exergy allocation</t>
        </is>
      </c>
      <c r="B490" t="n">
        <v>0</v>
      </c>
      <c r="C490" t="inlineStr">
        <is>
          <t>RER</t>
        </is>
      </c>
      <c r="D490" t="inlineStr">
        <is>
          <t>kilogram</t>
        </is>
      </c>
      <c r="F490" t="inlineStr">
        <is>
          <t>technosphere</t>
        </is>
      </c>
      <c r="G490" t="inlineStr">
        <is>
          <t>municipal solid waste</t>
        </is>
      </c>
      <c r="H490" t="inlineStr"/>
      <c r="I490" t="n">
        <v>7860</v>
      </c>
      <c r="J490" s="14">
        <f>INDEX('allocation keys'!$I$4:$K$29,MATCH('allocated (exergy)'!$B$480,'allocation keys'!$B$4:$B$28,0),MATCH('allocated (exergy)'!$B$484,'allocation keys'!$I$3:$K$3,0))</f>
        <v>0.30907560256398359</v>
      </c>
      <c r="K490" t="n">
        <v>0</v>
      </c>
      <c r="M490" s="5" t="n"/>
      <c r="N490" s="5" t="n"/>
      <c r="O490" s="5" t="n"/>
      <c r="P490" s="5" t="n"/>
      <c r="Q490" s="5" t="n"/>
      <c r="R490" s="5" t="n"/>
    </row>
    <row r="491">
      <c r="A491" t="inlineStr">
        <is>
          <t>municipal waste incineration, at incineration plant, with wet air pollution control, with flue gas condensation, with electricity and heat recovery, exergy allocation</t>
        </is>
      </c>
      <c r="B491" s="6" t="n">
        <v>0</v>
      </c>
      <c r="C491" t="inlineStr">
        <is>
          <t>RER</t>
        </is>
      </c>
      <c r="D491" t="inlineStr">
        <is>
          <t>kilowatt hour</t>
        </is>
      </c>
      <c r="F491" t="inlineStr">
        <is>
          <t>technosphere</t>
        </is>
      </c>
      <c r="G491" t="inlineStr">
        <is>
          <t>electricity, medium voltage</t>
        </is>
      </c>
      <c r="H491" t="inlineStr"/>
      <c r="I491" t="n">
        <v>7860</v>
      </c>
      <c r="J491" s="11">
        <f>J490</f>
        <v>0.30907560256398359</v>
      </c>
      <c r="K491" t="n">
        <v>0</v>
      </c>
      <c r="L491" s="3" t="n"/>
    </row>
    <row r="492">
      <c r="A492" t="inlineStr">
        <is>
          <t>municipal waste incineration, at incineration plant, with wet air pollution control, with flue gas condensation, with electricity and heat recovery, exergy allocation</t>
        </is>
      </c>
      <c r="B492" t="n">
        <v>1</v>
      </c>
      <c r="C492" t="inlineStr">
        <is>
          <t>RER</t>
        </is>
      </c>
      <c r="D492" t="inlineStr">
        <is>
          <t>megajoule</t>
        </is>
      </c>
      <c r="F492" t="inlineStr">
        <is>
          <t>production</t>
        </is>
      </c>
      <c r="G492" t="inlineStr">
        <is>
          <t>heat, district or industrial, other than natural gas</t>
        </is>
      </c>
      <c r="H492" t="inlineStr"/>
      <c r="I492" t="n">
        <v>7860</v>
      </c>
      <c r="J492" s="11">
        <f>J490</f>
        <v>0.30907560256398359</v>
      </c>
      <c r="K492" t="n">
        <v>0</v>
      </c>
      <c r="L492" s="3" t="n"/>
    </row>
    <row r="493">
      <c r="A493" t="inlineStr">
        <is>
          <t>market for diesel, low-sulfur</t>
        </is>
      </c>
      <c r="B493">
        <f>unallocated!B164/I493*J493</f>
        <v>3.3424206384145808E-6</v>
      </c>
      <c r="C493" t="inlineStr">
        <is>
          <t>Europe without Switzerland</t>
        </is>
      </c>
      <c r="D493" t="inlineStr">
        <is>
          <t>kilogram</t>
        </is>
      </c>
      <c r="F493" t="inlineStr">
        <is>
          <t>technosphere</t>
        </is>
      </c>
      <c r="G493" t="inlineStr">
        <is>
          <t>diesel, low-sulfur</t>
        </is>
      </c>
      <c r="H493" t="inlineStr">
        <is>
          <t>Diesel density: 0.85 kg/l</t>
        </is>
      </c>
      <c r="I493" t="n">
        <v>7860</v>
      </c>
      <c r="J493" s="11">
        <f>J490</f>
        <v>0.30907560256398359</v>
      </c>
      <c r="K493" t="n">
        <v>2</v>
      </c>
      <c r="L493" s="3">
        <f>LN(B493)</f>
        <v>-12.608815271434063</v>
      </c>
      <c r="M493" t="n">
        <v>1</v>
      </c>
      <c r="N493" t="n">
        <v>1</v>
      </c>
      <c r="O493" t="n">
        <v>1</v>
      </c>
      <c r="P493" t="n">
        <v>1.02</v>
      </c>
      <c r="Q493" t="n">
        <v>1.2</v>
      </c>
      <c r="R493" t="n">
        <v>1</v>
      </c>
      <c r="S493" t="n">
        <v>1.05</v>
      </c>
      <c r="T493">
        <f>LN(SQRT(EXP(
SQRT(
+POWER(LN(M493),2)
+POWER(LN(N493),2)
+POWER(LN(O493),2)
+POWER(LN(P493),2)
+POWER(LN(Q493),2)
+POWER(LN(R493),2)
+POWER(LN(S493),2)
)
)))</f>
        <v>9.4886477223156879E-2</v>
      </c>
    </row>
    <row r="494">
      <c r="A494" t="inlineStr">
        <is>
          <t>market for activated carbon, granular</t>
        </is>
      </c>
      <c r="B494">
        <f>unallocated!B165/I494*J494</f>
        <v>1.5729038298421558E-5</v>
      </c>
      <c r="C494" t="inlineStr">
        <is>
          <t>GLO</t>
        </is>
      </c>
      <c r="D494" t="inlineStr">
        <is>
          <t>kilogram</t>
        </is>
      </c>
      <c r="F494" t="inlineStr">
        <is>
          <t>technosphere</t>
        </is>
      </c>
      <c r="G494" t="inlineStr">
        <is>
          <t>activated carbon, granular</t>
        </is>
      </c>
      <c r="I494" t="n">
        <v>7860</v>
      </c>
      <c r="J494" s="11">
        <f>J490</f>
        <v>0.30907560256398359</v>
      </c>
      <c r="K494" t="n">
        <v>2</v>
      </c>
      <c r="L494" s="3">
        <f>LN(B494)</f>
        <v>-11.060001980816397</v>
      </c>
      <c r="M494" t="n">
        <v>1</v>
      </c>
      <c r="N494" t="n">
        <v>1</v>
      </c>
      <c r="O494" t="n">
        <v>1</v>
      </c>
      <c r="P494" t="n">
        <v>1.02</v>
      </c>
      <c r="Q494" t="n">
        <v>1.2</v>
      </c>
      <c r="R494" t="n">
        <v>1</v>
      </c>
      <c r="S494" t="n">
        <v>1.05</v>
      </c>
      <c r="T494">
        <f>LN(SQRT(EXP(
SQRT(
+POWER(LN(M494),2)
+POWER(LN(N494),2)
+POWER(LN(O494),2)
+POWER(LN(P494),2)
+POWER(LN(Q494),2)
+POWER(LN(R494),2)
+POWER(LN(S494),2)
)
)))</f>
        <v>9.4886477223156879E-2</v>
      </c>
    </row>
    <row r="495">
      <c r="A495" t="inlineStr">
        <is>
          <t>market for ammonia, anhydrous, liquid</t>
        </is>
      </c>
      <c r="B495">
        <f>unallocated!B166/I495*J495</f>
        <v>3.8536143831132814E-5</v>
      </c>
      <c r="C495" t="inlineStr">
        <is>
          <t>RER</t>
        </is>
      </c>
      <c r="D495" t="inlineStr">
        <is>
          <t>kilogram</t>
        </is>
      </c>
      <c r="F495" t="inlineStr">
        <is>
          <t>technosphere</t>
        </is>
      </c>
      <c r="G495" t="inlineStr">
        <is>
          <t>ammonia, anhydrous, liquid</t>
        </is>
      </c>
      <c r="H495" t="inlineStr">
        <is>
          <t>100% liquid ammonia. In original publication, it is dilluated to 23.5% in water. We discount the original value by 75%.</t>
        </is>
      </c>
      <c r="I495" t="n">
        <v>7860</v>
      </c>
      <c r="J495" s="11">
        <f>J490</f>
        <v>0.30907560256398359</v>
      </c>
      <c r="K495" t="n">
        <v>2</v>
      </c>
      <c r="L495" s="3">
        <f>LN(B495)</f>
        <v>-10.163913956259762</v>
      </c>
      <c r="M495" t="n">
        <v>1</v>
      </c>
      <c r="N495" t="n">
        <v>1</v>
      </c>
      <c r="O495" t="n">
        <v>1</v>
      </c>
      <c r="P495" t="n">
        <v>1.02</v>
      </c>
      <c r="Q495" t="n">
        <v>1.2</v>
      </c>
      <c r="R495" t="n">
        <v>1</v>
      </c>
      <c r="S495" t="n">
        <v>1.05</v>
      </c>
      <c r="T495">
        <f>LN(SQRT(EXP(
SQRT(
+POWER(LN(M495),2)
+POWER(LN(N495),2)
+POWER(LN(O495),2)
+POWER(LN(P495),2)
+POWER(LN(Q495),2)
+POWER(LN(R495),2)
+POWER(LN(S495),2)
)
)))</f>
        <v>9.4886477223156879E-2</v>
      </c>
    </row>
    <row r="496">
      <c r="A496" t="inlineStr">
        <is>
          <t>market for tap water</t>
        </is>
      </c>
      <c r="B496">
        <f>unallocated!B167/I496*J496</f>
        <v>1.1875423915308275E-4</v>
      </c>
      <c r="C496" t="inlineStr">
        <is>
          <t>Europe without Switzerland</t>
        </is>
      </c>
      <c r="D496" t="inlineStr">
        <is>
          <t>kilogram</t>
        </is>
      </c>
      <c r="F496" t="inlineStr">
        <is>
          <t>technosphere</t>
        </is>
      </c>
      <c r="G496" t="inlineStr">
        <is>
          <t>tap water</t>
        </is>
      </c>
      <c r="H496" t="inlineStr">
        <is>
          <t>Used to dilute the ammonia.</t>
        </is>
      </c>
      <c r="I496" t="n">
        <v>7860</v>
      </c>
      <c r="J496" s="11">
        <f>J490</f>
        <v>0.30907560256398359</v>
      </c>
      <c r="K496" t="n">
        <v>2</v>
      </c>
      <c r="L496" s="3">
        <f>LN(B496)</f>
        <v>-9.0384544175554637</v>
      </c>
      <c r="M496" t="n">
        <v>1</v>
      </c>
      <c r="N496" t="n">
        <v>1</v>
      </c>
      <c r="O496" t="n">
        <v>1</v>
      </c>
      <c r="P496" t="n">
        <v>1.02</v>
      </c>
      <c r="Q496" t="n">
        <v>1.2</v>
      </c>
      <c r="R496" t="n">
        <v>1</v>
      </c>
      <c r="S496" t="n">
        <v>1.05</v>
      </c>
      <c r="T496">
        <f>LN(SQRT(EXP(
SQRT(
+POWER(LN(M496),2)
+POWER(LN(N496),2)
+POWER(LN(O496),2)
+POWER(LN(P496),2)
+POWER(LN(Q496),2)
+POWER(LN(R496),2)
+POWER(LN(S496),2)
)
)))</f>
        <v>9.4886477223156879E-2</v>
      </c>
    </row>
    <row r="497">
      <c r="A497" t="inlineStr">
        <is>
          <t>market for calcium carbonate, precipitated</t>
        </is>
      </c>
      <c r="B497">
        <f>unallocated!B168/I497*J497</f>
        <v>2.7525817022237728E-4</v>
      </c>
      <c r="C497" t="inlineStr">
        <is>
          <t>RER</t>
        </is>
      </c>
      <c r="D497" t="inlineStr">
        <is>
          <t>kilogram</t>
        </is>
      </c>
      <c r="F497" t="inlineStr">
        <is>
          <t>technosphere</t>
        </is>
      </c>
      <c r="G497" t="inlineStr">
        <is>
          <t>calcium carbonate, precipitated</t>
        </is>
      </c>
      <c r="I497" t="n">
        <v>7860</v>
      </c>
      <c r="J497" s="11">
        <f>J490</f>
        <v>0.30907560256398359</v>
      </c>
      <c r="K497" t="n">
        <v>0</v>
      </c>
      <c r="L497" s="3" t="n"/>
    </row>
    <row r="498">
      <c r="A498" t="inlineStr">
        <is>
          <t>market for iron(III) chloride, without water, in 40% solution state</t>
        </is>
      </c>
      <c r="B498">
        <f>unallocated!B169/I498*J498</f>
        <v>1.9661297873026947E-6</v>
      </c>
      <c r="C498" t="inlineStr">
        <is>
          <t>GLO</t>
        </is>
      </c>
      <c r="D498" t="inlineStr">
        <is>
          <t>kilogram</t>
        </is>
      </c>
      <c r="F498" t="inlineStr">
        <is>
          <t>technosphere</t>
        </is>
      </c>
      <c r="G498" t="inlineStr">
        <is>
          <t>iron(III) chloride, without water, in 40% solution state</t>
        </is>
      </c>
      <c r="I498" t="n">
        <v>7860</v>
      </c>
      <c r="J498" s="11">
        <f>J490</f>
        <v>0.30907560256398359</v>
      </c>
      <c r="K498" t="n">
        <v>0</v>
      </c>
      <c r="L498" s="3" t="n"/>
    </row>
    <row r="499">
      <c r="A499" t="inlineStr">
        <is>
          <t>market for lime, hydrated, packed</t>
        </is>
      </c>
      <c r="B499">
        <f>unallocated!B170/I499*J499</f>
        <v>0</v>
      </c>
      <c r="C499" t="inlineStr">
        <is>
          <t>RER</t>
        </is>
      </c>
      <c r="D499" t="inlineStr">
        <is>
          <t>kilogram</t>
        </is>
      </c>
      <c r="F499" t="inlineStr">
        <is>
          <t>technosphere</t>
        </is>
      </c>
      <c r="G499" t="inlineStr">
        <is>
          <t>lime, hydrated, packed</t>
        </is>
      </c>
      <c r="I499" t="n">
        <v>7860</v>
      </c>
      <c r="J499" s="11">
        <f>J490</f>
        <v>0.30907560256398359</v>
      </c>
      <c r="K499" t="n">
        <v>0</v>
      </c>
      <c r="L499" s="3" t="n"/>
    </row>
    <row r="500">
      <c r="A500" t="inlineStr">
        <is>
          <t>market for sodium hydroxide, without water, in 50% solution state</t>
        </is>
      </c>
      <c r="B500">
        <f>unallocated!B171/I500*J500</f>
        <v>1.9661297873026944E-5</v>
      </c>
      <c r="C500" t="inlineStr">
        <is>
          <t>RER</t>
        </is>
      </c>
      <c r="D500" t="inlineStr">
        <is>
          <t>kilogram</t>
        </is>
      </c>
      <c r="F500" t="inlineStr">
        <is>
          <t>technosphere</t>
        </is>
      </c>
      <c r="G500" t="inlineStr">
        <is>
          <t>sodium hydroxide, without water, in 50% solution state</t>
        </is>
      </c>
      <c r="H500" t="inlineStr">
        <is>
          <t>50% liquid ammonia. In original publication, it is dilluated to 27% in water. We discount the original value by 50%.</t>
        </is>
      </c>
      <c r="I500" t="n">
        <v>7860</v>
      </c>
      <c r="J500" s="11">
        <f>J490</f>
        <v>0.30907560256398359</v>
      </c>
      <c r="K500" t="n">
        <v>0</v>
      </c>
      <c r="L500" s="3" t="n"/>
    </row>
    <row r="501">
      <c r="A501" t="inlineStr">
        <is>
          <t>market for monoethanolamine</t>
        </is>
      </c>
      <c r="B501">
        <f>unallocated!B172/I501*J501</f>
        <v>0</v>
      </c>
      <c r="C501" t="inlineStr">
        <is>
          <t>GLO</t>
        </is>
      </c>
      <c r="D501" t="inlineStr">
        <is>
          <t>kilogram</t>
        </is>
      </c>
      <c r="F501" t="inlineStr">
        <is>
          <t>technosphere</t>
        </is>
      </c>
      <c r="G501" t="inlineStr">
        <is>
          <t>monoethanolamine</t>
        </is>
      </c>
      <c r="I501" t="n">
        <v>7860</v>
      </c>
      <c r="J501" s="11">
        <f>J490</f>
        <v>0.30907560256398359</v>
      </c>
      <c r="K501" t="n">
        <v>0</v>
      </c>
      <c r="L501" s="3" t="n"/>
    </row>
    <row r="502">
      <c r="A502" t="inlineStr">
        <is>
          <t>municipal waste incineration facility construction</t>
        </is>
      </c>
      <c r="B502">
        <f>unallocated!B173/I502*J502</f>
        <v>9.8306489365134725E-12</v>
      </c>
      <c r="C502" t="inlineStr">
        <is>
          <t>CH</t>
        </is>
      </c>
      <c r="D502" t="inlineStr">
        <is>
          <t>unit</t>
        </is>
      </c>
      <c r="F502" t="inlineStr">
        <is>
          <t>technosphere</t>
        </is>
      </c>
      <c r="G502" t="inlineStr">
        <is>
          <t>municipal waste incineration facility</t>
        </is>
      </c>
      <c r="H502" t="inlineStr">
        <is>
          <t>Lifetime: 4'000'000 tons MSWI treated.</t>
        </is>
      </c>
      <c r="I502" t="n">
        <v>7860</v>
      </c>
      <c r="J502" s="11">
        <f>J490</f>
        <v>0.30907560256398359</v>
      </c>
      <c r="K502" t="n">
        <v>2</v>
      </c>
      <c r="L502" s="3">
        <f>LN(B502)</f>
        <v>-25.345516168026407</v>
      </c>
      <c r="M502" t="n">
        <v>1</v>
      </c>
      <c r="N502" t="n">
        <v>1</v>
      </c>
      <c r="O502" t="n">
        <v>1</v>
      </c>
      <c r="P502" t="n">
        <v>1.02</v>
      </c>
      <c r="Q502" t="n">
        <v>1.2</v>
      </c>
      <c r="R502" t="n">
        <v>1</v>
      </c>
      <c r="S502" t="n">
        <v>3</v>
      </c>
      <c r="T502">
        <f>LN(SQRT(EXP(
SQRT(
+POWER(LN(M502),2)
+POWER(LN(N502),2)
+POWER(LN(O502),2)
+POWER(LN(P502),2)
+POWER(LN(Q502),2)
+POWER(LN(R502),2)
+POWER(LN(S502),2)
)
)))</f>
        <v>0.5569071410325479</v>
      </c>
    </row>
    <row r="503">
      <c r="A503" t="inlineStr">
        <is>
          <t>Water, cooling, unspecified natural origin</t>
        </is>
      </c>
      <c r="B503">
        <f>unallocated!B174/I503*J503</f>
        <v>0</v>
      </c>
      <c r="D503" t="inlineStr">
        <is>
          <t>cubic meter</t>
        </is>
      </c>
      <c r="E503" t="inlineStr">
        <is>
          <t>natural resource::in water</t>
        </is>
      </c>
      <c r="F503" t="inlineStr">
        <is>
          <t>biosphere</t>
        </is>
      </c>
      <c r="I503" t="n">
        <v>7860</v>
      </c>
      <c r="J503" s="11">
        <f>J490</f>
        <v>0.30907560256398359</v>
      </c>
      <c r="K503" t="n">
        <v>0</v>
      </c>
      <c r="L503" s="3" t="n"/>
    </row>
    <row r="504">
      <c r="A504" t="inlineStr">
        <is>
          <t>Sulfur dioxide</t>
        </is>
      </c>
      <c r="B504">
        <f>unallocated!B175/I504*J504</f>
        <v>2.3593557447632336E-7</v>
      </c>
      <c r="D504" t="inlineStr">
        <is>
          <t>kilogram</t>
        </is>
      </c>
      <c r="E504" t="inlineStr">
        <is>
          <t>air::urban air close to ground</t>
        </is>
      </c>
      <c r="F504" t="inlineStr">
        <is>
          <t>biosphere</t>
        </is>
      </c>
      <c r="I504" t="n">
        <v>7860</v>
      </c>
      <c r="J504" s="11">
        <f>J490</f>
        <v>0.30907560256398359</v>
      </c>
      <c r="K504" t="n">
        <v>2</v>
      </c>
      <c r="L504" s="3">
        <f>LN(B504)</f>
        <v>-15.259707058696323</v>
      </c>
      <c r="M504" t="n">
        <v>1</v>
      </c>
      <c r="N504" t="n">
        <v>1</v>
      </c>
      <c r="O504" t="n">
        <v>1</v>
      </c>
      <c r="P504" t="n">
        <v>1.02</v>
      </c>
      <c r="Q504" t="n">
        <v>1.2</v>
      </c>
      <c r="R504" t="n">
        <v>1</v>
      </c>
      <c r="S504" t="n">
        <v>1.05</v>
      </c>
      <c r="T504">
        <f>LN(SQRT(EXP(
SQRT(
+POWER(LN(M504),2)
+POWER(LN(N504),2)
+POWER(LN(O504),2)
+POWER(LN(P504),2)
+POWER(LN(Q504),2)
+POWER(LN(R504),2)
+POWER(LN(S504),2)
)
)))</f>
        <v>9.4886477223156879E-2</v>
      </c>
    </row>
    <row r="505">
      <c r="A505" t="inlineStr">
        <is>
          <t>Hydrochloric acid</t>
        </is>
      </c>
      <c r="B505">
        <f>unallocated!B176/I505*J505</f>
        <v>1.1796778723816168E-7</v>
      </c>
      <c r="D505" t="inlineStr">
        <is>
          <t>kilogram</t>
        </is>
      </c>
      <c r="E505" t="inlineStr">
        <is>
          <t>air</t>
        </is>
      </c>
      <c r="F505" t="inlineStr">
        <is>
          <t>biosphere</t>
        </is>
      </c>
      <c r="I505" t="n">
        <v>7860</v>
      </c>
      <c r="J505" s="11">
        <f>J490</f>
        <v>0.30907560256398359</v>
      </c>
      <c r="K505" t="n">
        <v>2</v>
      </c>
      <c r="L505" s="3">
        <f>LN(B505)</f>
        <v>-15.952854239256268</v>
      </c>
      <c r="M505" t="n">
        <v>1</v>
      </c>
      <c r="N505" t="n">
        <v>1</v>
      </c>
      <c r="O505" t="n">
        <v>1</v>
      </c>
      <c r="P505" t="n">
        <v>1.02</v>
      </c>
      <c r="Q505" t="n">
        <v>1.2</v>
      </c>
      <c r="R505" t="n">
        <v>1</v>
      </c>
      <c r="S505" t="n">
        <v>1.5</v>
      </c>
      <c r="T505">
        <f>LN(SQRT(EXP(
SQRT(
+POWER(LN(M505),2)
+POWER(LN(N505),2)
+POWER(LN(O505),2)
+POWER(LN(P505),2)
+POWER(LN(Q505),2)
+POWER(LN(R505),2)
+POWER(LN(S505),2)
)
)))</f>
        <v>0.22250575723605889</v>
      </c>
    </row>
    <row r="506">
      <c r="A506" t="inlineStr">
        <is>
          <t>Nitrogen oxides</t>
        </is>
      </c>
      <c r="B506">
        <f>unallocated!B177/I506*J506</f>
        <v>2.6621397320078485E-5</v>
      </c>
      <c r="D506" t="inlineStr">
        <is>
          <t>kilogram</t>
        </is>
      </c>
      <c r="E506" t="inlineStr">
        <is>
          <t>air::urban air close to ground</t>
        </is>
      </c>
      <c r="F506" t="inlineStr">
        <is>
          <t>biosphere</t>
        </is>
      </c>
      <c r="I506" t="n">
        <v>7860</v>
      </c>
      <c r="J506" s="11">
        <f>J490</f>
        <v>0.30907560256398359</v>
      </c>
      <c r="K506" t="n">
        <v>2</v>
      </c>
      <c r="L506" s="3">
        <f>LN(B506)</f>
        <v>-10.533795255012103</v>
      </c>
      <c r="M506" t="n">
        <v>1</v>
      </c>
      <c r="N506" t="n">
        <v>1</v>
      </c>
      <c r="O506" t="n">
        <v>1</v>
      </c>
      <c r="P506" t="n">
        <v>1.02</v>
      </c>
      <c r="Q506" t="n">
        <v>1.2</v>
      </c>
      <c r="R506" t="n">
        <v>1</v>
      </c>
      <c r="S506" t="n">
        <v>1.5</v>
      </c>
      <c r="T506">
        <f>LN(SQRT(EXP(
SQRT(
+POWER(LN(M506),2)
+POWER(LN(N506),2)
+POWER(LN(O506),2)
+POWER(LN(P506),2)
+POWER(LN(Q506),2)
+POWER(LN(R506),2)
+POWER(LN(S506),2)
)
)))</f>
        <v>0.22250575723605889</v>
      </c>
    </row>
    <row r="507">
      <c r="A507" t="inlineStr">
        <is>
          <t>Ammonia</t>
        </is>
      </c>
      <c r="B507">
        <f>unallocated!B178/I507*J507</f>
        <v>3.9322595746053895E-8</v>
      </c>
      <c r="D507" t="inlineStr">
        <is>
          <t>kilogram</t>
        </is>
      </c>
      <c r="E507" t="inlineStr">
        <is>
          <t>air::urban air close to ground</t>
        </is>
      </c>
      <c r="F507" t="inlineStr">
        <is>
          <t>biosphere</t>
        </is>
      </c>
      <c r="I507" t="n">
        <v>7860</v>
      </c>
      <c r="J507" s="11">
        <f>J490</f>
        <v>0.30907560256398359</v>
      </c>
      <c r="K507" t="n">
        <v>2</v>
      </c>
      <c r="L507" s="3">
        <f>LN(B507)</f>
        <v>-17.051466527924379</v>
      </c>
      <c r="M507" t="n">
        <v>1</v>
      </c>
      <c r="N507" t="n">
        <v>1</v>
      </c>
      <c r="O507" t="n">
        <v>1</v>
      </c>
      <c r="P507" t="n">
        <v>1.02</v>
      </c>
      <c r="Q507" t="n">
        <v>1.2</v>
      </c>
      <c r="R507" t="n">
        <v>1</v>
      </c>
      <c r="S507" t="n">
        <v>1.5</v>
      </c>
      <c r="T507">
        <f>LN(SQRT(EXP(
SQRT(
+POWER(LN(M507),2)
+POWER(LN(N507),2)
+POWER(LN(O507),2)
+POWER(LN(P507),2)
+POWER(LN(Q507),2)
+POWER(LN(R507),2)
+POWER(LN(S507),2)
)
)))</f>
        <v>0.22250575723605889</v>
      </c>
    </row>
    <row r="508">
      <c r="A508" t="inlineStr">
        <is>
          <t>Particulate Matter, &lt; 2.5 um</t>
        </is>
      </c>
      <c r="B508">
        <f>unallocated!B179/I508*J508</f>
        <v>2.3593557447632336E-7</v>
      </c>
      <c r="D508" t="inlineStr">
        <is>
          <t>kilogram</t>
        </is>
      </c>
      <c r="E508" t="inlineStr">
        <is>
          <t>air::urban air close to ground</t>
        </is>
      </c>
      <c r="F508" t="inlineStr">
        <is>
          <t>biosphere</t>
        </is>
      </c>
      <c r="I508" t="n">
        <v>7860</v>
      </c>
      <c r="J508" s="11">
        <f>J490</f>
        <v>0.30907560256398359</v>
      </c>
      <c r="K508" t="n">
        <v>2</v>
      </c>
      <c r="L508" s="3">
        <f>LN(B508)</f>
        <v>-15.259707058696323</v>
      </c>
      <c r="M508" t="n">
        <v>1</v>
      </c>
      <c r="N508" t="n">
        <v>1</v>
      </c>
      <c r="O508" t="n">
        <v>1</v>
      </c>
      <c r="P508" t="n">
        <v>1.02</v>
      </c>
      <c r="Q508" t="n">
        <v>1.2</v>
      </c>
      <c r="R508" t="n">
        <v>1</v>
      </c>
      <c r="S508" t="n">
        <v>3</v>
      </c>
      <c r="T508">
        <f>LN(SQRT(EXP(
SQRT(
+POWER(LN(M508),2)
+POWER(LN(N508),2)
+POWER(LN(O508),2)
+POWER(LN(P508),2)
+POWER(LN(Q508),2)
+POWER(LN(R508),2)
+POWER(LN(S508),2)
)
)))</f>
        <v>0.5569071410325479</v>
      </c>
    </row>
    <row r="509">
      <c r="A509" t="inlineStr">
        <is>
          <t>Mercury II</t>
        </is>
      </c>
      <c r="B509">
        <f>unallocated!B180/I509*J509</f>
        <v>2.3593557447632338E-10</v>
      </c>
      <c r="D509" t="inlineStr">
        <is>
          <t>kilogram</t>
        </is>
      </c>
      <c r="E509" t="inlineStr">
        <is>
          <t>air::urban air close to ground</t>
        </is>
      </c>
      <c r="F509" t="inlineStr">
        <is>
          <t>biosphere</t>
        </is>
      </c>
      <c r="I509" t="n">
        <v>7860</v>
      </c>
      <c r="J509" s="11">
        <f>J490</f>
        <v>0.30907560256398359</v>
      </c>
      <c r="K509" t="n">
        <v>2</v>
      </c>
      <c r="L509" s="3">
        <f>LN(B509)</f>
        <v>-22.167462337678462</v>
      </c>
      <c r="M509" t="n">
        <v>1</v>
      </c>
      <c r="N509" t="n">
        <v>1</v>
      </c>
      <c r="O509" t="n">
        <v>1</v>
      </c>
      <c r="P509" t="n">
        <v>1.02</v>
      </c>
      <c r="Q509" t="n">
        <v>1.2</v>
      </c>
      <c r="R509" t="n">
        <v>1</v>
      </c>
      <c r="S509" t="n">
        <v>5</v>
      </c>
      <c r="T509">
        <f>LN(SQRT(EXP(
SQRT(
+POWER(LN(M509),2)
+POWER(LN(N509),2)
+POWER(LN(O509),2)
+POWER(LN(P509),2)
+POWER(LN(Q509),2)
+POWER(LN(R509),2)
+POWER(LN(S509),2)
)
)))</f>
        <v>0.80992649174166365</v>
      </c>
    </row>
    <row r="510">
      <c r="A510" t="inlineStr">
        <is>
          <t>Lead II</t>
        </is>
      </c>
      <c r="B510">
        <f>unallocated!B181/I510*J510</f>
        <v>2.3593557447632338E-10</v>
      </c>
      <c r="D510" t="inlineStr">
        <is>
          <t>kilogram</t>
        </is>
      </c>
      <c r="E510" t="inlineStr">
        <is>
          <t>air::urban air close to ground</t>
        </is>
      </c>
      <c r="F510" t="inlineStr">
        <is>
          <t>biosphere</t>
        </is>
      </c>
      <c r="I510" t="n">
        <v>7860</v>
      </c>
      <c r="J510" s="11">
        <f>J490</f>
        <v>0.30907560256398359</v>
      </c>
      <c r="K510" t="n">
        <v>2</v>
      </c>
      <c r="L510" s="3">
        <f>LN(B510)</f>
        <v>-22.167462337678462</v>
      </c>
      <c r="M510" t="n">
        <v>1</v>
      </c>
      <c r="N510" t="n">
        <v>1</v>
      </c>
      <c r="O510" t="n">
        <v>1</v>
      </c>
      <c r="P510" t="n">
        <v>1.02</v>
      </c>
      <c r="Q510" t="n">
        <v>1.2</v>
      </c>
      <c r="R510" t="n">
        <v>1</v>
      </c>
      <c r="S510" t="n">
        <v>5</v>
      </c>
      <c r="T510">
        <f>LN(SQRT(EXP(
SQRT(
+POWER(LN(M510),2)
+POWER(LN(N510),2)
+POWER(LN(O510),2)
+POWER(LN(P510),2)
+POWER(LN(Q510),2)
+POWER(LN(R510),2)
+POWER(LN(S510),2)
)
)))</f>
        <v>0.80992649174166365</v>
      </c>
    </row>
    <row r="511">
      <c r="A511" t="inlineStr">
        <is>
          <t>Cadmium II</t>
        </is>
      </c>
      <c r="B511">
        <f>unallocated!B182/I511*J511</f>
        <v>1.1796778723816169E-10</v>
      </c>
      <c r="D511" t="inlineStr">
        <is>
          <t>kilogram</t>
        </is>
      </c>
      <c r="E511" t="inlineStr">
        <is>
          <t>air::urban air close to ground</t>
        </is>
      </c>
      <c r="F511" t="inlineStr">
        <is>
          <t>biosphere</t>
        </is>
      </c>
      <c r="I511" t="n">
        <v>7860</v>
      </c>
      <c r="J511" s="11">
        <f>J490</f>
        <v>0.30907560256398359</v>
      </c>
      <c r="K511" t="n">
        <v>2</v>
      </c>
      <c r="L511" s="3">
        <f>LN(B511)</f>
        <v>-22.860609518238405</v>
      </c>
      <c r="M511" t="n">
        <v>1</v>
      </c>
      <c r="N511" t="n">
        <v>1</v>
      </c>
      <c r="O511" t="n">
        <v>1</v>
      </c>
      <c r="P511" t="n">
        <v>1.02</v>
      </c>
      <c r="Q511" t="n">
        <v>1.2</v>
      </c>
      <c r="R511" t="n">
        <v>1</v>
      </c>
      <c r="S511" t="n">
        <v>5</v>
      </c>
      <c r="T511">
        <f>LN(SQRT(EXP(
SQRT(
+POWER(LN(M511),2)
+POWER(LN(N511),2)
+POWER(LN(O511),2)
+POWER(LN(P511),2)
+POWER(LN(Q511),2)
+POWER(LN(R511),2)
+POWER(LN(S511),2)
)
)))</f>
        <v>0.80992649174166365</v>
      </c>
    </row>
    <row r="512">
      <c r="A512" t="inlineStr">
        <is>
          <t>Arsenic ion</t>
        </is>
      </c>
      <c r="B512">
        <f>unallocated!B183/I512*J512</f>
        <v>1.1796778723816169E-10</v>
      </c>
      <c r="D512" t="inlineStr">
        <is>
          <t>kilogram</t>
        </is>
      </c>
      <c r="E512" t="inlineStr">
        <is>
          <t>air::urban air close to ground</t>
        </is>
      </c>
      <c r="F512" t="inlineStr">
        <is>
          <t>biosphere</t>
        </is>
      </c>
      <c r="I512" t="n">
        <v>7860</v>
      </c>
      <c r="J512" s="11">
        <f>J490</f>
        <v>0.30907560256398359</v>
      </c>
      <c r="K512" t="n">
        <v>2</v>
      </c>
      <c r="L512" s="3">
        <f>LN(B512)</f>
        <v>-22.860609518238405</v>
      </c>
      <c r="M512" t="n">
        <v>1</v>
      </c>
      <c r="N512" t="n">
        <v>1</v>
      </c>
      <c r="O512" t="n">
        <v>1</v>
      </c>
      <c r="P512" t="n">
        <v>1.02</v>
      </c>
      <c r="Q512" t="n">
        <v>1.2</v>
      </c>
      <c r="R512" t="n">
        <v>1</v>
      </c>
      <c r="S512" t="n">
        <v>5</v>
      </c>
      <c r="T512">
        <f>LN(SQRT(EXP(
SQRT(
+POWER(LN(M512),2)
+POWER(LN(N512),2)
+POWER(LN(O512),2)
+POWER(LN(P512),2)
+POWER(LN(Q512),2)
+POWER(LN(R512),2)
+POWER(LN(S512),2)
)
)))</f>
        <v>0.80992649174166365</v>
      </c>
    </row>
    <row r="513">
      <c r="A513" t="inlineStr">
        <is>
          <t>Dioxins, measured as 2,3,7,8-tetrachlorodibenzo-p-dioxin</t>
        </is>
      </c>
      <c r="B513">
        <f>unallocated!B184/I513*J513</f>
        <v>4.3254855320659281E-15</v>
      </c>
      <c r="D513" t="inlineStr">
        <is>
          <t>kilogram</t>
        </is>
      </c>
      <c r="E513" t="inlineStr">
        <is>
          <t>air::urban air close to ground</t>
        </is>
      </c>
      <c r="F513" t="inlineStr">
        <is>
          <t>biosphere</t>
        </is>
      </c>
      <c r="I513" t="n">
        <v>7860</v>
      </c>
      <c r="J513" s="11">
        <f>J490</f>
        <v>0.30907560256398359</v>
      </c>
      <c r="K513" t="n">
        <v>2</v>
      </c>
      <c r="L513" s="3">
        <f>LN(B513)</f>
        <v>-33.074251999078371</v>
      </c>
      <c r="M513" t="n">
        <v>1</v>
      </c>
      <c r="N513" t="n">
        <v>1</v>
      </c>
      <c r="O513" t="n">
        <v>1</v>
      </c>
      <c r="P513" t="n">
        <v>1.02</v>
      </c>
      <c r="Q513" t="n">
        <v>1.2</v>
      </c>
      <c r="R513" t="n">
        <v>1</v>
      </c>
      <c r="S513" t="n">
        <v>5</v>
      </c>
      <c r="T513">
        <f>LN(SQRT(EXP(
SQRT(
+POWER(LN(M513),2)
+POWER(LN(N513),2)
+POWER(LN(O513),2)
+POWER(LN(P513),2)
+POWER(LN(Q513),2)
+POWER(LN(R513),2)
+POWER(LN(S513),2)
)
)))</f>
        <v>0.80992649174166365</v>
      </c>
    </row>
    <row r="514">
      <c r="A514" t="inlineStr">
        <is>
          <t>Carbon dioxide, fossil</t>
        </is>
      </c>
      <c r="B514">
        <f>unallocated!B185/I514*J514</f>
        <v>1.4706650809024157E-2</v>
      </c>
      <c r="D514" t="inlineStr">
        <is>
          <t>kilogram</t>
        </is>
      </c>
      <c r="E514" t="inlineStr">
        <is>
          <t>air::urban air close to ground</t>
        </is>
      </c>
      <c r="F514" t="inlineStr">
        <is>
          <t>biosphere</t>
        </is>
      </c>
      <c r="I514" t="n">
        <v>7860</v>
      </c>
      <c r="J514" s="11">
        <f>J490</f>
        <v>0.30907560256398359</v>
      </c>
      <c r="K514" t="n">
        <v>2</v>
      </c>
      <c r="L514" s="3">
        <f>LN(B514)</f>
        <v>-4.2194554515277094</v>
      </c>
      <c r="M514" t="n">
        <v>1</v>
      </c>
      <c r="N514" t="n">
        <v>1</v>
      </c>
      <c r="O514" t="n">
        <v>1</v>
      </c>
      <c r="P514" t="n">
        <v>1.02</v>
      </c>
      <c r="Q514" t="n">
        <v>1.2</v>
      </c>
      <c r="R514" t="n">
        <v>1</v>
      </c>
      <c r="S514" t="n">
        <v>1.05</v>
      </c>
      <c r="T514">
        <f>LN(SQRT(EXP(
SQRT(
+POWER(LN(M514),2)
+POWER(LN(N514),2)
+POWER(LN(O514),2)
+POWER(LN(P514),2)
+POWER(LN(Q514),2)
+POWER(LN(R514),2)
+POWER(LN(S514),2)
)
)))</f>
        <v>9.4886477223156879E-2</v>
      </c>
    </row>
    <row r="515">
      <c r="A515" t="inlineStr">
        <is>
          <t>Carbon dioxide, non-fossil</t>
        </is>
      </c>
      <c r="B515">
        <f>unallocated!B186/I515*J515</f>
        <v>2.3357621873156011E-2</v>
      </c>
      <c r="D515" t="inlineStr">
        <is>
          <t>kilogram</t>
        </is>
      </c>
      <c r="E515" t="inlineStr">
        <is>
          <t>air::urban air close to ground</t>
        </is>
      </c>
      <c r="F515" t="inlineStr">
        <is>
          <t>biosphere</t>
        </is>
      </c>
      <c r="I515" t="n">
        <v>7860</v>
      </c>
      <c r="J515" s="11">
        <f>J490</f>
        <v>0.30907560256398359</v>
      </c>
      <c r="K515" t="n">
        <v>2</v>
      </c>
      <c r="L515" s="3">
        <f>LN(B515)</f>
        <v>-3.7568319295795969</v>
      </c>
      <c r="M515" t="n">
        <v>1</v>
      </c>
      <c r="N515" t="n">
        <v>1</v>
      </c>
      <c r="O515" t="n">
        <v>1</v>
      </c>
      <c r="P515" t="n">
        <v>1.02</v>
      </c>
      <c r="Q515" t="n">
        <v>1.2</v>
      </c>
      <c r="R515" t="n">
        <v>1</v>
      </c>
      <c r="S515" t="n">
        <v>1.05</v>
      </c>
      <c r="T515">
        <f>LN(SQRT(EXP(
SQRT(
+POWER(LN(M515),2)
+POWER(LN(N515),2)
+POWER(LN(O515),2)
+POWER(LN(P515),2)
+POWER(LN(Q515),2)
+POWER(LN(R515),2)
+POWER(LN(S515),2)
)
)))</f>
        <v>9.4886477223156879E-2</v>
      </c>
    </row>
    <row r="516"/>
    <row r="517">
      <c r="A517" s="1" t="inlineStr">
        <is>
          <t>Activity</t>
        </is>
      </c>
      <c r="B517" s="1" t="inlineStr">
        <is>
          <t>municipal waste incineration, at incineration plant, with semi-dry air pollution control, with flue gas condensation, with electricity recovery only, with carbon capture and storage, exergy allocation</t>
        </is>
      </c>
    </row>
    <row r="518">
      <c r="A518" t="inlineStr">
        <is>
          <t>location</t>
        </is>
      </c>
      <c r="B518" t="inlineStr">
        <is>
          <t>RER</t>
        </is>
      </c>
    </row>
    <row r="519">
      <c r="A519" t="inlineStr">
        <is>
          <t>production amount</t>
        </is>
      </c>
      <c r="B519" t="n">
        <v>1</v>
      </c>
    </row>
    <row r="520">
      <c r="A520" s="2" t="inlineStr">
        <is>
          <t>source</t>
        </is>
      </c>
      <c r="B52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521">
      <c r="A521" t="inlineStr">
        <is>
          <t>reference product</t>
        </is>
      </c>
      <c r="B521" t="inlineStr">
        <is>
          <t>municipal solid waste</t>
        </is>
      </c>
    </row>
    <row r="522">
      <c r="A522" t="inlineStr">
        <is>
          <t>type</t>
        </is>
      </c>
      <c r="B522" t="inlineStr">
        <is>
          <t>process</t>
        </is>
      </c>
    </row>
    <row r="523">
      <c r="A523" t="inlineStr">
        <is>
          <t>unit</t>
        </is>
      </c>
      <c r="B523" t="inlineStr">
        <is>
          <t>kilogram</t>
        </is>
      </c>
    </row>
    <row r="524">
      <c r="A524" t="inlineStr">
        <is>
          <t>comment</t>
        </is>
      </c>
      <c r="B52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Yes. Electricity production per ton MSWI incinerated: 478 kWh.</t>
        </is>
      </c>
    </row>
    <row r="525">
      <c r="A525" s="1" t="inlineStr">
        <is>
          <t>Exchanges</t>
        </is>
      </c>
    </row>
    <row r="526">
      <c r="A526" s="7" t="inlineStr">
        <is>
          <t>name</t>
        </is>
      </c>
      <c r="B526" s="7" t="inlineStr">
        <is>
          <t>amount</t>
        </is>
      </c>
      <c r="C526" s="7" t="inlineStr">
        <is>
          <t>location</t>
        </is>
      </c>
      <c r="D526" s="7" t="inlineStr">
        <is>
          <t>unit</t>
        </is>
      </c>
      <c r="E526" s="7" t="inlineStr">
        <is>
          <t>categories</t>
        </is>
      </c>
      <c r="F526" s="7" t="inlineStr">
        <is>
          <t>type</t>
        </is>
      </c>
      <c r="G526" s="7" t="inlineStr">
        <is>
          <t>reference product</t>
        </is>
      </c>
      <c r="H526" s="7" t="inlineStr">
        <is>
          <t>comment</t>
        </is>
      </c>
      <c r="I526" s="7" t="inlineStr">
        <is>
          <t>normalization</t>
        </is>
      </c>
      <c r="J526" s="7" t="inlineStr">
        <is>
          <t>allocation</t>
        </is>
      </c>
      <c r="K526" s="7" t="inlineStr">
        <is>
          <t>uncertainty type</t>
        </is>
      </c>
      <c r="L526" s="7" t="inlineStr">
        <is>
          <t>loc</t>
        </is>
      </c>
      <c r="M526" s="1" t="inlineStr">
        <is>
          <t>u1</t>
        </is>
      </c>
      <c r="N526" s="1" t="inlineStr">
        <is>
          <t>u2</t>
        </is>
      </c>
      <c r="O526" s="1" t="inlineStr">
        <is>
          <t>u3</t>
        </is>
      </c>
      <c r="P526" s="1" t="inlineStr">
        <is>
          <t>u4</t>
        </is>
      </c>
      <c r="Q526" s="1" t="inlineStr">
        <is>
          <t>u5</t>
        </is>
      </c>
      <c r="R526" s="1" t="inlineStr">
        <is>
          <t>u6</t>
        </is>
      </c>
      <c r="S526" s="1" t="inlineStr">
        <is>
          <t>ub</t>
        </is>
      </c>
      <c r="T526" s="1" t="inlineStr">
        <is>
          <t>scale</t>
        </is>
      </c>
      <c r="U526" s="1" t="inlineStr">
        <is>
          <t>negative</t>
        </is>
      </c>
    </row>
    <row r="527">
      <c r="A527" t="inlineStr">
        <is>
          <t>municipal waste incineration, at incineration plant, with semi-dry air pollution control, with flue gas condensation, with electricity recovery only, with carbon capture and storage, exergy allocation</t>
        </is>
      </c>
      <c r="B527" t="n">
        <v>1</v>
      </c>
      <c r="C527" t="inlineStr">
        <is>
          <t>RER</t>
        </is>
      </c>
      <c r="D527" t="inlineStr">
        <is>
          <t>kilogram</t>
        </is>
      </c>
      <c r="F527" t="inlineStr">
        <is>
          <t>production</t>
        </is>
      </c>
      <c r="G527" t="inlineStr">
        <is>
          <t>municipal solid waste</t>
        </is>
      </c>
      <c r="H527" t="inlineStr"/>
      <c r="I527" t="n">
        <v>1000</v>
      </c>
      <c r="J527" s="14">
        <f>INDEX('allocation keys'!$I$4:$K$29,MATCH('allocated (exergy)'!$B$517,'allocation keys'!$B$4:$B$28,0),MATCH('allocated (exergy)'!$B$521,'allocation keys'!$I$3:$K$3,0))</f>
        <v>0</v>
      </c>
      <c r="K527" t="n">
        <v>0</v>
      </c>
      <c r="M527" s="5" t="n"/>
      <c r="N527" s="5" t="n"/>
      <c r="O527" s="5" t="n"/>
      <c r="P527" s="5" t="n"/>
      <c r="Q527" s="5" t="n"/>
      <c r="R527" s="5" t="n"/>
    </row>
    <row r="528">
      <c r="A528" t="inlineStr">
        <is>
          <t>municipal waste incineration, at incineration plant, with semi-dry air pollution control, with flue gas condensation, with electricity recovery only, with carbon capture and storage, exergy allocation</t>
        </is>
      </c>
      <c r="B528" s="6" t="n">
        <v>0</v>
      </c>
      <c r="C528" t="inlineStr">
        <is>
          <t>RER</t>
        </is>
      </c>
      <c r="D528" t="inlineStr">
        <is>
          <t>kilowatt hour</t>
        </is>
      </c>
      <c r="F528" t="inlineStr">
        <is>
          <t>technosphere</t>
        </is>
      </c>
      <c r="G528" t="inlineStr">
        <is>
          <t>electricity, medium voltage</t>
        </is>
      </c>
      <c r="H528" t="inlineStr"/>
      <c r="I528" t="n">
        <v>1000</v>
      </c>
      <c r="J528" s="11">
        <f>J527</f>
        <v>0</v>
      </c>
      <c r="K528" t="n">
        <v>0</v>
      </c>
      <c r="L528" s="3" t="n"/>
    </row>
    <row r="529">
      <c r="A529" t="inlineStr">
        <is>
          <t>market for diesel, low-sulfur</t>
        </is>
      </c>
      <c r="B529">
        <f>unallocated!B201/I529*J529</f>
        <v>0</v>
      </c>
      <c r="C529" t="inlineStr">
        <is>
          <t>Europe without Switzerland</t>
        </is>
      </c>
      <c r="D529" t="inlineStr">
        <is>
          <t>kilogram</t>
        </is>
      </c>
      <c r="F529" t="inlineStr">
        <is>
          <t>technosphere</t>
        </is>
      </c>
      <c r="G529" t="inlineStr">
        <is>
          <t>diesel, low-sulfur</t>
        </is>
      </c>
      <c r="H529" t="inlineStr">
        <is>
          <t>Diesel density: 0.85 kg/l</t>
        </is>
      </c>
      <c r="I529" t="n">
        <v>1000</v>
      </c>
      <c r="J529" s="11">
        <f>J527</f>
        <v>0</v>
      </c>
      <c r="K529" t="n">
        <v>0</v>
      </c>
      <c r="L529" s="3" t="n"/>
    </row>
    <row r="530">
      <c r="A530" t="inlineStr">
        <is>
          <t>market for activated carbon, granular</t>
        </is>
      </c>
      <c r="B530">
        <f>unallocated!B202/I530*J530</f>
        <v>0</v>
      </c>
      <c r="C530" t="inlineStr">
        <is>
          <t>GLO</t>
        </is>
      </c>
      <c r="D530" t="inlineStr">
        <is>
          <t>kilogram</t>
        </is>
      </c>
      <c r="F530" t="inlineStr">
        <is>
          <t>technosphere</t>
        </is>
      </c>
      <c r="G530" t="inlineStr">
        <is>
          <t>activated carbon, granular</t>
        </is>
      </c>
      <c r="I530" t="n">
        <v>1000</v>
      </c>
      <c r="J530" s="11">
        <f>J527</f>
        <v>0</v>
      </c>
      <c r="K530" t="n">
        <v>0</v>
      </c>
      <c r="L530" s="3" t="n"/>
    </row>
    <row r="531">
      <c r="A531" t="inlineStr">
        <is>
          <t>market for ammonia, anhydrous, liquid</t>
        </is>
      </c>
      <c r="B531">
        <f>unallocated!B203/I531*J531</f>
        <v>0</v>
      </c>
      <c r="C531" t="inlineStr">
        <is>
          <t>RER</t>
        </is>
      </c>
      <c r="D531" t="inlineStr">
        <is>
          <t>kilogram</t>
        </is>
      </c>
      <c r="F531" t="inlineStr">
        <is>
          <t>technosphere</t>
        </is>
      </c>
      <c r="G531" t="inlineStr">
        <is>
          <t>ammonia, anhydrous, liquid</t>
        </is>
      </c>
      <c r="H531" t="inlineStr">
        <is>
          <t>100% liquid ammonia. In original publication, it is dilluated to 23.5% in water. We discount the original value by 75%.</t>
        </is>
      </c>
      <c r="I531" t="n">
        <v>1000</v>
      </c>
      <c r="J531" s="11">
        <f>J527</f>
        <v>0</v>
      </c>
      <c r="K531" t="n">
        <v>0</v>
      </c>
      <c r="L531" s="3" t="n"/>
    </row>
    <row r="532">
      <c r="A532" t="inlineStr">
        <is>
          <t>market for tap water</t>
        </is>
      </c>
      <c r="B532">
        <f>unallocated!B204/I532*J532</f>
        <v>0</v>
      </c>
      <c r="C532" t="inlineStr">
        <is>
          <t>Europe without Switzerland</t>
        </is>
      </c>
      <c r="D532" t="inlineStr">
        <is>
          <t>kilogram</t>
        </is>
      </c>
      <c r="F532" t="inlineStr">
        <is>
          <t>technosphere</t>
        </is>
      </c>
      <c r="G532" t="inlineStr">
        <is>
          <t>tap water</t>
        </is>
      </c>
      <c r="H532" t="inlineStr">
        <is>
          <t>Used to dilute the ammonia.</t>
        </is>
      </c>
      <c r="I532" t="n">
        <v>1000</v>
      </c>
      <c r="J532" s="11">
        <f>J527</f>
        <v>0</v>
      </c>
      <c r="K532" t="n">
        <v>0</v>
      </c>
      <c r="L532" s="3" t="n"/>
    </row>
    <row r="533">
      <c r="A533" t="inlineStr">
        <is>
          <t>market for calcium carbonate, precipitated</t>
        </is>
      </c>
      <c r="B533">
        <f>unallocated!B205/I533*J533</f>
        <v>0</v>
      </c>
      <c r="C533" t="inlineStr">
        <is>
          <t>RER</t>
        </is>
      </c>
      <c r="D533" t="inlineStr">
        <is>
          <t>kilogram</t>
        </is>
      </c>
      <c r="F533" t="inlineStr">
        <is>
          <t>technosphere</t>
        </is>
      </c>
      <c r="G533" t="inlineStr">
        <is>
          <t>calcium carbonate, precipitated</t>
        </is>
      </c>
      <c r="I533" t="n">
        <v>1000</v>
      </c>
      <c r="J533" s="11">
        <f>J527</f>
        <v>0</v>
      </c>
      <c r="K533" t="n">
        <v>0</v>
      </c>
      <c r="L533" s="3" t="n"/>
    </row>
    <row r="534">
      <c r="A534" t="inlineStr">
        <is>
          <t>market for iron(III) chloride, without water, in 40% solution state</t>
        </is>
      </c>
      <c r="B534">
        <f>unallocated!B206/I534*J534</f>
        <v>0</v>
      </c>
      <c r="C534" t="inlineStr">
        <is>
          <t>GLO</t>
        </is>
      </c>
      <c r="D534" t="inlineStr">
        <is>
          <t>kilogram</t>
        </is>
      </c>
      <c r="F534" t="inlineStr">
        <is>
          <t>technosphere</t>
        </is>
      </c>
      <c r="G534" t="inlineStr">
        <is>
          <t>iron(III) chloride, without water, in 40% solution state</t>
        </is>
      </c>
      <c r="I534" t="n">
        <v>1000</v>
      </c>
      <c r="J534" s="11">
        <f>J527</f>
        <v>0</v>
      </c>
      <c r="K534" t="n">
        <v>0</v>
      </c>
      <c r="L534" s="3" t="n"/>
    </row>
    <row r="535">
      <c r="A535" t="inlineStr">
        <is>
          <t>market for lime, hydrated, packed</t>
        </is>
      </c>
      <c r="B535">
        <f>unallocated!B207/I535*J535</f>
        <v>0</v>
      </c>
      <c r="C535" t="inlineStr">
        <is>
          <t>RER</t>
        </is>
      </c>
      <c r="D535" t="inlineStr">
        <is>
          <t>kilogram</t>
        </is>
      </c>
      <c r="F535" t="inlineStr">
        <is>
          <t>technosphere</t>
        </is>
      </c>
      <c r="G535" t="inlineStr">
        <is>
          <t>lime, hydrated, packed</t>
        </is>
      </c>
      <c r="I535" t="n">
        <v>1000</v>
      </c>
      <c r="J535" s="11">
        <f>J527</f>
        <v>0</v>
      </c>
      <c r="K535" t="n">
        <v>0</v>
      </c>
      <c r="L535" s="3" t="n"/>
    </row>
    <row r="536">
      <c r="A536" t="inlineStr">
        <is>
          <t>market for sodium hydroxide, without water, in 50% solution state</t>
        </is>
      </c>
      <c r="B536">
        <f>unallocated!B208/I536*J536</f>
        <v>0</v>
      </c>
      <c r="C536" t="inlineStr">
        <is>
          <t>RER</t>
        </is>
      </c>
      <c r="D536" t="inlineStr">
        <is>
          <t>kilogram</t>
        </is>
      </c>
      <c r="F536" t="inlineStr">
        <is>
          <t>technosphere</t>
        </is>
      </c>
      <c r="G536" t="inlineStr">
        <is>
          <t>sodium hydroxide, without water, in 50% solution state</t>
        </is>
      </c>
      <c r="H536" t="inlineStr">
        <is>
          <t>50% liquid ammonia. In original publication, it is dilluated to 27% in water. We discount the original value by 50%.</t>
        </is>
      </c>
      <c r="I536" t="n">
        <v>1000</v>
      </c>
      <c r="J536" s="11">
        <f>J527</f>
        <v>0</v>
      </c>
      <c r="K536" t="n">
        <v>0</v>
      </c>
      <c r="L536" s="3" t="n"/>
    </row>
    <row r="537">
      <c r="A537" t="inlineStr">
        <is>
          <t>market for monoethanolamine</t>
        </is>
      </c>
      <c r="B537">
        <f>unallocated!B209/I537*J537</f>
        <v>0</v>
      </c>
      <c r="C537" t="inlineStr">
        <is>
          <t>GLO</t>
        </is>
      </c>
      <c r="D537" t="inlineStr">
        <is>
          <t>kilogram</t>
        </is>
      </c>
      <c r="F537" t="inlineStr">
        <is>
          <t>technosphere</t>
        </is>
      </c>
      <c r="G537" t="inlineStr">
        <is>
          <t>monoethanolamine</t>
        </is>
      </c>
      <c r="I537" t="n">
        <v>1000</v>
      </c>
      <c r="J537" s="11">
        <f>J527</f>
        <v>0</v>
      </c>
      <c r="K537" t="n">
        <v>0</v>
      </c>
      <c r="L537" s="3" t="n"/>
    </row>
    <row r="538">
      <c r="A538" t="inlineStr">
        <is>
          <t>municipal waste incineration facility construction</t>
        </is>
      </c>
      <c r="B538">
        <f>unallocated!B210/I538*J538</f>
        <v>0</v>
      </c>
      <c r="C538" t="inlineStr">
        <is>
          <t>CH</t>
        </is>
      </c>
      <c r="D538" t="inlineStr">
        <is>
          <t>unit</t>
        </is>
      </c>
      <c r="F538" t="inlineStr">
        <is>
          <t>technosphere</t>
        </is>
      </c>
      <c r="G538" t="inlineStr">
        <is>
          <t>municipal waste incineration facility</t>
        </is>
      </c>
      <c r="H538" t="inlineStr">
        <is>
          <t>Lifetime: 4'000'000 tons MSWI treated.</t>
        </is>
      </c>
      <c r="I538" t="n">
        <v>1000</v>
      </c>
      <c r="J538" s="11">
        <f>J527</f>
        <v>0</v>
      </c>
      <c r="K538" t="n">
        <v>0</v>
      </c>
      <c r="L538" s="3" t="n"/>
    </row>
    <row r="539">
      <c r="A539" t="inlineStr">
        <is>
          <t>carbon dioxide storage at wood burning power plant 20 MW post, pipeline 200km, storage 1000m</t>
        </is>
      </c>
      <c r="B539">
        <f>unallocated!B211/I539*J539</f>
        <v>0</v>
      </c>
      <c r="C539" t="inlineStr">
        <is>
          <t>RER</t>
        </is>
      </c>
      <c r="D539" t="inlineStr">
        <is>
          <t>kilogram</t>
        </is>
      </c>
      <c r="F539" t="inlineStr">
        <is>
          <t>technosphere</t>
        </is>
      </c>
      <c r="G539" t="inlineStr">
        <is>
          <t>carbon dioxide storage at wood burning power plant 20 MW post, pipeline 200km, storage 1000m</t>
        </is>
      </c>
      <c r="I539" t="n">
        <v>1000</v>
      </c>
      <c r="J539" s="11">
        <f>J527</f>
        <v>0</v>
      </c>
      <c r="K539" t="n">
        <v>0</v>
      </c>
      <c r="L539" s="3" t="n"/>
    </row>
    <row r="540">
      <c r="A540" t="inlineStr">
        <is>
          <t>Water, cooling, unspecified natural origin</t>
        </is>
      </c>
      <c r="B540">
        <f>unallocated!B212/I540*J540</f>
        <v>0</v>
      </c>
      <c r="D540" t="inlineStr">
        <is>
          <t>cubic meter</t>
        </is>
      </c>
      <c r="E540" t="inlineStr">
        <is>
          <t>natural resource::in water</t>
        </is>
      </c>
      <c r="F540" t="inlineStr">
        <is>
          <t>biosphere</t>
        </is>
      </c>
      <c r="I540" t="n">
        <v>1000</v>
      </c>
      <c r="J540" s="11">
        <f>J527</f>
        <v>0</v>
      </c>
      <c r="K540" t="n">
        <v>0</v>
      </c>
      <c r="L540" s="3" t="n"/>
    </row>
    <row r="541">
      <c r="A541" t="inlineStr">
        <is>
          <t>Sulfur dioxide</t>
        </is>
      </c>
      <c r="B541">
        <f>unallocated!B213/I541*J541</f>
        <v>0</v>
      </c>
      <c r="D541" t="inlineStr">
        <is>
          <t>kilogram</t>
        </is>
      </c>
      <c r="E541" t="inlineStr">
        <is>
          <t>air::urban air close to ground</t>
        </is>
      </c>
      <c r="F541" t="inlineStr">
        <is>
          <t>biosphere</t>
        </is>
      </c>
      <c r="I541" t="n">
        <v>1000</v>
      </c>
      <c r="J541" s="11">
        <f>J527</f>
        <v>0</v>
      </c>
      <c r="K541" t="n">
        <v>0</v>
      </c>
      <c r="L541" s="3" t="n"/>
    </row>
    <row r="542">
      <c r="A542" t="inlineStr">
        <is>
          <t>Hydrochloric acid</t>
        </is>
      </c>
      <c r="B542">
        <f>unallocated!B214/I542*J542</f>
        <v>0</v>
      </c>
      <c r="D542" t="inlineStr">
        <is>
          <t>kilogram</t>
        </is>
      </c>
      <c r="E542" t="inlineStr">
        <is>
          <t>air</t>
        </is>
      </c>
      <c r="F542" t="inlineStr">
        <is>
          <t>biosphere</t>
        </is>
      </c>
      <c r="I542" t="n">
        <v>1000</v>
      </c>
      <c r="J542" s="11">
        <f>J527</f>
        <v>0</v>
      </c>
      <c r="K542" t="n">
        <v>0</v>
      </c>
      <c r="L542" s="3" t="n"/>
    </row>
    <row r="543">
      <c r="A543" t="inlineStr">
        <is>
          <t>Nitrogen oxides</t>
        </is>
      </c>
      <c r="B543">
        <f>unallocated!B215/I543*J543</f>
        <v>0</v>
      </c>
      <c r="D543" t="inlineStr">
        <is>
          <t>kilogram</t>
        </is>
      </c>
      <c r="E543" t="inlineStr">
        <is>
          <t>air::urban air close to ground</t>
        </is>
      </c>
      <c r="F543" t="inlineStr">
        <is>
          <t>biosphere</t>
        </is>
      </c>
      <c r="I543" t="n">
        <v>1000</v>
      </c>
      <c r="J543" s="11">
        <f>J527</f>
        <v>0</v>
      </c>
      <c r="K543" t="n">
        <v>0</v>
      </c>
      <c r="L543" s="3" t="n"/>
    </row>
    <row r="544">
      <c r="A544" t="inlineStr">
        <is>
          <t>Ammonia</t>
        </is>
      </c>
      <c r="B544">
        <f>unallocated!B216/I544*J544</f>
        <v>0</v>
      </c>
      <c r="D544" t="inlineStr">
        <is>
          <t>kilogram</t>
        </is>
      </c>
      <c r="E544" t="inlineStr">
        <is>
          <t>air::urban air close to ground</t>
        </is>
      </c>
      <c r="F544" t="inlineStr">
        <is>
          <t>biosphere</t>
        </is>
      </c>
      <c r="I544" t="n">
        <v>1000</v>
      </c>
      <c r="J544" s="11">
        <f>J527</f>
        <v>0</v>
      </c>
      <c r="K544" t="n">
        <v>0</v>
      </c>
      <c r="L544" s="3" t="n"/>
    </row>
    <row r="545">
      <c r="A545" t="inlineStr">
        <is>
          <t>Particulate Matter, &lt; 2.5 um</t>
        </is>
      </c>
      <c r="B545">
        <f>unallocated!B217/I545*J545</f>
        <v>0</v>
      </c>
      <c r="D545" t="inlineStr">
        <is>
          <t>kilogram</t>
        </is>
      </c>
      <c r="E545" t="inlineStr">
        <is>
          <t>air::urban air close to ground</t>
        </is>
      </c>
      <c r="F545" t="inlineStr">
        <is>
          <t>biosphere</t>
        </is>
      </c>
      <c r="I545" t="n">
        <v>1000</v>
      </c>
      <c r="J545" s="11">
        <f>J527</f>
        <v>0</v>
      </c>
      <c r="K545" t="n">
        <v>0</v>
      </c>
      <c r="L545" s="3" t="n"/>
    </row>
    <row r="546">
      <c r="A546" t="inlineStr">
        <is>
          <t>Mercury II</t>
        </is>
      </c>
      <c r="B546">
        <f>unallocated!B218/I546*J546</f>
        <v>0</v>
      </c>
      <c r="D546" t="inlineStr">
        <is>
          <t>kilogram</t>
        </is>
      </c>
      <c r="E546" t="inlineStr">
        <is>
          <t>air::urban air close to ground</t>
        </is>
      </c>
      <c r="F546" t="inlineStr">
        <is>
          <t>biosphere</t>
        </is>
      </c>
      <c r="I546" t="n">
        <v>1000</v>
      </c>
      <c r="J546" s="11">
        <f>J527</f>
        <v>0</v>
      </c>
      <c r="K546" t="n">
        <v>0</v>
      </c>
      <c r="L546" s="3" t="n"/>
    </row>
    <row r="547">
      <c r="A547" t="inlineStr">
        <is>
          <t>Lead II</t>
        </is>
      </c>
      <c r="B547">
        <f>unallocated!B219/I547*J547</f>
        <v>0</v>
      </c>
      <c r="D547" t="inlineStr">
        <is>
          <t>kilogram</t>
        </is>
      </c>
      <c r="E547" t="inlineStr">
        <is>
          <t>air::urban air close to ground</t>
        </is>
      </c>
      <c r="F547" t="inlineStr">
        <is>
          <t>biosphere</t>
        </is>
      </c>
      <c r="I547" t="n">
        <v>1000</v>
      </c>
      <c r="J547" s="11">
        <f>J527</f>
        <v>0</v>
      </c>
      <c r="K547" t="n">
        <v>0</v>
      </c>
      <c r="L547" s="3" t="n"/>
    </row>
    <row r="548">
      <c r="A548" t="inlineStr">
        <is>
          <t>Cadmium II</t>
        </is>
      </c>
      <c r="B548">
        <f>unallocated!B220/I548*J548</f>
        <v>0</v>
      </c>
      <c r="D548" t="inlineStr">
        <is>
          <t>kilogram</t>
        </is>
      </c>
      <c r="E548" t="inlineStr">
        <is>
          <t>air::urban air close to ground</t>
        </is>
      </c>
      <c r="F548" t="inlineStr">
        <is>
          <t>biosphere</t>
        </is>
      </c>
      <c r="I548" t="n">
        <v>1000</v>
      </c>
      <c r="J548" s="11">
        <f>J527</f>
        <v>0</v>
      </c>
      <c r="K548" t="n">
        <v>0</v>
      </c>
      <c r="L548" s="3" t="n"/>
    </row>
    <row r="549">
      <c r="A549" t="inlineStr">
        <is>
          <t>Arsenic ion</t>
        </is>
      </c>
      <c r="B549">
        <f>unallocated!B221/I549*J549</f>
        <v>0</v>
      </c>
      <c r="D549" t="inlineStr">
        <is>
          <t>kilogram</t>
        </is>
      </c>
      <c r="E549" t="inlineStr">
        <is>
          <t>air::urban air close to ground</t>
        </is>
      </c>
      <c r="F549" t="inlineStr">
        <is>
          <t>biosphere</t>
        </is>
      </c>
      <c r="I549" t="n">
        <v>1000</v>
      </c>
      <c r="J549" s="11">
        <f>J527</f>
        <v>0</v>
      </c>
      <c r="K549" t="n">
        <v>0</v>
      </c>
      <c r="L549" s="3" t="n"/>
    </row>
    <row r="550">
      <c r="A550" t="inlineStr">
        <is>
          <t>Dioxins, measured as 2,3,7,8-tetrachlorodibenzo-p-dioxin</t>
        </is>
      </c>
      <c r="B550">
        <f>unallocated!B222/I550*J550</f>
        <v>0</v>
      </c>
      <c r="D550" t="inlineStr">
        <is>
          <t>kilogram</t>
        </is>
      </c>
      <c r="E550" t="inlineStr">
        <is>
          <t>air::urban air close to ground</t>
        </is>
      </c>
      <c r="F550" t="inlineStr">
        <is>
          <t>biosphere</t>
        </is>
      </c>
      <c r="I550" t="n">
        <v>1000</v>
      </c>
      <c r="J550" s="11">
        <f>J527</f>
        <v>0</v>
      </c>
      <c r="K550" t="n">
        <v>0</v>
      </c>
      <c r="L550" s="3" t="n"/>
    </row>
    <row r="551">
      <c r="A551" t="inlineStr">
        <is>
          <t>Carbon dioxide, fossil</t>
        </is>
      </c>
      <c r="B551">
        <f>unallocated!B223/I551*J551</f>
        <v>0</v>
      </c>
      <c r="D551" t="inlineStr">
        <is>
          <t>kilogram</t>
        </is>
      </c>
      <c r="E551" t="inlineStr">
        <is>
          <t>air::urban air close to ground</t>
        </is>
      </c>
      <c r="F551" t="inlineStr">
        <is>
          <t>biosphere</t>
        </is>
      </c>
      <c r="I551" t="n">
        <v>1000</v>
      </c>
      <c r="J551" s="11">
        <f>J527</f>
        <v>0</v>
      </c>
      <c r="K551" t="n">
        <v>0</v>
      </c>
      <c r="L551" s="3" t="n"/>
    </row>
    <row r="552">
      <c r="A552" t="inlineStr">
        <is>
          <t>Carbon dioxide, non-fossil</t>
        </is>
      </c>
      <c r="B552">
        <f>unallocated!B224/I552*J552</f>
        <v>0</v>
      </c>
      <c r="D552" t="inlineStr">
        <is>
          <t>kilogram</t>
        </is>
      </c>
      <c r="E552" t="inlineStr">
        <is>
          <t>air::urban air close to ground</t>
        </is>
      </c>
      <c r="F552" t="inlineStr">
        <is>
          <t>biosphere</t>
        </is>
      </c>
      <c r="I552" t="n">
        <v>1000</v>
      </c>
      <c r="J552">
        <f>J527</f>
        <v>0</v>
      </c>
      <c r="K552" t="n">
        <v>0</v>
      </c>
      <c r="L552" s="3" t="n"/>
    </row>
    <row r="553">
      <c r="A553" t="inlineStr">
        <is>
          <t>Carbon dioxide, in air</t>
        </is>
      </c>
      <c r="B553">
        <f>unallocated!B225/I553*J553</f>
        <v>0</v>
      </c>
      <c r="D553" t="inlineStr">
        <is>
          <t>kilogram</t>
        </is>
      </c>
      <c r="E553" t="inlineStr">
        <is>
          <t>natural resource::in air</t>
        </is>
      </c>
      <c r="F553" t="inlineStr">
        <is>
          <t>biosphere</t>
        </is>
      </c>
      <c r="H553" t="inlineStr">
        <is>
          <t>To reflect the permanent storage of non-fossil CO.</t>
        </is>
      </c>
      <c r="I553" t="n">
        <v>1000</v>
      </c>
      <c r="J553">
        <f>J527</f>
        <v>0</v>
      </c>
      <c r="K553" t="n">
        <v>0</v>
      </c>
      <c r="L553" s="3" t="n"/>
    </row>
    <row r="554"/>
    <row r="555">
      <c r="A555" s="1" t="inlineStr">
        <is>
          <t>Activity</t>
        </is>
      </c>
      <c r="B555" s="1" t="inlineStr">
        <is>
          <t>municipal waste incineration, at incineration plant, with semi-dry air pollution control, with flue gas condensation, with electricity recovery only, with carbon capture and storage, exergy allocation</t>
        </is>
      </c>
    </row>
    <row r="556">
      <c r="A556" t="inlineStr">
        <is>
          <t>location</t>
        </is>
      </c>
      <c r="B556" t="inlineStr">
        <is>
          <t>RER</t>
        </is>
      </c>
    </row>
    <row r="557">
      <c r="A557" t="inlineStr">
        <is>
          <t>production amount</t>
        </is>
      </c>
      <c r="B557" t="n">
        <v>1</v>
      </c>
    </row>
    <row r="558">
      <c r="A558" s="2" t="inlineStr">
        <is>
          <t>source</t>
        </is>
      </c>
      <c r="B558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559">
      <c r="A559" t="inlineStr">
        <is>
          <t>reference product</t>
        </is>
      </c>
      <c r="B559" t="inlineStr">
        <is>
          <t>electricity, medium voltage</t>
        </is>
      </c>
    </row>
    <row r="560">
      <c r="A560" t="inlineStr">
        <is>
          <t>type</t>
        </is>
      </c>
      <c r="B560" t="inlineStr">
        <is>
          <t>process</t>
        </is>
      </c>
    </row>
    <row r="561">
      <c r="A561" t="inlineStr">
        <is>
          <t>unit</t>
        </is>
      </c>
      <c r="B561" t="inlineStr">
        <is>
          <t>kilowatt hour</t>
        </is>
      </c>
    </row>
    <row r="562">
      <c r="A562" t="inlineStr">
        <is>
          <t>comment</t>
        </is>
      </c>
      <c r="B562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Yes. Electricity production per ton MSWI incinerated: 478 kWh.</t>
        </is>
      </c>
    </row>
    <row r="563">
      <c r="A563" s="1" t="inlineStr">
        <is>
          <t>Exchanges</t>
        </is>
      </c>
    </row>
    <row r="564">
      <c r="A564" s="7" t="inlineStr">
        <is>
          <t>name</t>
        </is>
      </c>
      <c r="B564" s="7" t="inlineStr">
        <is>
          <t>amount</t>
        </is>
      </c>
      <c r="C564" s="7" t="inlineStr">
        <is>
          <t>location</t>
        </is>
      </c>
      <c r="D564" s="7" t="inlineStr">
        <is>
          <t>unit</t>
        </is>
      </c>
      <c r="E564" s="7" t="inlineStr">
        <is>
          <t>categories</t>
        </is>
      </c>
      <c r="F564" s="7" t="inlineStr">
        <is>
          <t>type</t>
        </is>
      </c>
      <c r="G564" s="7" t="inlineStr">
        <is>
          <t>reference product</t>
        </is>
      </c>
      <c r="H564" s="7" t="inlineStr">
        <is>
          <t>comment</t>
        </is>
      </c>
      <c r="I564" s="7" t="inlineStr">
        <is>
          <t>normalization</t>
        </is>
      </c>
      <c r="J564" s="7" t="inlineStr">
        <is>
          <t>allocation</t>
        </is>
      </c>
      <c r="K564" s="7" t="inlineStr">
        <is>
          <t>uncertainty type</t>
        </is>
      </c>
      <c r="L564" s="7" t="inlineStr">
        <is>
          <t>loc</t>
        </is>
      </c>
      <c r="M564" s="1" t="inlineStr">
        <is>
          <t>u1</t>
        </is>
      </c>
      <c r="N564" s="1" t="inlineStr">
        <is>
          <t>u2</t>
        </is>
      </c>
      <c r="O564" s="1" t="inlineStr">
        <is>
          <t>u3</t>
        </is>
      </c>
      <c r="P564" s="1" t="inlineStr">
        <is>
          <t>u4</t>
        </is>
      </c>
      <c r="Q564" s="1" t="inlineStr">
        <is>
          <t>u5</t>
        </is>
      </c>
      <c r="R564" s="1" t="inlineStr">
        <is>
          <t>u6</t>
        </is>
      </c>
      <c r="S564" s="1" t="inlineStr">
        <is>
          <t>ub</t>
        </is>
      </c>
      <c r="T564" s="1" t="inlineStr">
        <is>
          <t>scale</t>
        </is>
      </c>
      <c r="U564" s="1" t="inlineStr">
        <is>
          <t>negative</t>
        </is>
      </c>
    </row>
    <row r="565">
      <c r="A565" t="inlineStr">
        <is>
          <t>municipal waste incineration, at incineration plant, with semi-dry air pollution control, with flue gas condensation, with electricity recovery only, with carbon capture and storage, exergy allocation</t>
        </is>
      </c>
      <c r="B565" t="n">
        <v>0</v>
      </c>
      <c r="C565" t="inlineStr">
        <is>
          <t>RER</t>
        </is>
      </c>
      <c r="D565" t="inlineStr">
        <is>
          <t>kilogram</t>
        </is>
      </c>
      <c r="F565" t="inlineStr">
        <is>
          <t>technosphere</t>
        </is>
      </c>
      <c r="G565" t="inlineStr">
        <is>
          <t>municipal solid waste</t>
        </is>
      </c>
      <c r="H565" t="inlineStr"/>
      <c r="I565" s="6" t="n">
        <v>478</v>
      </c>
      <c r="J565" s="14">
        <f>INDEX('allocation keys'!$I$4:$K$29,MATCH('allocated (exergy)'!$B$555,'allocation keys'!$B$4:$B$28,0),MATCH('allocated (exergy)'!$B$559,'allocation keys'!$I$3:$K$3,0))</f>
        <v>1</v>
      </c>
      <c r="K565" t="n">
        <v>0</v>
      </c>
      <c r="M565" s="5" t="n"/>
      <c r="N565" s="5" t="n"/>
      <c r="O565" s="5" t="n"/>
      <c r="P565" s="5" t="n"/>
      <c r="Q565" s="5" t="n"/>
      <c r="R565" s="5" t="n"/>
    </row>
    <row r="566">
      <c r="A566" t="inlineStr">
        <is>
          <t>municipal waste incineration, at incineration plant, with semi-dry air pollution control, with flue gas condensation, with electricity recovery only, with carbon capture and storage, exergy allocation</t>
        </is>
      </c>
      <c r="B566" s="6" t="n">
        <v>1</v>
      </c>
      <c r="C566" t="inlineStr">
        <is>
          <t>RER</t>
        </is>
      </c>
      <c r="D566" t="inlineStr">
        <is>
          <t>kilowatt hour</t>
        </is>
      </c>
      <c r="F566" t="inlineStr">
        <is>
          <t>production</t>
        </is>
      </c>
      <c r="G566" t="inlineStr">
        <is>
          <t>electricity, medium voltage</t>
        </is>
      </c>
      <c r="H566" t="inlineStr"/>
      <c r="I566" s="6" t="n">
        <v>478</v>
      </c>
      <c r="J566" s="11">
        <f>J565</f>
        <v>1</v>
      </c>
      <c r="K566" t="n">
        <v>0</v>
      </c>
      <c r="L566" s="3" t="n"/>
    </row>
    <row r="567">
      <c r="A567" t="inlineStr">
        <is>
          <t>market for diesel, low-sulfur</t>
        </is>
      </c>
      <c r="B567">
        <f>unallocated!B201/I567*J567</f>
        <v>1.778242677824268E-4</v>
      </c>
      <c r="C567" t="inlineStr">
        <is>
          <t>Europe without Switzerland</t>
        </is>
      </c>
      <c r="D567" t="inlineStr">
        <is>
          <t>kilogram</t>
        </is>
      </c>
      <c r="F567" t="inlineStr">
        <is>
          <t>technosphere</t>
        </is>
      </c>
      <c r="G567" t="inlineStr">
        <is>
          <t>diesel, low-sulfur</t>
        </is>
      </c>
      <c r="H567" t="inlineStr">
        <is>
          <t>Diesel density: 0.85 kg/l</t>
        </is>
      </c>
      <c r="I567" s="6" t="n">
        <v>478</v>
      </c>
      <c r="J567" s="11">
        <f>J565</f>
        <v>1</v>
      </c>
      <c r="K567" t="n">
        <v>2</v>
      </c>
      <c r="L567" s="3">
        <f>LN(B567)</f>
        <v>-8.6347147549832766</v>
      </c>
      <c r="M567" t="n">
        <v>1</v>
      </c>
      <c r="N567" t="n">
        <v>1</v>
      </c>
      <c r="O567" t="n">
        <v>1</v>
      </c>
      <c r="P567" t="n">
        <v>1.02</v>
      </c>
      <c r="Q567" t="n">
        <v>1.2</v>
      </c>
      <c r="R567" t="n">
        <v>1</v>
      </c>
      <c r="S567" t="n">
        <v>1.05</v>
      </c>
      <c r="T567">
        <f>LN(SQRT(EXP(
SQRT(
+POWER(LN(M567),2)
+POWER(LN(N567),2)
+POWER(LN(O567),2)
+POWER(LN(P567),2)
+POWER(LN(Q567),2)
+POWER(LN(R567),2)
+POWER(LN(S567),2)
)
)))</f>
        <v>9.4886477223156879E-2</v>
      </c>
    </row>
    <row r="568">
      <c r="A568" t="inlineStr">
        <is>
          <t>market for activated carbon, granular</t>
        </is>
      </c>
      <c r="B568">
        <f>unallocated!B202/I568*J568</f>
        <v>8.3682008368200843E-4</v>
      </c>
      <c r="C568" t="inlineStr">
        <is>
          <t>GLO</t>
        </is>
      </c>
      <c r="D568" t="inlineStr">
        <is>
          <t>kilogram</t>
        </is>
      </c>
      <c r="F568" t="inlineStr">
        <is>
          <t>technosphere</t>
        </is>
      </c>
      <c r="G568" t="inlineStr">
        <is>
          <t>activated carbon, granular</t>
        </is>
      </c>
      <c r="I568" s="6" t="n">
        <v>478</v>
      </c>
      <c r="J568" s="11">
        <f>J565</f>
        <v>1</v>
      </c>
      <c r="K568" t="n">
        <v>2</v>
      </c>
      <c r="L568" s="3">
        <f>LN(B568)</f>
        <v>-7.0859014643656106</v>
      </c>
      <c r="M568" t="n">
        <v>1</v>
      </c>
      <c r="N568" t="n">
        <v>1</v>
      </c>
      <c r="O568" t="n">
        <v>1</v>
      </c>
      <c r="P568" t="n">
        <v>1.02</v>
      </c>
      <c r="Q568" t="n">
        <v>1.2</v>
      </c>
      <c r="R568" t="n">
        <v>1</v>
      </c>
      <c r="S568" t="n">
        <v>1.05</v>
      </c>
      <c r="T568">
        <f>LN(SQRT(EXP(
SQRT(
+POWER(LN(M568),2)
+POWER(LN(N568),2)
+POWER(LN(O568),2)
+POWER(LN(P568),2)
+POWER(LN(Q568),2)
+POWER(LN(R568),2)
+POWER(LN(S568),2)
)
)))</f>
        <v>9.4886477223156879E-2</v>
      </c>
    </row>
    <row r="569">
      <c r="A569" t="inlineStr">
        <is>
          <t>market for ammonia, anhydrous, liquid</t>
        </is>
      </c>
      <c r="B569">
        <f>unallocated!B203/I569*J569</f>
        <v>2.0502092050209203E-3</v>
      </c>
      <c r="C569" t="inlineStr">
        <is>
          <t>RER</t>
        </is>
      </c>
      <c r="D569" t="inlineStr">
        <is>
          <t>kilogram</t>
        </is>
      </c>
      <c r="F569" t="inlineStr">
        <is>
          <t>technosphere</t>
        </is>
      </c>
      <c r="G569" t="inlineStr">
        <is>
          <t>ammonia, anhydrous, liquid</t>
        </is>
      </c>
      <c r="H569" t="inlineStr">
        <is>
          <t>100% liquid ammonia. In original publication, it is dilluated to 23.5% in water. We discount the original value by 75%.</t>
        </is>
      </c>
      <c r="I569" s="6" t="n">
        <v>478</v>
      </c>
      <c r="J569" s="11">
        <f>J565</f>
        <v>1</v>
      </c>
      <c r="K569" t="n">
        <v>2</v>
      </c>
      <c r="L569" s="3">
        <f>LN(B569)</f>
        <v>-6.1898134398089759</v>
      </c>
      <c r="M569" t="n">
        <v>1</v>
      </c>
      <c r="N569" t="n">
        <v>1</v>
      </c>
      <c r="O569" t="n">
        <v>1</v>
      </c>
      <c r="P569" t="n">
        <v>1.02</v>
      </c>
      <c r="Q569" t="n">
        <v>1.2</v>
      </c>
      <c r="R569" t="n">
        <v>1</v>
      </c>
      <c r="S569" t="n">
        <v>1.05</v>
      </c>
      <c r="T569">
        <f>LN(SQRT(EXP(
SQRT(
+POWER(LN(M569),2)
+POWER(LN(N569),2)
+POWER(LN(O569),2)
+POWER(LN(P569),2)
+POWER(LN(Q569),2)
+POWER(LN(R569),2)
+POWER(LN(S569),2)
)
)))</f>
        <v>9.4886477223156879E-2</v>
      </c>
    </row>
    <row r="570">
      <c r="A570" t="inlineStr">
        <is>
          <t>market for tap water</t>
        </is>
      </c>
      <c r="B570">
        <f>unallocated!B204/I570*J570</f>
        <v>6.3179916317991636E-3</v>
      </c>
      <c r="C570" t="inlineStr">
        <is>
          <t>Europe without Switzerland</t>
        </is>
      </c>
      <c r="D570" t="inlineStr">
        <is>
          <t>kilogram</t>
        </is>
      </c>
      <c r="F570" t="inlineStr">
        <is>
          <t>technosphere</t>
        </is>
      </c>
      <c r="G570" t="inlineStr">
        <is>
          <t>tap water</t>
        </is>
      </c>
      <c r="H570" t="inlineStr">
        <is>
          <t>Used to dilute the ammonia.</t>
        </is>
      </c>
      <c r="I570" s="6" t="n">
        <v>478</v>
      </c>
      <c r="J570" s="11">
        <f>J565</f>
        <v>1</v>
      </c>
      <c r="K570" t="n">
        <v>2</v>
      </c>
      <c r="L570" s="3">
        <f>LN(B570)</f>
        <v>-5.0643539011046776</v>
      </c>
      <c r="M570" t="n">
        <v>1</v>
      </c>
      <c r="N570" t="n">
        <v>1</v>
      </c>
      <c r="O570" t="n">
        <v>1</v>
      </c>
      <c r="P570" t="n">
        <v>1.02</v>
      </c>
      <c r="Q570" t="n">
        <v>1.2</v>
      </c>
      <c r="R570" t="n">
        <v>1</v>
      </c>
      <c r="S570" t="n">
        <v>1.05</v>
      </c>
      <c r="T570">
        <f>LN(SQRT(EXP(
SQRT(
+POWER(LN(M570),2)
+POWER(LN(N570),2)
+POWER(LN(O570),2)
+POWER(LN(P570),2)
+POWER(LN(Q570),2)
+POWER(LN(R570),2)
+POWER(LN(S570),2)
)
)))</f>
        <v>9.4886477223156879E-2</v>
      </c>
    </row>
    <row r="571">
      <c r="A571" t="inlineStr">
        <is>
          <t>market for calcium carbonate, precipitated</t>
        </is>
      </c>
      <c r="B571">
        <f>unallocated!B205/I571*J571</f>
        <v>0</v>
      </c>
      <c r="C571" t="inlineStr">
        <is>
          <t>RER</t>
        </is>
      </c>
      <c r="D571" t="inlineStr">
        <is>
          <t>kilogram</t>
        </is>
      </c>
      <c r="F571" t="inlineStr">
        <is>
          <t>technosphere</t>
        </is>
      </c>
      <c r="G571" t="inlineStr">
        <is>
          <t>calcium carbonate, precipitated</t>
        </is>
      </c>
      <c r="I571" s="6" t="n">
        <v>478</v>
      </c>
      <c r="J571" s="11">
        <f>J565</f>
        <v>1</v>
      </c>
      <c r="K571" t="n">
        <v>0</v>
      </c>
      <c r="L571" s="3" t="n"/>
    </row>
    <row r="572">
      <c r="A572" t="inlineStr">
        <is>
          <t>market for iron(III) chloride, without water, in 40% solution state</t>
        </is>
      </c>
      <c r="B572">
        <f>unallocated!B206/I572*J572</f>
        <v>0</v>
      </c>
      <c r="C572" t="inlineStr">
        <is>
          <t>GLO</t>
        </is>
      </c>
      <c r="D572" t="inlineStr">
        <is>
          <t>kilogram</t>
        </is>
      </c>
      <c r="F572" t="inlineStr">
        <is>
          <t>technosphere</t>
        </is>
      </c>
      <c r="G572" t="inlineStr">
        <is>
          <t>iron(III) chloride, without water, in 40% solution state</t>
        </is>
      </c>
      <c r="I572" s="6" t="n">
        <v>478</v>
      </c>
      <c r="J572" s="11">
        <f>J565</f>
        <v>1</v>
      </c>
      <c r="K572" t="n">
        <v>0</v>
      </c>
      <c r="L572" s="3" t="n"/>
    </row>
    <row r="573">
      <c r="A573" t="inlineStr">
        <is>
          <t>market for lime, hydrated, packed</t>
        </is>
      </c>
      <c r="B573">
        <f>unallocated!B207/I573*J573</f>
        <v>2.0920502092050208E-2</v>
      </c>
      <c r="C573" t="inlineStr">
        <is>
          <t>RER</t>
        </is>
      </c>
      <c r="D573" t="inlineStr">
        <is>
          <t>kilogram</t>
        </is>
      </c>
      <c r="F573" t="inlineStr">
        <is>
          <t>technosphere</t>
        </is>
      </c>
      <c r="G573" t="inlineStr">
        <is>
          <t>lime, hydrated, packed</t>
        </is>
      </c>
      <c r="I573" s="6" t="n">
        <v>478</v>
      </c>
      <c r="J573" s="11">
        <f>J565</f>
        <v>1</v>
      </c>
      <c r="K573" t="n">
        <v>2</v>
      </c>
      <c r="L573" s="3">
        <f>LN(B573)</f>
        <v>-3.8670256394974105</v>
      </c>
      <c r="M573" t="n">
        <v>1</v>
      </c>
      <c r="N573" t="n">
        <v>1</v>
      </c>
      <c r="O573" t="n">
        <v>1</v>
      </c>
      <c r="P573" t="n">
        <v>1.02</v>
      </c>
      <c r="Q573" t="n">
        <v>1.2</v>
      </c>
      <c r="R573" t="n">
        <v>1</v>
      </c>
      <c r="S573" t="n">
        <v>1.05</v>
      </c>
      <c r="T573">
        <f>LN(SQRT(EXP(
SQRT(
+POWER(LN(M573),2)
+POWER(LN(N573),2)
+POWER(LN(O573),2)
+POWER(LN(P573),2)
+POWER(LN(Q573),2)
+POWER(LN(R573),2)
+POWER(LN(S573),2)
)
)))</f>
        <v>9.4886477223156879E-2</v>
      </c>
    </row>
    <row r="574">
      <c r="A574" t="inlineStr">
        <is>
          <t>market for sodium hydroxide, without water, in 50% solution state</t>
        </is>
      </c>
      <c r="B574">
        <f>unallocated!B208/I574*J574</f>
        <v>1.0460251046025104E-3</v>
      </c>
      <c r="C574" t="inlineStr">
        <is>
          <t>RER</t>
        </is>
      </c>
      <c r="D574" t="inlineStr">
        <is>
          <t>kilogram</t>
        </is>
      </c>
      <c r="F574" t="inlineStr">
        <is>
          <t>technosphere</t>
        </is>
      </c>
      <c r="G574" t="inlineStr">
        <is>
          <t>sodium hydroxide, without water, in 50% solution state</t>
        </is>
      </c>
      <c r="H574" t="inlineStr">
        <is>
          <t>50% liquid ammonia. In original publication, it is dilluated to 27% in water. We discount the original value by 50%.</t>
        </is>
      </c>
      <c r="I574" s="6" t="n">
        <v>478</v>
      </c>
      <c r="J574" s="11">
        <f>J565</f>
        <v>1</v>
      </c>
      <c r="K574" t="n">
        <v>0</v>
      </c>
      <c r="L574" s="3" t="n"/>
    </row>
    <row r="575">
      <c r="A575" t="inlineStr">
        <is>
          <t>market for monoethanolamine</t>
        </is>
      </c>
      <c r="B575">
        <f>unallocated!B209/I575*J575</f>
        <v>8.368200836820083E-3</v>
      </c>
      <c r="C575" t="inlineStr">
        <is>
          <t>GLO</t>
        </is>
      </c>
      <c r="D575" t="inlineStr">
        <is>
          <t>kilogram</t>
        </is>
      </c>
      <c r="F575" t="inlineStr">
        <is>
          <t>technosphere</t>
        </is>
      </c>
      <c r="G575" t="inlineStr">
        <is>
          <t>monoethanolamine</t>
        </is>
      </c>
      <c r="I575" s="6" t="n">
        <v>478</v>
      </c>
      <c r="J575" s="11">
        <f>J565</f>
        <v>1</v>
      </c>
      <c r="K575" t="n">
        <v>0</v>
      </c>
      <c r="L575" s="3" t="n"/>
    </row>
    <row r="576">
      <c r="A576" t="inlineStr">
        <is>
          <t>municipal waste incineration facility construction</t>
        </is>
      </c>
      <c r="B576">
        <f>unallocated!B210/I576*J576</f>
        <v>5.2301255230125516E-10</v>
      </c>
      <c r="C576" t="inlineStr">
        <is>
          <t>CH</t>
        </is>
      </c>
      <c r="D576" t="inlineStr">
        <is>
          <t>unit</t>
        </is>
      </c>
      <c r="F576" t="inlineStr">
        <is>
          <t>technosphere</t>
        </is>
      </c>
      <c r="G576" t="inlineStr">
        <is>
          <t>municipal waste incineration facility</t>
        </is>
      </c>
      <c r="H576" t="inlineStr">
        <is>
          <t>Lifetime: 4'000'000 tons MSWI treated.</t>
        </is>
      </c>
      <c r="I576" s="6" t="n">
        <v>478</v>
      </c>
      <c r="J576" s="11">
        <f>J565</f>
        <v>1</v>
      </c>
      <c r="K576" t="n">
        <v>2</v>
      </c>
      <c r="L576" s="3">
        <f>LN(B576)</f>
        <v>-21.371415651575621</v>
      </c>
      <c r="M576" t="n">
        <v>1</v>
      </c>
      <c r="N576" t="n">
        <v>1</v>
      </c>
      <c r="O576" t="n">
        <v>1</v>
      </c>
      <c r="P576" t="n">
        <v>1.02</v>
      </c>
      <c r="Q576" t="n">
        <v>1.2</v>
      </c>
      <c r="R576" t="n">
        <v>1</v>
      </c>
      <c r="S576" t="n">
        <v>3</v>
      </c>
      <c r="T576">
        <f>LN(SQRT(EXP(
SQRT(
+POWER(LN(M576),2)
+POWER(LN(N576),2)
+POWER(LN(O576),2)
+POWER(LN(P576),2)
+POWER(LN(Q576),2)
+POWER(LN(R576),2)
+POWER(LN(S576),2)
)
)))</f>
        <v>0.5569071410325479</v>
      </c>
    </row>
    <row r="577">
      <c r="A577" t="inlineStr">
        <is>
          <t>carbon dioxide storage at wood burning power plant 20 MW post, pipeline 200km, storage 1000m</t>
        </is>
      </c>
      <c r="B577">
        <f>unallocated!B211/I577*J577</f>
        <v>1.7217573221757323</v>
      </c>
      <c r="C577" t="inlineStr">
        <is>
          <t>RER</t>
        </is>
      </c>
      <c r="D577" t="inlineStr">
        <is>
          <t>kilogram</t>
        </is>
      </c>
      <c r="F577" t="inlineStr">
        <is>
          <t>technosphere</t>
        </is>
      </c>
      <c r="G577" t="inlineStr">
        <is>
          <t>carbon dioxide storage at wood burning power plant 20 MW post, pipeline 200km, storage 1000m</t>
        </is>
      </c>
      <c r="I577" s="6" t="n">
        <v>478</v>
      </c>
      <c r="J577" s="11">
        <f>J565</f>
        <v>1</v>
      </c>
      <c r="K577" t="n">
        <v>2</v>
      </c>
      <c r="L577" s="3">
        <f>LN(B577)</f>
        <v>0.54334546818561391</v>
      </c>
      <c r="M577" t="n">
        <v>1</v>
      </c>
      <c r="N577" t="n">
        <v>1</v>
      </c>
      <c r="O577" t="n">
        <v>1</v>
      </c>
      <c r="P577" t="n">
        <v>1.02</v>
      </c>
      <c r="Q577" t="n">
        <v>1.2</v>
      </c>
      <c r="R577" t="n">
        <v>1</v>
      </c>
      <c r="S577" t="n">
        <v>3</v>
      </c>
      <c r="T577">
        <f>LN(SQRT(EXP(
SQRT(
+POWER(LN(M577),2)
+POWER(LN(N577),2)
+POWER(LN(O577),2)
+POWER(LN(P577),2)
+POWER(LN(Q577),2)
+POWER(LN(R577),2)
+POWER(LN(S577),2)
)
)))</f>
        <v>0.5569071410325479</v>
      </c>
    </row>
    <row r="578">
      <c r="A578" t="inlineStr">
        <is>
          <t>Water, cooling, unspecified natural origin</t>
        </is>
      </c>
      <c r="B578">
        <f>unallocated!B212/I578*J578</f>
        <v>0</v>
      </c>
      <c r="D578" t="inlineStr">
        <is>
          <t>cubic meter</t>
        </is>
      </c>
      <c r="E578" t="inlineStr">
        <is>
          <t>natural resource::in water</t>
        </is>
      </c>
      <c r="F578" t="inlineStr">
        <is>
          <t>biosphere</t>
        </is>
      </c>
      <c r="I578" s="6" t="n">
        <v>478</v>
      </c>
      <c r="J578" s="11">
        <f>J565</f>
        <v>1</v>
      </c>
      <c r="K578" t="n">
        <v>0</v>
      </c>
      <c r="L578" s="3" t="n"/>
    </row>
    <row r="579">
      <c r="A579" t="inlineStr">
        <is>
          <t>Sulfur dioxide</t>
        </is>
      </c>
      <c r="B579">
        <f>unallocated!B213/I579*J579</f>
        <v>1.2552301255230125E-5</v>
      </c>
      <c r="D579" t="inlineStr">
        <is>
          <t>kilogram</t>
        </is>
      </c>
      <c r="E579" t="inlineStr">
        <is>
          <t>air::urban air close to ground</t>
        </is>
      </c>
      <c r="F579" t="inlineStr">
        <is>
          <t>biosphere</t>
        </is>
      </c>
      <c r="I579" s="6" t="n">
        <v>478</v>
      </c>
      <c r="J579" s="11">
        <f>J565</f>
        <v>1</v>
      </c>
      <c r="K579" t="n">
        <v>2</v>
      </c>
      <c r="L579" s="3">
        <f>LN(B579)</f>
        <v>-11.285606542245539</v>
      </c>
      <c r="M579" t="n">
        <v>1</v>
      </c>
      <c r="N579" t="n">
        <v>1</v>
      </c>
      <c r="O579" t="n">
        <v>1</v>
      </c>
      <c r="P579" t="n">
        <v>1.02</v>
      </c>
      <c r="Q579" t="n">
        <v>1.2</v>
      </c>
      <c r="R579" t="n">
        <v>1</v>
      </c>
      <c r="S579" t="n">
        <v>1.05</v>
      </c>
      <c r="T579">
        <f>LN(SQRT(EXP(
SQRT(
+POWER(LN(M579),2)
+POWER(LN(N579),2)
+POWER(LN(O579),2)
+POWER(LN(P579),2)
+POWER(LN(Q579),2)
+POWER(LN(R579),2)
+POWER(LN(S579),2)
)
)))</f>
        <v>9.4886477223156879E-2</v>
      </c>
    </row>
    <row r="580">
      <c r="A580" t="inlineStr">
        <is>
          <t>Hydrochloric acid</t>
        </is>
      </c>
      <c r="B580">
        <f>unallocated!B214/I580*J580</f>
        <v>6.2761506276150627E-6</v>
      </c>
      <c r="D580" t="inlineStr">
        <is>
          <t>kilogram</t>
        </is>
      </c>
      <c r="E580" t="inlineStr">
        <is>
          <t>air</t>
        </is>
      </c>
      <c r="F580" t="inlineStr">
        <is>
          <t>biosphere</t>
        </is>
      </c>
      <c r="I580" s="6" t="n">
        <v>478</v>
      </c>
      <c r="J580" s="11">
        <f>J565</f>
        <v>1</v>
      </c>
      <c r="K580" t="n">
        <v>2</v>
      </c>
      <c r="L580" s="3">
        <f>LN(B580)</f>
        <v>-11.978753722805484</v>
      </c>
      <c r="M580" t="n">
        <v>1</v>
      </c>
      <c r="N580" t="n">
        <v>1</v>
      </c>
      <c r="O580" t="n">
        <v>1</v>
      </c>
      <c r="P580" t="n">
        <v>1.02</v>
      </c>
      <c r="Q580" t="n">
        <v>1.2</v>
      </c>
      <c r="R580" t="n">
        <v>1</v>
      </c>
      <c r="S580" t="n">
        <v>1.5</v>
      </c>
      <c r="T580">
        <f>LN(SQRT(EXP(
SQRT(
+POWER(LN(M580),2)
+POWER(LN(N580),2)
+POWER(LN(O580),2)
+POWER(LN(P580),2)
+POWER(LN(Q580),2)
+POWER(LN(R580),2)
+POWER(LN(S580),2)
)
)))</f>
        <v>0.22250575723605889</v>
      </c>
    </row>
    <row r="581">
      <c r="A581" t="inlineStr">
        <is>
          <t>Nitrogen oxides</t>
        </is>
      </c>
      <c r="B581">
        <f>unallocated!B215/I581*J581</f>
        <v>1.4163179916317993E-3</v>
      </c>
      <c r="D581" t="inlineStr">
        <is>
          <t>kilogram</t>
        </is>
      </c>
      <c r="E581" t="inlineStr">
        <is>
          <t>air::urban air close to ground</t>
        </is>
      </c>
      <c r="F581" t="inlineStr">
        <is>
          <t>biosphere</t>
        </is>
      </c>
      <c r="I581" s="6" t="n">
        <v>478</v>
      </c>
      <c r="J581" s="11">
        <f>J565</f>
        <v>1</v>
      </c>
      <c r="K581" t="n">
        <v>2</v>
      </c>
      <c r="L581" s="3">
        <f>LN(B581)</f>
        <v>-6.5596947385613182</v>
      </c>
      <c r="M581" t="n">
        <v>1</v>
      </c>
      <c r="N581" t="n">
        <v>1</v>
      </c>
      <c r="O581" t="n">
        <v>1</v>
      </c>
      <c r="P581" t="n">
        <v>1.02</v>
      </c>
      <c r="Q581" t="n">
        <v>1.2</v>
      </c>
      <c r="R581" t="n">
        <v>1</v>
      </c>
      <c r="S581" t="n">
        <v>1.5</v>
      </c>
      <c r="T581">
        <f>LN(SQRT(EXP(
SQRT(
+POWER(LN(M581),2)
+POWER(LN(N581),2)
+POWER(LN(O581),2)
+POWER(LN(P581),2)
+POWER(LN(Q581),2)
+POWER(LN(R581),2)
+POWER(LN(S581),2)
)
)))</f>
        <v>0.22250575723605889</v>
      </c>
    </row>
    <row r="582">
      <c r="A582" t="inlineStr">
        <is>
          <t>Ammonia</t>
        </is>
      </c>
      <c r="B582">
        <f>unallocated!B216/I582*J582</f>
        <v>4.1841004184100421E-5</v>
      </c>
      <c r="D582" t="inlineStr">
        <is>
          <t>kilogram</t>
        </is>
      </c>
      <c r="E582" t="inlineStr">
        <is>
          <t>air::urban air close to ground</t>
        </is>
      </c>
      <c r="F582" t="inlineStr">
        <is>
          <t>biosphere</t>
        </is>
      </c>
      <c r="I582" s="6" t="n">
        <v>478</v>
      </c>
      <c r="J582" s="11">
        <f>J565</f>
        <v>1</v>
      </c>
      <c r="K582" t="n">
        <v>2</v>
      </c>
      <c r="L582" s="3">
        <f>LN(B582)</f>
        <v>-10.081633737919603</v>
      </c>
      <c r="M582" t="n">
        <v>1</v>
      </c>
      <c r="N582" t="n">
        <v>1</v>
      </c>
      <c r="O582" t="n">
        <v>1</v>
      </c>
      <c r="P582" t="n">
        <v>1.02</v>
      </c>
      <c r="Q582" t="n">
        <v>1.2</v>
      </c>
      <c r="R582" t="n">
        <v>1</v>
      </c>
      <c r="S582" t="n">
        <v>1.5</v>
      </c>
      <c r="T582">
        <f>LN(SQRT(EXP(
SQRT(
+POWER(LN(M582),2)
+POWER(LN(N582),2)
+POWER(LN(O582),2)
+POWER(LN(P582),2)
+POWER(LN(Q582),2)
+POWER(LN(R582),2)
+POWER(LN(S582),2)
)
)))</f>
        <v>0.22250575723605889</v>
      </c>
    </row>
    <row r="583">
      <c r="A583" t="inlineStr">
        <is>
          <t>Particulate Matter, &lt; 2.5 um</t>
        </is>
      </c>
      <c r="B583">
        <f>unallocated!B217/I583*J583</f>
        <v>1.2552301255230125E-5</v>
      </c>
      <c r="D583" t="inlineStr">
        <is>
          <t>kilogram</t>
        </is>
      </c>
      <c r="E583" t="inlineStr">
        <is>
          <t>air::urban air close to ground</t>
        </is>
      </c>
      <c r="F583" t="inlineStr">
        <is>
          <t>biosphere</t>
        </is>
      </c>
      <c r="I583" s="6" t="n">
        <v>478</v>
      </c>
      <c r="J583" s="11">
        <f>J565</f>
        <v>1</v>
      </c>
      <c r="K583" t="n">
        <v>2</v>
      </c>
      <c r="L583" s="3">
        <f>LN(B583)</f>
        <v>-11.285606542245539</v>
      </c>
      <c r="M583" t="n">
        <v>1</v>
      </c>
      <c r="N583" t="n">
        <v>1</v>
      </c>
      <c r="O583" t="n">
        <v>1</v>
      </c>
      <c r="P583" t="n">
        <v>1.02</v>
      </c>
      <c r="Q583" t="n">
        <v>1.2</v>
      </c>
      <c r="R583" t="n">
        <v>1</v>
      </c>
      <c r="S583" t="n">
        <v>3</v>
      </c>
      <c r="T583">
        <f>LN(SQRT(EXP(
SQRT(
+POWER(LN(M583),2)
+POWER(LN(N583),2)
+POWER(LN(O583),2)
+POWER(LN(P583),2)
+POWER(LN(Q583),2)
+POWER(LN(R583),2)
+POWER(LN(S583),2)
)
)))</f>
        <v>0.5569071410325479</v>
      </c>
    </row>
    <row r="584">
      <c r="A584" t="inlineStr">
        <is>
          <t>Mercury II</t>
        </is>
      </c>
      <c r="B584">
        <f>unallocated!B218/I584*J584</f>
        <v>1.2552301255230125E-8</v>
      </c>
      <c r="D584" t="inlineStr">
        <is>
          <t>kilogram</t>
        </is>
      </c>
      <c r="E584" t="inlineStr">
        <is>
          <t>air::urban air close to ground</t>
        </is>
      </c>
      <c r="F584" t="inlineStr">
        <is>
          <t>biosphere</t>
        </is>
      </c>
      <c r="I584" s="6" t="n">
        <v>478</v>
      </c>
      <c r="J584" s="11">
        <f>J565</f>
        <v>1</v>
      </c>
      <c r="K584" t="n">
        <v>2</v>
      </c>
      <c r="L584" s="3">
        <f>LN(B584)</f>
        <v>-18.193361821227676</v>
      </c>
      <c r="M584" t="n">
        <v>1</v>
      </c>
      <c r="N584" t="n">
        <v>1</v>
      </c>
      <c r="O584" t="n">
        <v>1</v>
      </c>
      <c r="P584" t="n">
        <v>1.02</v>
      </c>
      <c r="Q584" t="n">
        <v>1.2</v>
      </c>
      <c r="R584" t="n">
        <v>1</v>
      </c>
      <c r="S584" t="n">
        <v>5</v>
      </c>
      <c r="T584">
        <f>LN(SQRT(EXP(
SQRT(
+POWER(LN(M584),2)
+POWER(LN(N584),2)
+POWER(LN(O584),2)
+POWER(LN(P584),2)
+POWER(LN(Q584),2)
+POWER(LN(R584),2)
+POWER(LN(S584),2)
)
)))</f>
        <v>0.80992649174166365</v>
      </c>
    </row>
    <row r="585">
      <c r="A585" t="inlineStr">
        <is>
          <t>Lead II</t>
        </is>
      </c>
      <c r="B585">
        <f>unallocated!B219/I585*J585</f>
        <v>1.2552301255230125E-8</v>
      </c>
      <c r="D585" t="inlineStr">
        <is>
          <t>kilogram</t>
        </is>
      </c>
      <c r="E585" t="inlineStr">
        <is>
          <t>air::urban air close to ground</t>
        </is>
      </c>
      <c r="F585" t="inlineStr">
        <is>
          <t>biosphere</t>
        </is>
      </c>
      <c r="I585" s="6" t="n">
        <v>478</v>
      </c>
      <c r="J585" s="11">
        <f>J565</f>
        <v>1</v>
      </c>
      <c r="K585" t="n">
        <v>2</v>
      </c>
      <c r="L585" s="3">
        <f>LN(B585)</f>
        <v>-18.193361821227676</v>
      </c>
      <c r="M585" t="n">
        <v>1</v>
      </c>
      <c r="N585" t="n">
        <v>1</v>
      </c>
      <c r="O585" t="n">
        <v>1</v>
      </c>
      <c r="P585" t="n">
        <v>1.02</v>
      </c>
      <c r="Q585" t="n">
        <v>1.2</v>
      </c>
      <c r="R585" t="n">
        <v>1</v>
      </c>
      <c r="S585" t="n">
        <v>5</v>
      </c>
      <c r="T585">
        <f>LN(SQRT(EXP(
SQRT(
+POWER(LN(M585),2)
+POWER(LN(N585),2)
+POWER(LN(O585),2)
+POWER(LN(P585),2)
+POWER(LN(Q585),2)
+POWER(LN(R585),2)
+POWER(LN(S585),2)
)
)))</f>
        <v>0.80992649174166365</v>
      </c>
    </row>
    <row r="586">
      <c r="A586" t="inlineStr">
        <is>
          <t>Cadmium II</t>
        </is>
      </c>
      <c r="B586">
        <f>unallocated!B220/I586*J586</f>
        <v>6.2761506276150627E-9</v>
      </c>
      <c r="D586" t="inlineStr">
        <is>
          <t>kilogram</t>
        </is>
      </c>
      <c r="E586" t="inlineStr">
        <is>
          <t>air::urban air close to ground</t>
        </is>
      </c>
      <c r="F586" t="inlineStr">
        <is>
          <t>biosphere</t>
        </is>
      </c>
      <c r="I586" s="6" t="n">
        <v>478</v>
      </c>
      <c r="J586" s="11">
        <f>J565</f>
        <v>1</v>
      </c>
      <c r="K586" t="n">
        <v>2</v>
      </c>
      <c r="L586" s="3">
        <f>LN(B586)</f>
        <v>-18.886509001787619</v>
      </c>
      <c r="M586" t="n">
        <v>1</v>
      </c>
      <c r="N586" t="n">
        <v>1</v>
      </c>
      <c r="O586" t="n">
        <v>1</v>
      </c>
      <c r="P586" t="n">
        <v>1.02</v>
      </c>
      <c r="Q586" t="n">
        <v>1.2</v>
      </c>
      <c r="R586" t="n">
        <v>1</v>
      </c>
      <c r="S586" t="n">
        <v>5</v>
      </c>
      <c r="T586">
        <f>LN(SQRT(EXP(
SQRT(
+POWER(LN(M586),2)
+POWER(LN(N586),2)
+POWER(LN(O586),2)
+POWER(LN(P586),2)
+POWER(LN(Q586),2)
+POWER(LN(R586),2)
+POWER(LN(S586),2)
)
)))</f>
        <v>0.80992649174166365</v>
      </c>
    </row>
    <row r="587">
      <c r="A587" t="inlineStr">
        <is>
          <t>Arsenic ion</t>
        </is>
      </c>
      <c r="B587">
        <f>unallocated!B221/I587*J587</f>
        <v>6.2761506276150627E-9</v>
      </c>
      <c r="D587" t="inlineStr">
        <is>
          <t>kilogram</t>
        </is>
      </c>
      <c r="E587" t="inlineStr">
        <is>
          <t>air::urban air close to ground</t>
        </is>
      </c>
      <c r="F587" t="inlineStr">
        <is>
          <t>biosphere</t>
        </is>
      </c>
      <c r="I587" s="6" t="n">
        <v>478</v>
      </c>
      <c r="J587" s="11">
        <f>J565</f>
        <v>1</v>
      </c>
      <c r="K587" t="n">
        <v>2</v>
      </c>
      <c r="L587" s="3">
        <f>LN(B587)</f>
        <v>-18.886509001787619</v>
      </c>
      <c r="M587" t="n">
        <v>1</v>
      </c>
      <c r="N587" t="n">
        <v>1</v>
      </c>
      <c r="O587" t="n">
        <v>1</v>
      </c>
      <c r="P587" t="n">
        <v>1.02</v>
      </c>
      <c r="Q587" t="n">
        <v>1.2</v>
      </c>
      <c r="R587" t="n">
        <v>1</v>
      </c>
      <c r="S587" t="n">
        <v>5</v>
      </c>
      <c r="T587">
        <f>LN(SQRT(EXP(
SQRT(
+POWER(LN(M587),2)
+POWER(LN(N587),2)
+POWER(LN(O587),2)
+POWER(LN(P587),2)
+POWER(LN(Q587),2)
+POWER(LN(R587),2)
+POWER(LN(S587),2)
)
)))</f>
        <v>0.80992649174166365</v>
      </c>
    </row>
    <row r="588">
      <c r="A588" t="inlineStr">
        <is>
          <t>Dioxins, measured as 2,3,7,8-tetrachlorodibenzo-p-dioxin</t>
        </is>
      </c>
      <c r="B588">
        <f>unallocated!B222/I588*J588</f>
        <v>2.3012552301255231E-13</v>
      </c>
      <c r="D588" t="inlineStr">
        <is>
          <t>kilogram</t>
        </is>
      </c>
      <c r="E588" t="inlineStr">
        <is>
          <t>air::urban air close to ground</t>
        </is>
      </c>
      <c r="F588" t="inlineStr">
        <is>
          <t>biosphere</t>
        </is>
      </c>
      <c r="I588" s="6" t="n">
        <v>478</v>
      </c>
      <c r="J588" s="11">
        <f>J565</f>
        <v>1</v>
      </c>
      <c r="K588" t="n">
        <v>2</v>
      </c>
      <c r="L588" s="3">
        <f>LN(B588)</f>
        <v>-29.100151482627588</v>
      </c>
      <c r="M588" t="n">
        <v>1</v>
      </c>
      <c r="N588" t="n">
        <v>1</v>
      </c>
      <c r="O588" t="n">
        <v>1</v>
      </c>
      <c r="P588" t="n">
        <v>1.02</v>
      </c>
      <c r="Q588" t="n">
        <v>1.2</v>
      </c>
      <c r="R588" t="n">
        <v>1</v>
      </c>
      <c r="S588" t="n">
        <v>5</v>
      </c>
      <c r="T588">
        <f>LN(SQRT(EXP(
SQRT(
+POWER(LN(M588),2)
+POWER(LN(N588),2)
+POWER(LN(O588),2)
+POWER(LN(P588),2)
+POWER(LN(Q588),2)
+POWER(LN(R588),2)
+POWER(LN(S588),2)
)
)))</f>
        <v>0.80992649174166365</v>
      </c>
    </row>
    <row r="589">
      <c r="A589" t="inlineStr">
        <is>
          <t>Carbon dioxide, fossil</t>
        </is>
      </c>
      <c r="B589">
        <f>unallocated!B223/I589*J589</f>
        <v>0.11715481171548117</v>
      </c>
      <c r="D589" t="inlineStr">
        <is>
          <t>kilogram</t>
        </is>
      </c>
      <c r="E589" t="inlineStr">
        <is>
          <t>air::urban air close to ground</t>
        </is>
      </c>
      <c r="F589" t="inlineStr">
        <is>
          <t>biosphere</t>
        </is>
      </c>
      <c r="I589" s="6" t="n">
        <v>478</v>
      </c>
      <c r="J589" s="11">
        <f>J565</f>
        <v>1</v>
      </c>
      <c r="K589" t="n">
        <v>2</v>
      </c>
      <c r="L589" s="3">
        <f>LN(B589)</f>
        <v>-2.1442590417563068</v>
      </c>
      <c r="M589" t="n">
        <v>1</v>
      </c>
      <c r="N589" t="n">
        <v>1</v>
      </c>
      <c r="O589" t="n">
        <v>1</v>
      </c>
      <c r="P589" t="n">
        <v>1.02</v>
      </c>
      <c r="Q589" t="n">
        <v>1.2</v>
      </c>
      <c r="R589" t="n">
        <v>1</v>
      </c>
      <c r="S589" t="n">
        <v>1.05</v>
      </c>
      <c r="T589">
        <f>LN(SQRT(EXP(
SQRT(
+POWER(LN(M589),2)
+POWER(LN(N589),2)
+POWER(LN(O589),2)
+POWER(LN(P589),2)
+POWER(LN(Q589),2)
+POWER(LN(R589),2)
+POWER(LN(S589),2)
)
)))</f>
        <v>9.4886477223156879E-2</v>
      </c>
    </row>
    <row r="590">
      <c r="A590" t="inlineStr">
        <is>
          <t>Carbon dioxide, non-fossil</t>
        </is>
      </c>
      <c r="B590">
        <f>unallocated!B224/I590*J590</f>
        <v>0.18619246861924685</v>
      </c>
      <c r="D590" t="inlineStr">
        <is>
          <t>kilogram</t>
        </is>
      </c>
      <c r="E590" t="inlineStr">
        <is>
          <t>air::urban air close to ground</t>
        </is>
      </c>
      <c r="F590" t="inlineStr">
        <is>
          <t>biosphere</t>
        </is>
      </c>
      <c r="I590" s="6" t="n">
        <v>478</v>
      </c>
      <c r="J590" s="14">
        <f>J565</f>
        <v>1</v>
      </c>
      <c r="K590" t="n">
        <v>2</v>
      </c>
      <c r="L590" s="3">
        <f>LN(B590)</f>
        <v>-1.6809743627593161</v>
      </c>
      <c r="M590" t="n">
        <v>1</v>
      </c>
      <c r="N590" t="n">
        <v>1</v>
      </c>
      <c r="O590" t="n">
        <v>1</v>
      </c>
      <c r="P590" t="n">
        <v>1.02</v>
      </c>
      <c r="Q590" t="n">
        <v>1.2</v>
      </c>
      <c r="R590" t="n">
        <v>1</v>
      </c>
      <c r="S590" t="n">
        <v>1.05</v>
      </c>
      <c r="T590">
        <f>LN(SQRT(EXP(
SQRT(
+POWER(LN(M590),2)
+POWER(LN(N590),2)
+POWER(LN(O590),2)
+POWER(LN(P590),2)
+POWER(LN(Q590),2)
+POWER(LN(R590),2)
+POWER(LN(S590),2)
)
)))</f>
        <v>9.4886477223156879E-2</v>
      </c>
    </row>
    <row r="591">
      <c r="A591" t="inlineStr">
        <is>
          <t>Carbon dioxide, in air</t>
        </is>
      </c>
      <c r="B591">
        <f>unallocated!B225/I591*J591</f>
        <v>1.0564853556485356</v>
      </c>
      <c r="D591" t="inlineStr">
        <is>
          <t>kilogram</t>
        </is>
      </c>
      <c r="E591" t="inlineStr">
        <is>
          <t>natural resource::in air</t>
        </is>
      </c>
      <c r="F591" t="inlineStr">
        <is>
          <t>biosphere</t>
        </is>
      </c>
      <c r="H591" t="inlineStr">
        <is>
          <t>To reflect the permanent storage of non-fossil CO.</t>
        </is>
      </c>
      <c r="I591" s="6" t="n">
        <v>478</v>
      </c>
      <c r="J591" s="14">
        <f>J565</f>
        <v>1</v>
      </c>
      <c r="K591" t="n">
        <v>2</v>
      </c>
      <c r="L591" s="3">
        <f>LN(B591)</f>
        <v>5.4947696783903911E-2</v>
      </c>
      <c r="M591" t="n">
        <v>1</v>
      </c>
      <c r="N591" t="n">
        <v>1</v>
      </c>
      <c r="O591" t="n">
        <v>1</v>
      </c>
      <c r="P591" t="n">
        <v>1.02</v>
      </c>
      <c r="Q591" t="n">
        <v>1.2</v>
      </c>
      <c r="R591" t="n">
        <v>1</v>
      </c>
      <c r="S591" t="n">
        <v>1.05</v>
      </c>
      <c r="T591">
        <f>LN(SQRT(EXP(
SQRT(
+POWER(LN(M591),2)
+POWER(LN(N591),2)
+POWER(LN(O591),2)
+POWER(LN(P591),2)
+POWER(LN(Q591),2)
+POWER(LN(R591),2)
+POWER(LN(S591),2)
)
)))</f>
        <v>9.4886477223156879E-2</v>
      </c>
    </row>
    <row r="592"/>
    <row r="593">
      <c r="A593" s="1" t="inlineStr">
        <is>
          <t>Activity</t>
        </is>
      </c>
      <c r="B593" s="1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</row>
    <row r="594">
      <c r="A594" t="inlineStr">
        <is>
          <t>location</t>
        </is>
      </c>
      <c r="B594" t="inlineStr">
        <is>
          <t>RER</t>
        </is>
      </c>
    </row>
    <row r="595">
      <c r="A595" t="inlineStr">
        <is>
          <t>production amount</t>
        </is>
      </c>
      <c r="B595" t="n">
        <v>1</v>
      </c>
    </row>
    <row r="596">
      <c r="A596" s="2" t="inlineStr">
        <is>
          <t>source</t>
        </is>
      </c>
      <c r="B596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597">
      <c r="A597" t="inlineStr">
        <is>
          <t>reference product</t>
        </is>
      </c>
      <c r="B597" t="inlineStr">
        <is>
          <t>municipal solid waste</t>
        </is>
      </c>
    </row>
    <row r="598">
      <c r="A598" t="inlineStr">
        <is>
          <t>type</t>
        </is>
      </c>
      <c r="B598" t="inlineStr">
        <is>
          <t>process</t>
        </is>
      </c>
    </row>
    <row r="599">
      <c r="A599" t="inlineStr">
        <is>
          <t>unit</t>
        </is>
      </c>
      <c r="B599" t="inlineStr">
        <is>
          <t>kilogram</t>
        </is>
      </c>
    </row>
    <row r="600">
      <c r="A600" t="inlineStr">
        <is>
          <t>comment</t>
        </is>
      </c>
      <c r="B600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Yes. Electricity production per ton MSWI incinerated: 312 kWh. Heat production per ton MSWI incinerated: 7'400 MJ.</t>
        </is>
      </c>
    </row>
    <row r="601">
      <c r="A601" s="1" t="inlineStr">
        <is>
          <t>Exchanges</t>
        </is>
      </c>
    </row>
    <row r="602">
      <c r="A602" s="7" t="inlineStr">
        <is>
          <t>name</t>
        </is>
      </c>
      <c r="B602" s="7" t="inlineStr">
        <is>
          <t>amount</t>
        </is>
      </c>
      <c r="C602" s="7" t="inlineStr">
        <is>
          <t>location</t>
        </is>
      </c>
      <c r="D602" s="7" t="inlineStr">
        <is>
          <t>unit</t>
        </is>
      </c>
      <c r="E602" s="7" t="inlineStr">
        <is>
          <t>categories</t>
        </is>
      </c>
      <c r="F602" s="7" t="inlineStr">
        <is>
          <t>type</t>
        </is>
      </c>
      <c r="G602" s="7" t="inlineStr">
        <is>
          <t>reference product</t>
        </is>
      </c>
      <c r="H602" s="7" t="inlineStr">
        <is>
          <t>comment</t>
        </is>
      </c>
      <c r="I602" s="7" t="inlineStr">
        <is>
          <t>normalization</t>
        </is>
      </c>
      <c r="J602" s="7" t="inlineStr">
        <is>
          <t>allocation</t>
        </is>
      </c>
      <c r="K602" s="7" t="inlineStr">
        <is>
          <t>uncertainty type</t>
        </is>
      </c>
      <c r="L602" s="7" t="inlineStr">
        <is>
          <t>loc</t>
        </is>
      </c>
      <c r="M602" s="1" t="inlineStr">
        <is>
          <t>u1</t>
        </is>
      </c>
      <c r="N602" s="1" t="inlineStr">
        <is>
          <t>u2</t>
        </is>
      </c>
      <c r="O602" s="1" t="inlineStr">
        <is>
          <t>u3</t>
        </is>
      </c>
      <c r="P602" s="1" t="inlineStr">
        <is>
          <t>u4</t>
        </is>
      </c>
      <c r="Q602" s="1" t="inlineStr">
        <is>
          <t>u5</t>
        </is>
      </c>
      <c r="R602" s="1" t="inlineStr">
        <is>
          <t>u6</t>
        </is>
      </c>
      <c r="S602" s="1" t="inlineStr">
        <is>
          <t>ub</t>
        </is>
      </c>
      <c r="T602" s="1" t="inlineStr">
        <is>
          <t>scale</t>
        </is>
      </c>
      <c r="U602" s="1" t="inlineStr">
        <is>
          <t>negative</t>
        </is>
      </c>
    </row>
    <row r="603">
      <c r="A603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B603" t="n">
        <v>1</v>
      </c>
      <c r="C603" t="inlineStr">
        <is>
          <t>RER</t>
        </is>
      </c>
      <c r="D603" t="inlineStr">
        <is>
          <t>kilogram</t>
        </is>
      </c>
      <c r="F603" t="inlineStr">
        <is>
          <t>production</t>
        </is>
      </c>
      <c r="G603" t="inlineStr">
        <is>
          <t>municipal solid waste</t>
        </is>
      </c>
      <c r="H603" t="inlineStr"/>
      <c r="I603" t="n">
        <v>1000</v>
      </c>
      <c r="J603" s="14">
        <f>INDEX('allocation keys'!$I$4:$K$29,MATCH('allocated (exergy)'!$B$593,'allocation keys'!$B$4:$B$28,0),MATCH('allocated (exergy)'!$B$597,'allocation keys'!$I$3:$K$3,0))</f>
        <v>0</v>
      </c>
      <c r="K603" t="n">
        <v>0</v>
      </c>
      <c r="M603" s="5" t="n"/>
      <c r="N603" s="5" t="n"/>
      <c r="O603" s="5" t="n"/>
      <c r="P603" s="5" t="n"/>
      <c r="Q603" s="5" t="n"/>
      <c r="R603" s="5" t="n"/>
    </row>
    <row r="604">
      <c r="A604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B604" s="6" t="n">
        <v>0</v>
      </c>
      <c r="C604" t="inlineStr">
        <is>
          <t>RER</t>
        </is>
      </c>
      <c r="D604" t="inlineStr">
        <is>
          <t>kilowatt hour</t>
        </is>
      </c>
      <c r="F604" t="inlineStr">
        <is>
          <t>technosphere</t>
        </is>
      </c>
      <c r="G604" t="inlineStr">
        <is>
          <t>electricity, medium voltage</t>
        </is>
      </c>
      <c r="H604" t="inlineStr"/>
      <c r="I604" t="n">
        <v>1000</v>
      </c>
      <c r="J604" s="11">
        <f>J603</f>
        <v>0</v>
      </c>
      <c r="K604" t="n">
        <v>0</v>
      </c>
      <c r="L604" s="3" t="n"/>
    </row>
    <row r="605">
      <c r="A605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B605" t="n">
        <v>0</v>
      </c>
      <c r="C605" t="inlineStr">
        <is>
          <t>RER</t>
        </is>
      </c>
      <c r="D605" t="inlineStr">
        <is>
          <t>megajoule</t>
        </is>
      </c>
      <c r="F605" t="inlineStr">
        <is>
          <t>technosphere</t>
        </is>
      </c>
      <c r="G605" t="inlineStr">
        <is>
          <t>heat, district or industrial, other than natural gas</t>
        </is>
      </c>
      <c r="H605" t="inlineStr"/>
      <c r="I605" t="n">
        <v>1000</v>
      </c>
      <c r="J605" s="11">
        <f>J603</f>
        <v>0</v>
      </c>
      <c r="K605" t="n">
        <v>0</v>
      </c>
      <c r="L605" s="3" t="n"/>
    </row>
    <row r="606">
      <c r="A606" t="inlineStr">
        <is>
          <t>market for diesel, low-sulfur</t>
        </is>
      </c>
      <c r="B606">
        <f>unallocated!B240/I606*J606</f>
        <v>0</v>
      </c>
      <c r="C606" t="inlineStr">
        <is>
          <t>Europe without Switzerland</t>
        </is>
      </c>
      <c r="D606" t="inlineStr">
        <is>
          <t>kilogram</t>
        </is>
      </c>
      <c r="F606" t="inlineStr">
        <is>
          <t>technosphere</t>
        </is>
      </c>
      <c r="G606" t="inlineStr">
        <is>
          <t>diesel, low-sulfur</t>
        </is>
      </c>
      <c r="H606" t="inlineStr">
        <is>
          <t>Diesel density: 0.85 kg/l</t>
        </is>
      </c>
      <c r="I606" t="n">
        <v>1000</v>
      </c>
      <c r="J606" s="11">
        <f>J603</f>
        <v>0</v>
      </c>
      <c r="K606" t="n">
        <v>0</v>
      </c>
      <c r="L606" s="3" t="n"/>
    </row>
    <row r="607">
      <c r="A607" t="inlineStr">
        <is>
          <t>market for activated carbon, granular</t>
        </is>
      </c>
      <c r="B607">
        <f>unallocated!B241/I607*J607</f>
        <v>0</v>
      </c>
      <c r="C607" t="inlineStr">
        <is>
          <t>GLO</t>
        </is>
      </c>
      <c r="D607" t="inlineStr">
        <is>
          <t>kilogram</t>
        </is>
      </c>
      <c r="F607" t="inlineStr">
        <is>
          <t>technosphere</t>
        </is>
      </c>
      <c r="G607" t="inlineStr">
        <is>
          <t>activated carbon, granular</t>
        </is>
      </c>
      <c r="I607" t="n">
        <v>1000</v>
      </c>
      <c r="J607" s="11">
        <f>J603</f>
        <v>0</v>
      </c>
      <c r="K607" t="n">
        <v>0</v>
      </c>
      <c r="L607" s="3" t="n"/>
    </row>
    <row r="608">
      <c r="A608" t="inlineStr">
        <is>
          <t>market for ammonia, anhydrous, liquid</t>
        </is>
      </c>
      <c r="B608">
        <f>unallocated!B242/I608*J608</f>
        <v>0</v>
      </c>
      <c r="C608" t="inlineStr">
        <is>
          <t>RER</t>
        </is>
      </c>
      <c r="D608" t="inlineStr">
        <is>
          <t>kilogram</t>
        </is>
      </c>
      <c r="F608" t="inlineStr">
        <is>
          <t>technosphere</t>
        </is>
      </c>
      <c r="G608" t="inlineStr">
        <is>
          <t>ammonia, anhydrous, liquid</t>
        </is>
      </c>
      <c r="H608" t="inlineStr">
        <is>
          <t>100% liquid ammonia. In original publication, it is dilluated to 23.5% in water. We discount the original value by 75%.</t>
        </is>
      </c>
      <c r="I608" t="n">
        <v>1000</v>
      </c>
      <c r="J608" s="11">
        <f>J603</f>
        <v>0</v>
      </c>
      <c r="K608" t="n">
        <v>0</v>
      </c>
      <c r="L608" s="3" t="n"/>
    </row>
    <row r="609">
      <c r="A609" t="inlineStr">
        <is>
          <t>market for tap water</t>
        </is>
      </c>
      <c r="B609">
        <f>unallocated!B243/I609*J609</f>
        <v>0</v>
      </c>
      <c r="C609" t="inlineStr">
        <is>
          <t>Europe without Switzerland</t>
        </is>
      </c>
      <c r="D609" t="inlineStr">
        <is>
          <t>kilogram</t>
        </is>
      </c>
      <c r="F609" t="inlineStr">
        <is>
          <t>technosphere</t>
        </is>
      </c>
      <c r="G609" t="inlineStr">
        <is>
          <t>tap water</t>
        </is>
      </c>
      <c r="H609" t="inlineStr">
        <is>
          <t>Used to dilute the ammonia.</t>
        </is>
      </c>
      <c r="I609" t="n">
        <v>1000</v>
      </c>
      <c r="J609" s="11">
        <f>J603</f>
        <v>0</v>
      </c>
      <c r="K609" t="n">
        <v>0</v>
      </c>
      <c r="L609" s="3" t="n"/>
    </row>
    <row r="610">
      <c r="A610" t="inlineStr">
        <is>
          <t>market for calcium carbonate, precipitated</t>
        </is>
      </c>
      <c r="B610">
        <f>unallocated!B244/I610*J610</f>
        <v>0</v>
      </c>
      <c r="C610" t="inlineStr">
        <is>
          <t>RER</t>
        </is>
      </c>
      <c r="D610" t="inlineStr">
        <is>
          <t>kilogram</t>
        </is>
      </c>
      <c r="F610" t="inlineStr">
        <is>
          <t>technosphere</t>
        </is>
      </c>
      <c r="G610" t="inlineStr">
        <is>
          <t>calcium carbonate, precipitated</t>
        </is>
      </c>
      <c r="I610" t="n">
        <v>1000</v>
      </c>
      <c r="J610" s="11">
        <f>J603</f>
        <v>0</v>
      </c>
      <c r="K610" t="n">
        <v>0</v>
      </c>
      <c r="L610" s="3" t="n"/>
    </row>
    <row r="611">
      <c r="A611" t="inlineStr">
        <is>
          <t>market for iron(III) chloride, without water, in 40% solution state</t>
        </is>
      </c>
      <c r="B611">
        <f>unallocated!B245/I611*J611</f>
        <v>0</v>
      </c>
      <c r="C611" t="inlineStr">
        <is>
          <t>GLO</t>
        </is>
      </c>
      <c r="D611" t="inlineStr">
        <is>
          <t>kilogram</t>
        </is>
      </c>
      <c r="F611" t="inlineStr">
        <is>
          <t>technosphere</t>
        </is>
      </c>
      <c r="G611" t="inlineStr">
        <is>
          <t>iron(III) chloride, without water, in 40% solution state</t>
        </is>
      </c>
      <c r="I611" t="n">
        <v>1000</v>
      </c>
      <c r="J611" s="11">
        <f>J603</f>
        <v>0</v>
      </c>
      <c r="K611" t="n">
        <v>0</v>
      </c>
      <c r="L611" s="3" t="n"/>
    </row>
    <row r="612">
      <c r="A612" t="inlineStr">
        <is>
          <t>market for lime, hydrated, packed</t>
        </is>
      </c>
      <c r="B612">
        <f>unallocated!B246/I612*J612</f>
        <v>0</v>
      </c>
      <c r="C612" t="inlineStr">
        <is>
          <t>RER</t>
        </is>
      </c>
      <c r="D612" t="inlineStr">
        <is>
          <t>kilogram</t>
        </is>
      </c>
      <c r="F612" t="inlineStr">
        <is>
          <t>technosphere</t>
        </is>
      </c>
      <c r="G612" t="inlineStr">
        <is>
          <t>lime, hydrated, packed</t>
        </is>
      </c>
      <c r="I612" t="n">
        <v>1000</v>
      </c>
      <c r="J612" s="11">
        <f>J603</f>
        <v>0</v>
      </c>
      <c r="K612" t="n">
        <v>0</v>
      </c>
      <c r="L612" s="3" t="n"/>
    </row>
    <row r="613">
      <c r="A613" t="inlineStr">
        <is>
          <t>market for sodium hydroxide, without water, in 50% solution state</t>
        </is>
      </c>
      <c r="B613">
        <f>unallocated!B247/I613*J613</f>
        <v>0</v>
      </c>
      <c r="C613" t="inlineStr">
        <is>
          <t>RER</t>
        </is>
      </c>
      <c r="D613" t="inlineStr">
        <is>
          <t>kilogram</t>
        </is>
      </c>
      <c r="F613" t="inlineStr">
        <is>
          <t>technosphere</t>
        </is>
      </c>
      <c r="G613" t="inlineStr">
        <is>
          <t>sodium hydroxide, without water, in 50% solution state</t>
        </is>
      </c>
      <c r="H613" t="inlineStr">
        <is>
          <t>50% liquid ammonia. In original publication, it is dilluated to 27% in water. We discount the original value by 50%.</t>
        </is>
      </c>
      <c r="I613" t="n">
        <v>1000</v>
      </c>
      <c r="J613" s="11">
        <f>J603</f>
        <v>0</v>
      </c>
      <c r="K613" t="n">
        <v>0</v>
      </c>
      <c r="L613" s="3" t="n"/>
    </row>
    <row r="614">
      <c r="A614" t="inlineStr">
        <is>
          <t>market for monoethanolamine</t>
        </is>
      </c>
      <c r="B614">
        <f>unallocated!B248/I614*J614</f>
        <v>0</v>
      </c>
      <c r="C614" t="inlineStr">
        <is>
          <t>GLO</t>
        </is>
      </c>
      <c r="D614" t="inlineStr">
        <is>
          <t>kilogram</t>
        </is>
      </c>
      <c r="F614" t="inlineStr">
        <is>
          <t>technosphere</t>
        </is>
      </c>
      <c r="G614" t="inlineStr">
        <is>
          <t>monoethanolamine</t>
        </is>
      </c>
      <c r="I614" t="n">
        <v>1000</v>
      </c>
      <c r="J614" s="11">
        <f>J603</f>
        <v>0</v>
      </c>
      <c r="K614" t="n">
        <v>0</v>
      </c>
      <c r="L614" s="3" t="n"/>
    </row>
    <row r="615">
      <c r="A615" t="inlineStr">
        <is>
          <t>municipal waste incineration facility construction</t>
        </is>
      </c>
      <c r="B615">
        <f>unallocated!B249/I615*J615</f>
        <v>0</v>
      </c>
      <c r="C615" t="inlineStr">
        <is>
          <t>CH</t>
        </is>
      </c>
      <c r="D615" t="inlineStr">
        <is>
          <t>unit</t>
        </is>
      </c>
      <c r="F615" t="inlineStr">
        <is>
          <t>technosphere</t>
        </is>
      </c>
      <c r="G615" t="inlineStr">
        <is>
          <t>municipal waste incineration facility</t>
        </is>
      </c>
      <c r="H615" t="inlineStr">
        <is>
          <t>Lifetime: 4'000'000 tons MSWI treated.</t>
        </is>
      </c>
      <c r="I615" t="n">
        <v>1000</v>
      </c>
      <c r="J615" s="11">
        <f>J603</f>
        <v>0</v>
      </c>
      <c r="K615" t="n">
        <v>0</v>
      </c>
      <c r="L615" s="3" t="n"/>
    </row>
    <row r="616">
      <c r="A616" t="inlineStr">
        <is>
          <t>carbon dioxide storage at wood burning power plant 20 MW post, pipeline 200km, storage 1000m</t>
        </is>
      </c>
      <c r="B616">
        <f>unallocated!B250/I616*J616</f>
        <v>0</v>
      </c>
      <c r="C616" t="inlineStr">
        <is>
          <t>RER</t>
        </is>
      </c>
      <c r="D616" t="inlineStr">
        <is>
          <t>kilogram</t>
        </is>
      </c>
      <c r="F616" t="inlineStr">
        <is>
          <t>technosphere</t>
        </is>
      </c>
      <c r="G616" t="inlineStr">
        <is>
          <t>carbon dioxide storage at wood burning power plant 20 MW post, pipeline 200km, storage 1000m</t>
        </is>
      </c>
      <c r="I616" t="n">
        <v>1000</v>
      </c>
      <c r="J616" s="11">
        <f>J603</f>
        <v>0</v>
      </c>
      <c r="K616" t="n">
        <v>0</v>
      </c>
      <c r="L616" s="3" t="n"/>
    </row>
    <row r="617">
      <c r="A617" t="inlineStr">
        <is>
          <t>Water, cooling, unspecified natural origin</t>
        </is>
      </c>
      <c r="B617">
        <f>unallocated!B251/I617*J617</f>
        <v>0</v>
      </c>
      <c r="D617" t="inlineStr">
        <is>
          <t>cubic meter</t>
        </is>
      </c>
      <c r="E617" t="inlineStr">
        <is>
          <t>natural resource::in water</t>
        </is>
      </c>
      <c r="F617" t="inlineStr">
        <is>
          <t>biosphere</t>
        </is>
      </c>
      <c r="I617" t="n">
        <v>1000</v>
      </c>
      <c r="J617" s="11">
        <f>J603</f>
        <v>0</v>
      </c>
      <c r="K617" t="n">
        <v>0</v>
      </c>
      <c r="L617" s="3" t="n"/>
    </row>
    <row r="618">
      <c r="A618" t="inlineStr">
        <is>
          <t>Sulfur dioxide</t>
        </is>
      </c>
      <c r="B618">
        <f>unallocated!B252/I618*J618</f>
        <v>0</v>
      </c>
      <c r="D618" t="inlineStr">
        <is>
          <t>kilogram</t>
        </is>
      </c>
      <c r="E618" t="inlineStr">
        <is>
          <t>air::urban air close to ground</t>
        </is>
      </c>
      <c r="F618" t="inlineStr">
        <is>
          <t>biosphere</t>
        </is>
      </c>
      <c r="I618" t="n">
        <v>1000</v>
      </c>
      <c r="J618" s="11">
        <f>J603</f>
        <v>0</v>
      </c>
      <c r="K618" t="n">
        <v>0</v>
      </c>
      <c r="L618" s="3" t="n"/>
    </row>
    <row r="619">
      <c r="A619" t="inlineStr">
        <is>
          <t>Hydrochloric acid</t>
        </is>
      </c>
      <c r="B619">
        <f>unallocated!B253/I619*J619</f>
        <v>0</v>
      </c>
      <c r="D619" t="inlineStr">
        <is>
          <t>kilogram</t>
        </is>
      </c>
      <c r="E619" t="inlineStr">
        <is>
          <t>air</t>
        </is>
      </c>
      <c r="F619" t="inlineStr">
        <is>
          <t>biosphere</t>
        </is>
      </c>
      <c r="I619" t="n">
        <v>1000</v>
      </c>
      <c r="J619" s="11">
        <f>J603</f>
        <v>0</v>
      </c>
      <c r="K619" t="n">
        <v>0</v>
      </c>
      <c r="L619" s="3" t="n"/>
    </row>
    <row r="620">
      <c r="A620" t="inlineStr">
        <is>
          <t>Nitrogen oxides</t>
        </is>
      </c>
      <c r="B620">
        <f>unallocated!B254/I620*J620</f>
        <v>0</v>
      </c>
      <c r="D620" t="inlineStr">
        <is>
          <t>kilogram</t>
        </is>
      </c>
      <c r="E620" t="inlineStr">
        <is>
          <t>air::urban air close to ground</t>
        </is>
      </c>
      <c r="F620" t="inlineStr">
        <is>
          <t>biosphere</t>
        </is>
      </c>
      <c r="I620" t="n">
        <v>1000</v>
      </c>
      <c r="J620" s="11">
        <f>J603</f>
        <v>0</v>
      </c>
      <c r="K620" t="n">
        <v>0</v>
      </c>
      <c r="L620" s="3" t="n"/>
    </row>
    <row r="621">
      <c r="A621" t="inlineStr">
        <is>
          <t>Ammonia</t>
        </is>
      </c>
      <c r="B621">
        <f>unallocated!B255/I621*J621</f>
        <v>0</v>
      </c>
      <c r="D621" t="inlineStr">
        <is>
          <t>kilogram</t>
        </is>
      </c>
      <c r="E621" t="inlineStr">
        <is>
          <t>air::urban air close to ground</t>
        </is>
      </c>
      <c r="F621" t="inlineStr">
        <is>
          <t>biosphere</t>
        </is>
      </c>
      <c r="I621" t="n">
        <v>1000</v>
      </c>
      <c r="J621" s="11">
        <f>J603</f>
        <v>0</v>
      </c>
      <c r="K621" t="n">
        <v>0</v>
      </c>
      <c r="L621" s="3" t="n"/>
    </row>
    <row r="622">
      <c r="A622" t="inlineStr">
        <is>
          <t>Particulate Matter, &lt; 2.5 um</t>
        </is>
      </c>
      <c r="B622">
        <f>unallocated!B256/I622*J622</f>
        <v>0</v>
      </c>
      <c r="D622" t="inlineStr">
        <is>
          <t>kilogram</t>
        </is>
      </c>
      <c r="E622" t="inlineStr">
        <is>
          <t>air::urban air close to ground</t>
        </is>
      </c>
      <c r="F622" t="inlineStr">
        <is>
          <t>biosphere</t>
        </is>
      </c>
      <c r="I622" t="n">
        <v>1000</v>
      </c>
      <c r="J622" s="11">
        <f>J603</f>
        <v>0</v>
      </c>
      <c r="K622" t="n">
        <v>0</v>
      </c>
      <c r="L622" s="3" t="n"/>
    </row>
    <row r="623">
      <c r="A623" t="inlineStr">
        <is>
          <t>Mercury II</t>
        </is>
      </c>
      <c r="B623">
        <f>unallocated!B257/I623*J623</f>
        <v>0</v>
      </c>
      <c r="D623" t="inlineStr">
        <is>
          <t>kilogram</t>
        </is>
      </c>
      <c r="E623" t="inlineStr">
        <is>
          <t>air::urban air close to ground</t>
        </is>
      </c>
      <c r="F623" t="inlineStr">
        <is>
          <t>biosphere</t>
        </is>
      </c>
      <c r="I623" t="n">
        <v>1000</v>
      </c>
      <c r="J623" s="11">
        <f>J603</f>
        <v>0</v>
      </c>
      <c r="K623" t="n">
        <v>0</v>
      </c>
      <c r="L623" s="3" t="n"/>
    </row>
    <row r="624">
      <c r="A624" t="inlineStr">
        <is>
          <t>Lead II</t>
        </is>
      </c>
      <c r="B624">
        <f>unallocated!B258/I624*J624</f>
        <v>0</v>
      </c>
      <c r="D624" t="inlineStr">
        <is>
          <t>kilogram</t>
        </is>
      </c>
      <c r="E624" t="inlineStr">
        <is>
          <t>air::urban air close to ground</t>
        </is>
      </c>
      <c r="F624" t="inlineStr">
        <is>
          <t>biosphere</t>
        </is>
      </c>
      <c r="I624" t="n">
        <v>1000</v>
      </c>
      <c r="J624" s="11">
        <f>J603</f>
        <v>0</v>
      </c>
      <c r="K624" t="n">
        <v>0</v>
      </c>
      <c r="L624" s="3" t="n"/>
    </row>
    <row r="625">
      <c r="A625" t="inlineStr">
        <is>
          <t>Cadmium II</t>
        </is>
      </c>
      <c r="B625">
        <f>unallocated!B259/I625*J625</f>
        <v>0</v>
      </c>
      <c r="D625" t="inlineStr">
        <is>
          <t>kilogram</t>
        </is>
      </c>
      <c r="E625" t="inlineStr">
        <is>
          <t>air::urban air close to ground</t>
        </is>
      </c>
      <c r="F625" t="inlineStr">
        <is>
          <t>biosphere</t>
        </is>
      </c>
      <c r="I625" t="n">
        <v>1000</v>
      </c>
      <c r="J625" s="11">
        <f>J603</f>
        <v>0</v>
      </c>
      <c r="K625" t="n">
        <v>0</v>
      </c>
      <c r="L625" s="3" t="n"/>
    </row>
    <row r="626">
      <c r="A626" t="inlineStr">
        <is>
          <t>Arsenic ion</t>
        </is>
      </c>
      <c r="B626">
        <f>unallocated!B260/I626*J626</f>
        <v>0</v>
      </c>
      <c r="D626" t="inlineStr">
        <is>
          <t>kilogram</t>
        </is>
      </c>
      <c r="E626" t="inlineStr">
        <is>
          <t>air::urban air close to ground</t>
        </is>
      </c>
      <c r="F626" t="inlineStr">
        <is>
          <t>biosphere</t>
        </is>
      </c>
      <c r="I626" t="n">
        <v>1000</v>
      </c>
      <c r="J626" s="11">
        <f>J603</f>
        <v>0</v>
      </c>
      <c r="K626" t="n">
        <v>0</v>
      </c>
      <c r="L626" s="3" t="n"/>
    </row>
    <row r="627">
      <c r="A627" t="inlineStr">
        <is>
          <t>Dioxins, measured as 2,3,7,8-tetrachlorodibenzo-p-dioxin</t>
        </is>
      </c>
      <c r="B627">
        <f>unallocated!B261/I627*J627</f>
        <v>0</v>
      </c>
      <c r="D627" t="inlineStr">
        <is>
          <t>kilogram</t>
        </is>
      </c>
      <c r="E627" t="inlineStr">
        <is>
          <t>air::urban air close to ground</t>
        </is>
      </c>
      <c r="F627" t="inlineStr">
        <is>
          <t>biosphere</t>
        </is>
      </c>
      <c r="I627" t="n">
        <v>1000</v>
      </c>
      <c r="J627" s="11">
        <f>J603</f>
        <v>0</v>
      </c>
      <c r="K627" t="n">
        <v>0</v>
      </c>
      <c r="L627" s="3" t="n"/>
    </row>
    <row r="628">
      <c r="A628" t="inlineStr">
        <is>
          <t>Carbon dioxide, fossil</t>
        </is>
      </c>
      <c r="B628">
        <f>unallocated!B262/I628*J628</f>
        <v>0</v>
      </c>
      <c r="D628" t="inlineStr">
        <is>
          <t>kilogram</t>
        </is>
      </c>
      <c r="E628" t="inlineStr">
        <is>
          <t>air::urban air close to ground</t>
        </is>
      </c>
      <c r="F628" t="inlineStr">
        <is>
          <t>biosphere</t>
        </is>
      </c>
      <c r="I628" t="n">
        <v>1000</v>
      </c>
      <c r="J628" s="11">
        <f>J603</f>
        <v>0</v>
      </c>
      <c r="K628" t="n">
        <v>0</v>
      </c>
      <c r="L628" s="3" t="n"/>
    </row>
    <row r="629">
      <c r="A629" t="inlineStr">
        <is>
          <t>Carbon dioxide, non-fossil</t>
        </is>
      </c>
      <c r="B629">
        <f>unallocated!B263/I629*J629</f>
        <v>0</v>
      </c>
      <c r="D629" t="inlineStr">
        <is>
          <t>kilogram</t>
        </is>
      </c>
      <c r="E629" t="inlineStr">
        <is>
          <t>air::urban air close to ground</t>
        </is>
      </c>
      <c r="F629" t="inlineStr">
        <is>
          <t>biosphere</t>
        </is>
      </c>
      <c r="I629" t="n">
        <v>1000</v>
      </c>
      <c r="J629" s="14">
        <f>J603</f>
        <v>0</v>
      </c>
      <c r="K629" t="n">
        <v>0</v>
      </c>
      <c r="L629" s="3" t="n"/>
    </row>
    <row r="630">
      <c r="A630" t="inlineStr">
        <is>
          <t>Carbon dioxide, in air</t>
        </is>
      </c>
      <c r="B630">
        <f>unallocated!B264/I630*J630</f>
        <v>0</v>
      </c>
      <c r="D630" t="inlineStr">
        <is>
          <t>kilogram</t>
        </is>
      </c>
      <c r="E630" t="inlineStr">
        <is>
          <t>natural resource::in air</t>
        </is>
      </c>
      <c r="F630" t="inlineStr">
        <is>
          <t>biosphere</t>
        </is>
      </c>
      <c r="H630" t="inlineStr">
        <is>
          <t>To reflect the permanent storage of non-fossil CO.</t>
        </is>
      </c>
      <c r="I630" t="n">
        <v>1000</v>
      </c>
      <c r="J630" s="14">
        <f>J603</f>
        <v>0</v>
      </c>
      <c r="K630" t="n">
        <v>0</v>
      </c>
      <c r="L630" s="3" t="n"/>
    </row>
    <row r="631"/>
    <row r="632">
      <c r="A632" s="1" t="inlineStr">
        <is>
          <t>Activity</t>
        </is>
      </c>
      <c r="B632" s="1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</row>
    <row r="633">
      <c r="A633" t="inlineStr">
        <is>
          <t>location</t>
        </is>
      </c>
      <c r="B633" t="inlineStr">
        <is>
          <t>RER</t>
        </is>
      </c>
    </row>
    <row r="634">
      <c r="A634" t="inlineStr">
        <is>
          <t>production amount</t>
        </is>
      </c>
      <c r="B634" t="n">
        <v>1</v>
      </c>
    </row>
    <row r="635">
      <c r="A635" s="2" t="inlineStr">
        <is>
          <t>source</t>
        </is>
      </c>
      <c r="B635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636">
      <c r="A636" t="inlineStr">
        <is>
          <t>reference product</t>
        </is>
      </c>
      <c r="B636" t="inlineStr">
        <is>
          <t>electricity, medium voltage</t>
        </is>
      </c>
    </row>
    <row r="637">
      <c r="A637" t="inlineStr">
        <is>
          <t>type</t>
        </is>
      </c>
      <c r="B637" t="inlineStr">
        <is>
          <t>process</t>
        </is>
      </c>
    </row>
    <row r="638">
      <c r="A638" t="inlineStr">
        <is>
          <t>unit</t>
        </is>
      </c>
      <c r="B638" t="inlineStr">
        <is>
          <t>kilowatt hour</t>
        </is>
      </c>
    </row>
    <row r="639">
      <c r="A639" t="inlineStr">
        <is>
          <t>comment</t>
        </is>
      </c>
      <c r="B639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Yes. Electricity production per ton MSWI incinerated: 312 kWh. Heat production per ton MSWI incinerated: 7'400 MJ.</t>
        </is>
      </c>
    </row>
    <row r="640">
      <c r="A640" s="1" t="inlineStr">
        <is>
          <t>Exchanges</t>
        </is>
      </c>
    </row>
    <row r="641">
      <c r="A641" s="7" t="inlineStr">
        <is>
          <t>name</t>
        </is>
      </c>
      <c r="B641" s="7" t="inlineStr">
        <is>
          <t>amount</t>
        </is>
      </c>
      <c r="C641" s="7" t="inlineStr">
        <is>
          <t>location</t>
        </is>
      </c>
      <c r="D641" s="7" t="inlineStr">
        <is>
          <t>unit</t>
        </is>
      </c>
      <c r="E641" s="7" t="inlineStr">
        <is>
          <t>categories</t>
        </is>
      </c>
      <c r="F641" s="7" t="inlineStr">
        <is>
          <t>type</t>
        </is>
      </c>
      <c r="G641" s="7" t="inlineStr">
        <is>
          <t>reference product</t>
        </is>
      </c>
      <c r="H641" s="7" t="inlineStr">
        <is>
          <t>comment</t>
        </is>
      </c>
      <c r="I641" s="7" t="inlineStr">
        <is>
          <t>normalization</t>
        </is>
      </c>
      <c r="J641" s="7" t="inlineStr">
        <is>
          <t>allocation</t>
        </is>
      </c>
      <c r="K641" s="7" t="inlineStr">
        <is>
          <t>uncertainty type</t>
        </is>
      </c>
      <c r="L641" s="7" t="inlineStr">
        <is>
          <t>loc</t>
        </is>
      </c>
      <c r="M641" s="1" t="inlineStr">
        <is>
          <t>u1</t>
        </is>
      </c>
      <c r="N641" s="1" t="inlineStr">
        <is>
          <t>u2</t>
        </is>
      </c>
      <c r="O641" s="1" t="inlineStr">
        <is>
          <t>u3</t>
        </is>
      </c>
      <c r="P641" s="1" t="inlineStr">
        <is>
          <t>u4</t>
        </is>
      </c>
      <c r="Q641" s="1" t="inlineStr">
        <is>
          <t>u5</t>
        </is>
      </c>
      <c r="R641" s="1" t="inlineStr">
        <is>
          <t>u6</t>
        </is>
      </c>
      <c r="S641" s="1" t="inlineStr">
        <is>
          <t>ub</t>
        </is>
      </c>
      <c r="T641" s="1" t="inlineStr">
        <is>
          <t>scale</t>
        </is>
      </c>
      <c r="U641" s="1" t="inlineStr">
        <is>
          <t>negative</t>
        </is>
      </c>
    </row>
    <row r="642">
      <c r="A642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B642" t="n">
        <v>0</v>
      </c>
      <c r="C642" t="inlineStr">
        <is>
          <t>RER</t>
        </is>
      </c>
      <c r="D642" t="inlineStr">
        <is>
          <t>kilogram</t>
        </is>
      </c>
      <c r="F642" t="inlineStr">
        <is>
          <t>technosphere</t>
        </is>
      </c>
      <c r="G642" t="inlineStr">
        <is>
          <t>municipal solid waste</t>
        </is>
      </c>
      <c r="H642" t="inlineStr"/>
      <c r="I642" s="6" t="n">
        <v>312</v>
      </c>
      <c r="J642" s="14">
        <f>INDEX('allocation keys'!$I$4:$K$29,MATCH('allocated (exergy)'!$B$632,'allocation keys'!$B$4:$B$28,0),MATCH('allocated (exergy)'!$B$636,'allocation keys'!$I$3:$K$3,0))</f>
        <v>0.54519278210919619</v>
      </c>
      <c r="K642" t="n">
        <v>0</v>
      </c>
      <c r="M642" s="5" t="n"/>
      <c r="N642" s="5" t="n"/>
      <c r="O642" s="5" t="n"/>
      <c r="P642" s="5" t="n"/>
      <c r="Q642" s="5" t="n"/>
      <c r="R642" s="5" t="n"/>
    </row>
    <row r="643">
      <c r="A643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B643" s="6" t="n">
        <v>1</v>
      </c>
      <c r="C643" t="inlineStr">
        <is>
          <t>RER</t>
        </is>
      </c>
      <c r="D643" t="inlineStr">
        <is>
          <t>kilowatt hour</t>
        </is>
      </c>
      <c r="F643" t="inlineStr">
        <is>
          <t>production</t>
        </is>
      </c>
      <c r="G643" t="inlineStr">
        <is>
          <t>electricity, medium voltage</t>
        </is>
      </c>
      <c r="H643" t="inlineStr"/>
      <c r="I643" s="6" t="n">
        <v>312</v>
      </c>
      <c r="J643" s="11">
        <f>J642</f>
        <v>0.54519278210919619</v>
      </c>
      <c r="K643" t="n">
        <v>0</v>
      </c>
      <c r="L643" s="3" t="n"/>
    </row>
    <row r="644">
      <c r="A644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B644" t="n">
        <v>0</v>
      </c>
      <c r="C644" t="inlineStr">
        <is>
          <t>RER</t>
        </is>
      </c>
      <c r="D644" t="inlineStr">
        <is>
          <t>megajoule</t>
        </is>
      </c>
      <c r="F644" t="inlineStr">
        <is>
          <t>technosphere</t>
        </is>
      </c>
      <c r="G644" t="inlineStr">
        <is>
          <t>heat, district or industrial, other than natural gas</t>
        </is>
      </c>
      <c r="H644" t="inlineStr"/>
      <c r="I644" s="6" t="n">
        <v>312</v>
      </c>
      <c r="J644" s="11">
        <f>J642</f>
        <v>0.54519278210919619</v>
      </c>
      <c r="K644" t="n">
        <v>0</v>
      </c>
      <c r="L644" s="3" t="n"/>
    </row>
    <row r="645">
      <c r="A645" t="inlineStr">
        <is>
          <t>market for diesel, low-sulfur</t>
        </is>
      </c>
      <c r="B645">
        <f>unallocated!B240/I645*J645</f>
        <v>1.4853008486949258E-4</v>
      </c>
      <c r="C645" t="inlineStr">
        <is>
          <t>Europe without Switzerland</t>
        </is>
      </c>
      <c r="D645" t="inlineStr">
        <is>
          <t>kilogram</t>
        </is>
      </c>
      <c r="F645" t="inlineStr">
        <is>
          <t>technosphere</t>
        </is>
      </c>
      <c r="G645" t="inlineStr">
        <is>
          <t>diesel, low-sulfur</t>
        </is>
      </c>
      <c r="H645" t="inlineStr">
        <is>
          <t>Diesel density: 0.85 kg/l</t>
        </is>
      </c>
      <c r="I645" s="6" t="n">
        <v>312</v>
      </c>
      <c r="J645" s="11">
        <f>J642</f>
        <v>0.54519278210919619</v>
      </c>
      <c r="K645" t="n">
        <v>2</v>
      </c>
      <c r="L645" s="3">
        <f>LN(B645)</f>
        <v>-8.8147230285266946</v>
      </c>
      <c r="M645" t="n">
        <v>1</v>
      </c>
      <c r="N645" t="n">
        <v>1</v>
      </c>
      <c r="O645" t="n">
        <v>1</v>
      </c>
      <c r="P645" t="n">
        <v>1.02</v>
      </c>
      <c r="Q645" t="n">
        <v>1.2</v>
      </c>
      <c r="R645" t="n">
        <v>1</v>
      </c>
      <c r="S645" t="n">
        <v>1.05</v>
      </c>
      <c r="T645">
        <f>LN(SQRT(EXP(
SQRT(
+POWER(LN(M645),2)
+POWER(LN(N645),2)
+POWER(LN(O645),2)
+POWER(LN(P645),2)
+POWER(LN(Q645),2)
+POWER(LN(R645),2)
+POWER(LN(S645),2)
)
)))</f>
        <v>9.4886477223156879E-2</v>
      </c>
    </row>
    <row r="646">
      <c r="A646" t="inlineStr">
        <is>
          <t>market for activated carbon, granular</t>
        </is>
      </c>
      <c r="B646">
        <f>unallocated!B241/I646*J646</f>
        <v>6.9896510526820026E-4</v>
      </c>
      <c r="C646" t="inlineStr">
        <is>
          <t>GLO</t>
        </is>
      </c>
      <c r="D646" t="inlineStr">
        <is>
          <t>kilogram</t>
        </is>
      </c>
      <c r="F646" t="inlineStr">
        <is>
          <t>technosphere</t>
        </is>
      </c>
      <c r="G646" t="inlineStr">
        <is>
          <t>activated carbon, granular</t>
        </is>
      </c>
      <c r="I646" s="6" t="n">
        <v>312</v>
      </c>
      <c r="J646" s="11">
        <f>J642</f>
        <v>0.54519278210919619</v>
      </c>
      <c r="K646" t="n">
        <v>2</v>
      </c>
      <c r="L646" s="3">
        <f>LN(B646)</f>
        <v>-7.2659097379090296</v>
      </c>
      <c r="M646" t="n">
        <v>1</v>
      </c>
      <c r="N646" t="n">
        <v>1</v>
      </c>
      <c r="O646" t="n">
        <v>1</v>
      </c>
      <c r="P646" t="n">
        <v>1.02</v>
      </c>
      <c r="Q646" t="n">
        <v>1.2</v>
      </c>
      <c r="R646" t="n">
        <v>1</v>
      </c>
      <c r="S646" t="n">
        <v>1.05</v>
      </c>
      <c r="T646">
        <f>LN(SQRT(EXP(
SQRT(
+POWER(LN(M646),2)
+POWER(LN(N646),2)
+POWER(LN(O646),2)
+POWER(LN(P646),2)
+POWER(LN(Q646),2)
+POWER(LN(R646),2)
+POWER(LN(S646),2)
)
)))</f>
        <v>9.4886477223156879E-2</v>
      </c>
    </row>
    <row r="647">
      <c r="A647" t="inlineStr">
        <is>
          <t>market for ammonia, anhydrous, liquid</t>
        </is>
      </c>
      <c r="B647">
        <f>unallocated!B242/I647*J647</f>
        <v>1.7124645079070906E-3</v>
      </c>
      <c r="C647" t="inlineStr">
        <is>
          <t>RER</t>
        </is>
      </c>
      <c r="D647" t="inlineStr">
        <is>
          <t>kilogram</t>
        </is>
      </c>
      <c r="F647" t="inlineStr">
        <is>
          <t>technosphere</t>
        </is>
      </c>
      <c r="G647" t="inlineStr">
        <is>
          <t>ammonia, anhydrous, liquid</t>
        </is>
      </c>
      <c r="H647" t="inlineStr">
        <is>
          <t>100% liquid ammonia. In original publication, it is dilluated to 23.5% in water. We discount the original value by 75%.</t>
        </is>
      </c>
      <c r="I647" s="6" t="n">
        <v>312</v>
      </c>
      <c r="J647" s="11">
        <f>J642</f>
        <v>0.54519278210919619</v>
      </c>
      <c r="K647" t="n">
        <v>2</v>
      </c>
      <c r="L647" s="3">
        <f>LN(B647)</f>
        <v>-6.369821713352394</v>
      </c>
      <c r="M647" t="n">
        <v>1</v>
      </c>
      <c r="N647" t="n">
        <v>1</v>
      </c>
      <c r="O647" t="n">
        <v>1</v>
      </c>
      <c r="P647" t="n">
        <v>1.02</v>
      </c>
      <c r="Q647" t="n">
        <v>1.2</v>
      </c>
      <c r="R647" t="n">
        <v>1</v>
      </c>
      <c r="S647" t="n">
        <v>1.05</v>
      </c>
      <c r="T647">
        <f>LN(SQRT(EXP(
SQRT(
+POWER(LN(M647),2)
+POWER(LN(N647),2)
+POWER(LN(O647),2)
+POWER(LN(P647),2)
+POWER(LN(Q647),2)
+POWER(LN(R647),2)
+POWER(LN(S647),2)
)
)))</f>
        <v>9.4886477223156879E-2</v>
      </c>
    </row>
    <row r="648">
      <c r="A648" t="inlineStr">
        <is>
          <t>market for tap water</t>
        </is>
      </c>
      <c r="B648">
        <f>unallocated!B243/I648*J648</f>
        <v>5.2771865447749115E-3</v>
      </c>
      <c r="C648" t="inlineStr">
        <is>
          <t>Europe without Switzerland</t>
        </is>
      </c>
      <c r="D648" t="inlineStr">
        <is>
          <t>kilogram</t>
        </is>
      </c>
      <c r="F648" t="inlineStr">
        <is>
          <t>technosphere</t>
        </is>
      </c>
      <c r="G648" t="inlineStr">
        <is>
          <t>tap water</t>
        </is>
      </c>
      <c r="H648" t="inlineStr">
        <is>
          <t>Used to dilute the ammonia.</t>
        </is>
      </c>
      <c r="I648" s="6" t="n">
        <v>312</v>
      </c>
      <c r="J648" s="11">
        <f>J642</f>
        <v>0.54519278210919619</v>
      </c>
      <c r="K648" t="n">
        <v>2</v>
      </c>
      <c r="L648" s="3">
        <f>LN(B648)</f>
        <v>-5.2443621746480966</v>
      </c>
      <c r="M648" t="n">
        <v>1</v>
      </c>
      <c r="N648" t="n">
        <v>1</v>
      </c>
      <c r="O648" t="n">
        <v>1</v>
      </c>
      <c r="P648" t="n">
        <v>1.02</v>
      </c>
      <c r="Q648" t="n">
        <v>1.2</v>
      </c>
      <c r="R648" t="n">
        <v>1</v>
      </c>
      <c r="S648" t="n">
        <v>1.05</v>
      </c>
      <c r="T648">
        <f>LN(SQRT(EXP(
SQRT(
+POWER(LN(M648),2)
+POWER(LN(N648),2)
+POWER(LN(O648),2)
+POWER(LN(P648),2)
+POWER(LN(Q648),2)
+POWER(LN(R648),2)
+POWER(LN(S648),2)
)
)))</f>
        <v>9.4886477223156879E-2</v>
      </c>
    </row>
    <row r="649">
      <c r="A649" t="inlineStr">
        <is>
          <t>market for calcium carbonate, precipitated</t>
        </is>
      </c>
      <c r="B649">
        <f>unallocated!B244/I649*J649</f>
        <v>0</v>
      </c>
      <c r="C649" t="inlineStr">
        <is>
          <t>RER</t>
        </is>
      </c>
      <c r="D649" t="inlineStr">
        <is>
          <t>kilogram</t>
        </is>
      </c>
      <c r="F649" t="inlineStr">
        <is>
          <t>technosphere</t>
        </is>
      </c>
      <c r="G649" t="inlineStr">
        <is>
          <t>calcium carbonate, precipitated</t>
        </is>
      </c>
      <c r="I649" s="6" t="n">
        <v>312</v>
      </c>
      <c r="J649" s="11">
        <f>J642</f>
        <v>0.54519278210919619</v>
      </c>
      <c r="K649" t="n">
        <v>0</v>
      </c>
      <c r="L649" s="3" t="n"/>
    </row>
    <row r="650">
      <c r="A650" t="inlineStr">
        <is>
          <t>market for iron(III) chloride, without water, in 40% solution state</t>
        </is>
      </c>
      <c r="B650">
        <f>unallocated!B245/I650*J650</f>
        <v>0</v>
      </c>
      <c r="C650" t="inlineStr">
        <is>
          <t>GLO</t>
        </is>
      </c>
      <c r="D650" t="inlineStr">
        <is>
          <t>kilogram</t>
        </is>
      </c>
      <c r="F650" t="inlineStr">
        <is>
          <t>technosphere</t>
        </is>
      </c>
      <c r="G650" t="inlineStr">
        <is>
          <t>iron(III) chloride, without water, in 40% solution state</t>
        </is>
      </c>
      <c r="I650" s="6" t="n">
        <v>312</v>
      </c>
      <c r="J650" s="11">
        <f>J642</f>
        <v>0.54519278210919619</v>
      </c>
      <c r="K650" t="n">
        <v>0</v>
      </c>
      <c r="L650" s="3" t="n"/>
    </row>
    <row r="651">
      <c r="A651" t="inlineStr">
        <is>
          <t>market for lime, hydrated, packed</t>
        </is>
      </c>
      <c r="B651">
        <f>unallocated!B246/I651*J651</f>
        <v>1.7474127631705003E-2</v>
      </c>
      <c r="C651" t="inlineStr">
        <is>
          <t>RER</t>
        </is>
      </c>
      <c r="D651" t="inlineStr">
        <is>
          <t>kilogram</t>
        </is>
      </c>
      <c r="F651" t="inlineStr">
        <is>
          <t>technosphere</t>
        </is>
      </c>
      <c r="G651" t="inlineStr">
        <is>
          <t>lime, hydrated, packed</t>
        </is>
      </c>
      <c r="I651" s="6" t="n">
        <v>312</v>
      </c>
      <c r="J651" s="11">
        <f>J642</f>
        <v>0.54519278210919619</v>
      </c>
      <c r="K651" t="n">
        <v>2</v>
      </c>
      <c r="L651" s="3">
        <f>LN(B651)</f>
        <v>-4.0470339130408295</v>
      </c>
      <c r="M651" t="n">
        <v>1</v>
      </c>
      <c r="N651" t="n">
        <v>1</v>
      </c>
      <c r="O651" t="n">
        <v>1</v>
      </c>
      <c r="P651" t="n">
        <v>1.02</v>
      </c>
      <c r="Q651" t="n">
        <v>1.2</v>
      </c>
      <c r="R651" t="n">
        <v>1</v>
      </c>
      <c r="S651" t="n">
        <v>1.05</v>
      </c>
      <c r="T651">
        <f>LN(SQRT(EXP(
SQRT(
+POWER(LN(M651),2)
+POWER(LN(N651),2)
+POWER(LN(O651),2)
+POWER(LN(P651),2)
+POWER(LN(Q651),2)
+POWER(LN(R651),2)
+POWER(LN(S651),2)
)
)))</f>
        <v>9.4886477223156879E-2</v>
      </c>
    </row>
    <row r="652">
      <c r="A652" t="inlineStr">
        <is>
          <t>market for sodium hydroxide, without water, in 50% solution state</t>
        </is>
      </c>
      <c r="B652">
        <f>unallocated!B247/I652*J652</f>
        <v>4.3685319079262515E-4</v>
      </c>
      <c r="C652" t="inlineStr">
        <is>
          <t>RER</t>
        </is>
      </c>
      <c r="D652" t="inlineStr">
        <is>
          <t>kilogram</t>
        </is>
      </c>
      <c r="F652" t="inlineStr">
        <is>
          <t>technosphere</t>
        </is>
      </c>
      <c r="G652" t="inlineStr">
        <is>
          <t>sodium hydroxide, without water, in 50% solution state</t>
        </is>
      </c>
      <c r="H652" t="inlineStr">
        <is>
          <t>50% liquid ammonia. In original publication, it is dilluated to 27% in water. We discount the original value by 50%.</t>
        </is>
      </c>
      <c r="I652" s="6" t="n">
        <v>312</v>
      </c>
      <c r="J652" s="11">
        <f>J642</f>
        <v>0.54519278210919619</v>
      </c>
      <c r="K652" t="n">
        <v>0</v>
      </c>
      <c r="L652" s="3" t="n"/>
    </row>
    <row r="653">
      <c r="A653" t="inlineStr">
        <is>
          <t>market for monoethanolamine</t>
        </is>
      </c>
      <c r="B653">
        <f>unallocated!B248/I653*J653</f>
        <v>6.9896510526820024E-3</v>
      </c>
      <c r="C653" t="inlineStr">
        <is>
          <t>GLO</t>
        </is>
      </c>
      <c r="D653" t="inlineStr">
        <is>
          <t>kilogram</t>
        </is>
      </c>
      <c r="F653" t="inlineStr">
        <is>
          <t>technosphere</t>
        </is>
      </c>
      <c r="G653" t="inlineStr">
        <is>
          <t>monoethanolamine</t>
        </is>
      </c>
      <c r="I653" s="6" t="n">
        <v>312</v>
      </c>
      <c r="J653" s="11">
        <f>J642</f>
        <v>0.54519278210919619</v>
      </c>
      <c r="K653" t="n">
        <v>0</v>
      </c>
      <c r="L653" s="3" t="n"/>
    </row>
    <row r="654">
      <c r="A654" t="inlineStr">
        <is>
          <t>municipal waste incineration facility construction</t>
        </is>
      </c>
      <c r="B654">
        <f>unallocated!B249/I654*J654</f>
        <v>4.3685319079262513E-10</v>
      </c>
      <c r="C654" t="inlineStr">
        <is>
          <t>CH</t>
        </is>
      </c>
      <c r="D654" t="inlineStr">
        <is>
          <t>unit</t>
        </is>
      </c>
      <c r="F654" t="inlineStr">
        <is>
          <t>technosphere</t>
        </is>
      </c>
      <c r="G654" t="inlineStr">
        <is>
          <t>municipal waste incineration facility</t>
        </is>
      </c>
      <c r="H654" t="inlineStr">
        <is>
          <t>Lifetime: 4'000'000 tons MSWI treated.</t>
        </is>
      </c>
      <c r="I654" s="6" t="n">
        <v>312</v>
      </c>
      <c r="J654" s="11">
        <f>J642</f>
        <v>0.54519278210919619</v>
      </c>
      <c r="K654" t="n">
        <v>2</v>
      </c>
      <c r="L654" s="3">
        <f>LN(B654)</f>
        <v>-21.551423925119039</v>
      </c>
      <c r="M654" t="n">
        <v>1</v>
      </c>
      <c r="N654" t="n">
        <v>1</v>
      </c>
      <c r="O654" t="n">
        <v>1</v>
      </c>
      <c r="P654" t="n">
        <v>1.02</v>
      </c>
      <c r="Q654" t="n">
        <v>1.2</v>
      </c>
      <c r="R654" t="n">
        <v>1</v>
      </c>
      <c r="S654" t="n">
        <v>3</v>
      </c>
      <c r="T654">
        <f>LN(SQRT(EXP(
SQRT(
+POWER(LN(M654),2)
+POWER(LN(N654),2)
+POWER(LN(O654),2)
+POWER(LN(P654),2)
+POWER(LN(Q654),2)
+POWER(LN(R654),2)
+POWER(LN(S654),2)
)
)))</f>
        <v>0.5569071410325479</v>
      </c>
    </row>
    <row r="655">
      <c r="A655" t="inlineStr">
        <is>
          <t>carbon dioxide storage at wood burning power plant 20 MW post, pipeline 200km, storage 1000m</t>
        </is>
      </c>
      <c r="B655">
        <f>unallocated!B250/I655*J655</f>
        <v>1.438120704089322</v>
      </c>
      <c r="C655" t="inlineStr">
        <is>
          <t>RER</t>
        </is>
      </c>
      <c r="D655" t="inlineStr">
        <is>
          <t>kilogram</t>
        </is>
      </c>
      <c r="F655" t="inlineStr">
        <is>
          <t>technosphere</t>
        </is>
      </c>
      <c r="G655" t="inlineStr">
        <is>
          <t>carbon dioxide storage at wood burning power plant 20 MW post, pipeline 200km, storage 1000m</t>
        </is>
      </c>
      <c r="I655" s="6" t="n">
        <v>312</v>
      </c>
      <c r="J655" s="11">
        <f>J642</f>
        <v>0.54519278210919619</v>
      </c>
      <c r="K655" t="n">
        <v>2</v>
      </c>
      <c r="L655" s="3">
        <f>LN(B655)</f>
        <v>0.36333719464219522</v>
      </c>
      <c r="M655" t="n">
        <v>1</v>
      </c>
      <c r="N655" t="n">
        <v>1</v>
      </c>
      <c r="O655" t="n">
        <v>1</v>
      </c>
      <c r="P655" t="n">
        <v>1.02</v>
      </c>
      <c r="Q655" t="n">
        <v>1.2</v>
      </c>
      <c r="R655" t="n">
        <v>1</v>
      </c>
      <c r="S655" t="n">
        <v>3</v>
      </c>
      <c r="T655">
        <f>LN(SQRT(EXP(
SQRT(
+POWER(LN(M655),2)
+POWER(LN(N655),2)
+POWER(LN(O655),2)
+POWER(LN(P655),2)
+POWER(LN(Q655),2)
+POWER(LN(R655),2)
+POWER(LN(S655),2)
)
)))</f>
        <v>0.5569071410325479</v>
      </c>
    </row>
    <row r="656">
      <c r="A656" t="inlineStr">
        <is>
          <t>Water, cooling, unspecified natural origin</t>
        </is>
      </c>
      <c r="B656">
        <f>unallocated!B251/I656*J656</f>
        <v>0</v>
      </c>
      <c r="D656" t="inlineStr">
        <is>
          <t>cubic meter</t>
        </is>
      </c>
      <c r="E656" t="inlineStr">
        <is>
          <t>natural resource::in water</t>
        </is>
      </c>
      <c r="F656" t="inlineStr">
        <is>
          <t>biosphere</t>
        </is>
      </c>
      <c r="I656" s="6" t="n">
        <v>312</v>
      </c>
      <c r="J656" s="11">
        <f>J642</f>
        <v>0.54519278210919619</v>
      </c>
      <c r="K656" t="n">
        <v>0</v>
      </c>
      <c r="L656" s="3" t="n"/>
    </row>
    <row r="657">
      <c r="A657" t="inlineStr">
        <is>
          <t>Sulfur dioxide</t>
        </is>
      </c>
      <c r="B657">
        <f>unallocated!B252/I657*J657</f>
        <v>1.0484476579023004E-5</v>
      </c>
      <c r="D657" t="inlineStr">
        <is>
          <t>kilogram</t>
        </is>
      </c>
      <c r="E657" t="inlineStr">
        <is>
          <t>air::urban air close to ground</t>
        </is>
      </c>
      <c r="F657" t="inlineStr">
        <is>
          <t>biosphere</t>
        </is>
      </c>
      <c r="I657" s="6" t="n">
        <v>312</v>
      </c>
      <c r="J657" s="11">
        <f>J642</f>
        <v>0.54519278210919619</v>
      </c>
      <c r="K657" t="n">
        <v>2</v>
      </c>
      <c r="L657" s="3">
        <f>LN(B657)</f>
        <v>-11.465614815788957</v>
      </c>
      <c r="M657" t="n">
        <v>1</v>
      </c>
      <c r="N657" t="n">
        <v>1</v>
      </c>
      <c r="O657" t="n">
        <v>1</v>
      </c>
      <c r="P657" t="n">
        <v>1.02</v>
      </c>
      <c r="Q657" t="n">
        <v>1.2</v>
      </c>
      <c r="R657" t="n">
        <v>1</v>
      </c>
      <c r="S657" t="n">
        <v>1.05</v>
      </c>
      <c r="T657">
        <f>LN(SQRT(EXP(
SQRT(
+POWER(LN(M657),2)
+POWER(LN(N657),2)
+POWER(LN(O657),2)
+POWER(LN(P657),2)
+POWER(LN(Q657),2)
+POWER(LN(R657),2)
+POWER(LN(S657),2)
)
)))</f>
        <v>9.4886477223156879E-2</v>
      </c>
    </row>
    <row r="658">
      <c r="A658" t="inlineStr">
        <is>
          <t>Hydrochloric acid</t>
        </is>
      </c>
      <c r="B658">
        <f>unallocated!B253/I658*J658</f>
        <v>5.2422382895115019E-6</v>
      </c>
      <c r="D658" t="inlineStr">
        <is>
          <t>kilogram</t>
        </is>
      </c>
      <c r="E658" t="inlineStr">
        <is>
          <t>air</t>
        </is>
      </c>
      <c r="F658" t="inlineStr">
        <is>
          <t>biosphere</t>
        </is>
      </c>
      <c r="I658" s="6" t="n">
        <v>312</v>
      </c>
      <c r="J658" s="11">
        <f>J642</f>
        <v>0.54519278210919619</v>
      </c>
      <c r="K658" t="n">
        <v>2</v>
      </c>
      <c r="L658" s="3">
        <f>LN(B658)</f>
        <v>-12.158761996348902</v>
      </c>
      <c r="M658" t="n">
        <v>1</v>
      </c>
      <c r="N658" t="n">
        <v>1</v>
      </c>
      <c r="O658" t="n">
        <v>1</v>
      </c>
      <c r="P658" t="n">
        <v>1.02</v>
      </c>
      <c r="Q658" t="n">
        <v>1.2</v>
      </c>
      <c r="R658" t="n">
        <v>1</v>
      </c>
      <c r="S658" t="n">
        <v>1.5</v>
      </c>
      <c r="T658">
        <f>LN(SQRT(EXP(
SQRT(
+POWER(LN(M658),2)
+POWER(LN(N658),2)
+POWER(LN(O658),2)
+POWER(LN(P658),2)
+POWER(LN(Q658),2)
+POWER(LN(R658),2)
+POWER(LN(S658),2)
)
)))</f>
        <v>0.22250575723605889</v>
      </c>
    </row>
    <row r="659">
      <c r="A659" t="inlineStr">
        <is>
          <t>Nitrogen oxides</t>
        </is>
      </c>
      <c r="B659">
        <f>unallocated!B254/I659*J659</f>
        <v>1.1829984406664289E-3</v>
      </c>
      <c r="D659" t="inlineStr">
        <is>
          <t>kilogram</t>
        </is>
      </c>
      <c r="E659" t="inlineStr">
        <is>
          <t>air::urban air close to ground</t>
        </is>
      </c>
      <c r="F659" t="inlineStr">
        <is>
          <t>biosphere</t>
        </is>
      </c>
      <c r="I659" s="6" t="n">
        <v>312</v>
      </c>
      <c r="J659" s="11">
        <f>J642</f>
        <v>0.54519278210919619</v>
      </c>
      <c r="K659" t="n">
        <v>2</v>
      </c>
      <c r="L659" s="3">
        <f>LN(B659)</f>
        <v>-6.7397030121047363</v>
      </c>
      <c r="M659" t="n">
        <v>1</v>
      </c>
      <c r="N659" t="n">
        <v>1</v>
      </c>
      <c r="O659" t="n">
        <v>1</v>
      </c>
      <c r="P659" t="n">
        <v>1.02</v>
      </c>
      <c r="Q659" t="n">
        <v>1.2</v>
      </c>
      <c r="R659" t="n">
        <v>1</v>
      </c>
      <c r="S659" t="n">
        <v>1.5</v>
      </c>
      <c r="T659">
        <f>LN(SQRT(EXP(
SQRT(
+POWER(LN(M659),2)
+POWER(LN(N659),2)
+POWER(LN(O659),2)
+POWER(LN(P659),2)
+POWER(LN(Q659),2)
+POWER(LN(R659),2)
+POWER(LN(S659),2)
)
)))</f>
        <v>0.22250575723605889</v>
      </c>
    </row>
    <row r="660">
      <c r="A660" t="inlineStr">
        <is>
          <t>Ammonia</t>
        </is>
      </c>
      <c r="B660">
        <f>unallocated!B255/I660*J660</f>
        <v>3.494825526341001E-5</v>
      </c>
      <c r="D660" t="inlineStr">
        <is>
          <t>kilogram</t>
        </is>
      </c>
      <c r="E660" t="inlineStr">
        <is>
          <t>air::urban air close to ground</t>
        </is>
      </c>
      <c r="F660" t="inlineStr">
        <is>
          <t>biosphere</t>
        </is>
      </c>
      <c r="I660" s="6" t="n">
        <v>312</v>
      </c>
      <c r="J660" s="11">
        <f>J642</f>
        <v>0.54519278210919619</v>
      </c>
      <c r="K660" t="n">
        <v>2</v>
      </c>
      <c r="L660" s="3">
        <f>LN(B660)</f>
        <v>-10.261642011463021</v>
      </c>
      <c r="M660" t="n">
        <v>1</v>
      </c>
      <c r="N660" t="n">
        <v>1</v>
      </c>
      <c r="O660" t="n">
        <v>1</v>
      </c>
      <c r="P660" t="n">
        <v>1.02</v>
      </c>
      <c r="Q660" t="n">
        <v>1.2</v>
      </c>
      <c r="R660" t="n">
        <v>1</v>
      </c>
      <c r="S660" t="n">
        <v>1.5</v>
      </c>
      <c r="T660">
        <f>LN(SQRT(EXP(
SQRT(
+POWER(LN(M660),2)
+POWER(LN(N660),2)
+POWER(LN(O660),2)
+POWER(LN(P660),2)
+POWER(LN(Q660),2)
+POWER(LN(R660),2)
+POWER(LN(S660),2)
)
)))</f>
        <v>0.22250575723605889</v>
      </c>
    </row>
    <row r="661">
      <c r="A661" t="inlineStr">
        <is>
          <t>Particulate Matter, &lt; 2.5 um</t>
        </is>
      </c>
      <c r="B661">
        <f>unallocated!B256/I661*J661</f>
        <v>1.0484476579023004E-5</v>
      </c>
      <c r="D661" t="inlineStr">
        <is>
          <t>kilogram</t>
        </is>
      </c>
      <c r="E661" t="inlineStr">
        <is>
          <t>air::urban air close to ground</t>
        </is>
      </c>
      <c r="F661" t="inlineStr">
        <is>
          <t>biosphere</t>
        </is>
      </c>
      <c r="I661" s="6" t="n">
        <v>312</v>
      </c>
      <c r="J661" s="11">
        <f>J642</f>
        <v>0.54519278210919619</v>
      </c>
      <c r="K661" t="n">
        <v>2</v>
      </c>
      <c r="L661" s="3">
        <f>LN(B661)</f>
        <v>-11.465614815788957</v>
      </c>
      <c r="M661" t="n">
        <v>1</v>
      </c>
      <c r="N661" t="n">
        <v>1</v>
      </c>
      <c r="O661" t="n">
        <v>1</v>
      </c>
      <c r="P661" t="n">
        <v>1.02</v>
      </c>
      <c r="Q661" t="n">
        <v>1.2</v>
      </c>
      <c r="R661" t="n">
        <v>1</v>
      </c>
      <c r="S661" t="n">
        <v>3</v>
      </c>
      <c r="T661">
        <f>LN(SQRT(EXP(
SQRT(
+POWER(LN(M661),2)
+POWER(LN(N661),2)
+POWER(LN(O661),2)
+POWER(LN(P661),2)
+POWER(LN(Q661),2)
+POWER(LN(R661),2)
+POWER(LN(S661),2)
)
)))</f>
        <v>0.5569071410325479</v>
      </c>
    </row>
    <row r="662">
      <c r="A662" t="inlineStr">
        <is>
          <t>Mercury II</t>
        </is>
      </c>
      <c r="B662">
        <f>unallocated!B257/I662*J662</f>
        <v>1.0484476579023004E-8</v>
      </c>
      <c r="D662" t="inlineStr">
        <is>
          <t>kilogram</t>
        </is>
      </c>
      <c r="E662" t="inlineStr">
        <is>
          <t>air::urban air close to ground</t>
        </is>
      </c>
      <c r="F662" t="inlineStr">
        <is>
          <t>biosphere</t>
        </is>
      </c>
      <c r="I662" s="6" t="n">
        <v>312</v>
      </c>
      <c r="J662" s="11">
        <f>J642</f>
        <v>0.54519278210919619</v>
      </c>
      <c r="K662" t="n">
        <v>2</v>
      </c>
      <c r="L662" s="3">
        <f>LN(B662)</f>
        <v>-18.373370094771094</v>
      </c>
      <c r="M662" t="n">
        <v>1</v>
      </c>
      <c r="N662" t="n">
        <v>1</v>
      </c>
      <c r="O662" t="n">
        <v>1</v>
      </c>
      <c r="P662" t="n">
        <v>1.02</v>
      </c>
      <c r="Q662" t="n">
        <v>1.2</v>
      </c>
      <c r="R662" t="n">
        <v>1</v>
      </c>
      <c r="S662" t="n">
        <v>5</v>
      </c>
      <c r="T662">
        <f>LN(SQRT(EXP(
SQRT(
+POWER(LN(M662),2)
+POWER(LN(N662),2)
+POWER(LN(O662),2)
+POWER(LN(P662),2)
+POWER(LN(Q662),2)
+POWER(LN(R662),2)
+POWER(LN(S662),2)
)
)))</f>
        <v>0.80992649174166365</v>
      </c>
    </row>
    <row r="663">
      <c r="A663" t="inlineStr">
        <is>
          <t>Lead II</t>
        </is>
      </c>
      <c r="B663">
        <f>unallocated!B258/I663*J663</f>
        <v>1.0484476579023004E-8</v>
      </c>
      <c r="D663" t="inlineStr">
        <is>
          <t>kilogram</t>
        </is>
      </c>
      <c r="E663" t="inlineStr">
        <is>
          <t>air::urban air close to ground</t>
        </is>
      </c>
      <c r="F663" t="inlineStr">
        <is>
          <t>biosphere</t>
        </is>
      </c>
      <c r="I663" s="6" t="n">
        <v>312</v>
      </c>
      <c r="J663" s="11">
        <f>J642</f>
        <v>0.54519278210919619</v>
      </c>
      <c r="K663" t="n">
        <v>2</v>
      </c>
      <c r="L663" s="3">
        <f>LN(B663)</f>
        <v>-18.373370094771094</v>
      </c>
      <c r="M663" t="n">
        <v>1</v>
      </c>
      <c r="N663" t="n">
        <v>1</v>
      </c>
      <c r="O663" t="n">
        <v>1</v>
      </c>
      <c r="P663" t="n">
        <v>1.02</v>
      </c>
      <c r="Q663" t="n">
        <v>1.2</v>
      </c>
      <c r="R663" t="n">
        <v>1</v>
      </c>
      <c r="S663" t="n">
        <v>5</v>
      </c>
      <c r="T663">
        <f>LN(SQRT(EXP(
SQRT(
+POWER(LN(M663),2)
+POWER(LN(N663),2)
+POWER(LN(O663),2)
+POWER(LN(P663),2)
+POWER(LN(Q663),2)
+POWER(LN(R663),2)
+POWER(LN(S663),2)
)
)))</f>
        <v>0.80992649174166365</v>
      </c>
    </row>
    <row r="664">
      <c r="A664" t="inlineStr">
        <is>
          <t>Cadmium II</t>
        </is>
      </c>
      <c r="B664">
        <f>unallocated!B259/I664*J664</f>
        <v>5.2422382895115018E-9</v>
      </c>
      <c r="D664" t="inlineStr">
        <is>
          <t>kilogram</t>
        </is>
      </c>
      <c r="E664" t="inlineStr">
        <is>
          <t>air::urban air close to ground</t>
        </is>
      </c>
      <c r="F664" t="inlineStr">
        <is>
          <t>biosphere</t>
        </is>
      </c>
      <c r="I664" s="6" t="n">
        <v>312</v>
      </c>
      <c r="J664" s="11">
        <f>J642</f>
        <v>0.54519278210919619</v>
      </c>
      <c r="K664" t="n">
        <v>2</v>
      </c>
      <c r="L664" s="3">
        <f>LN(B664)</f>
        <v>-19.066517275331041</v>
      </c>
      <c r="M664" t="n">
        <v>1</v>
      </c>
      <c r="N664" t="n">
        <v>1</v>
      </c>
      <c r="O664" t="n">
        <v>1</v>
      </c>
      <c r="P664" t="n">
        <v>1.02</v>
      </c>
      <c r="Q664" t="n">
        <v>1.2</v>
      </c>
      <c r="R664" t="n">
        <v>1</v>
      </c>
      <c r="S664" t="n">
        <v>5</v>
      </c>
      <c r="T664">
        <f>LN(SQRT(EXP(
SQRT(
+POWER(LN(M664),2)
+POWER(LN(N664),2)
+POWER(LN(O664),2)
+POWER(LN(P664),2)
+POWER(LN(Q664),2)
+POWER(LN(R664),2)
+POWER(LN(S664),2)
)
)))</f>
        <v>0.80992649174166365</v>
      </c>
    </row>
    <row r="665">
      <c r="A665" t="inlineStr">
        <is>
          <t>Arsenic ion</t>
        </is>
      </c>
      <c r="B665">
        <f>unallocated!B260/I665*J665</f>
        <v>5.2422382895115018E-9</v>
      </c>
      <c r="D665" t="inlineStr">
        <is>
          <t>kilogram</t>
        </is>
      </c>
      <c r="E665" t="inlineStr">
        <is>
          <t>air::urban air close to ground</t>
        </is>
      </c>
      <c r="F665" t="inlineStr">
        <is>
          <t>biosphere</t>
        </is>
      </c>
      <c r="I665" s="6" t="n">
        <v>312</v>
      </c>
      <c r="J665" s="11">
        <f>J642</f>
        <v>0.54519278210919619</v>
      </c>
      <c r="K665" t="n">
        <v>2</v>
      </c>
      <c r="L665" s="3">
        <f>LN(B665)</f>
        <v>-19.066517275331041</v>
      </c>
      <c r="M665" t="n">
        <v>1</v>
      </c>
      <c r="N665" t="n">
        <v>1</v>
      </c>
      <c r="O665" t="n">
        <v>1</v>
      </c>
      <c r="P665" t="n">
        <v>1.02</v>
      </c>
      <c r="Q665" t="n">
        <v>1.2</v>
      </c>
      <c r="R665" t="n">
        <v>1</v>
      </c>
      <c r="S665" t="n">
        <v>5</v>
      </c>
      <c r="T665">
        <f>LN(SQRT(EXP(
SQRT(
+POWER(LN(M665),2)
+POWER(LN(N665),2)
+POWER(LN(O665),2)
+POWER(LN(P665),2)
+POWER(LN(Q665),2)
+POWER(LN(R665),2)
+POWER(LN(S665),2)
)
)))</f>
        <v>0.80992649174166365</v>
      </c>
    </row>
    <row r="666">
      <c r="A666" t="inlineStr">
        <is>
          <t>Dioxins, measured as 2,3,7,8-tetrachlorodibenzo-p-dioxin</t>
        </is>
      </c>
      <c r="B666">
        <f>unallocated!B261/I666*J666</f>
        <v>1.9221540394875507E-13</v>
      </c>
      <c r="D666" t="inlineStr">
        <is>
          <t>kilogram</t>
        </is>
      </c>
      <c r="E666" t="inlineStr">
        <is>
          <t>air::urban air close to ground</t>
        </is>
      </c>
      <c r="F666" t="inlineStr">
        <is>
          <t>biosphere</t>
        </is>
      </c>
      <c r="I666" s="6" t="n">
        <v>312</v>
      </c>
      <c r="J666" s="11">
        <f>J642</f>
        <v>0.54519278210919619</v>
      </c>
      <c r="K666" t="n">
        <v>2</v>
      </c>
      <c r="L666" s="3">
        <f>LN(B666)</f>
        <v>-29.280159756171006</v>
      </c>
      <c r="M666" t="n">
        <v>1</v>
      </c>
      <c r="N666" t="n">
        <v>1</v>
      </c>
      <c r="O666" t="n">
        <v>1</v>
      </c>
      <c r="P666" t="n">
        <v>1.02</v>
      </c>
      <c r="Q666" t="n">
        <v>1.2</v>
      </c>
      <c r="R666" t="n">
        <v>1</v>
      </c>
      <c r="S666" t="n">
        <v>5</v>
      </c>
      <c r="T666">
        <f>LN(SQRT(EXP(
SQRT(
+POWER(LN(M666),2)
+POWER(LN(N666),2)
+POWER(LN(O666),2)
+POWER(LN(P666),2)
+POWER(LN(Q666),2)
+POWER(LN(R666),2)
+POWER(LN(S666),2)
)
)))</f>
        <v>0.80992649174166365</v>
      </c>
    </row>
    <row r="667">
      <c r="A667" t="inlineStr">
        <is>
          <t>Carbon dioxide, fossil</t>
        </is>
      </c>
      <c r="B667">
        <f>unallocated!B262/I667*J667</f>
        <v>9.785511473754803E-2</v>
      </c>
      <c r="D667" t="inlineStr">
        <is>
          <t>kilogram</t>
        </is>
      </c>
      <c r="E667" t="inlineStr">
        <is>
          <t>air::urban air close to ground</t>
        </is>
      </c>
      <c r="F667" t="inlineStr">
        <is>
          <t>biosphere</t>
        </is>
      </c>
      <c r="I667" s="6" t="n">
        <v>312</v>
      </c>
      <c r="J667" s="11">
        <f>J642</f>
        <v>0.54519278210919619</v>
      </c>
      <c r="K667" t="n">
        <v>2</v>
      </c>
      <c r="L667" s="3">
        <f>LN(B667)</f>
        <v>-2.3242673152997253</v>
      </c>
      <c r="M667" t="n">
        <v>1</v>
      </c>
      <c r="N667" t="n">
        <v>1</v>
      </c>
      <c r="O667" t="n">
        <v>1</v>
      </c>
      <c r="P667" t="n">
        <v>1.02</v>
      </c>
      <c r="Q667" t="n">
        <v>1.2</v>
      </c>
      <c r="R667" t="n">
        <v>1</v>
      </c>
      <c r="S667" t="n">
        <v>1.05</v>
      </c>
      <c r="T667">
        <f>LN(SQRT(EXP(
SQRT(
+POWER(LN(M667),2)
+POWER(LN(N667),2)
+POWER(LN(O667),2)
+POWER(LN(P667),2)
+POWER(LN(Q667),2)
+POWER(LN(R667),2)
+POWER(LN(S667),2)
)
)))</f>
        <v>9.4886477223156879E-2</v>
      </c>
    </row>
    <row r="668">
      <c r="A668" t="inlineStr">
        <is>
          <t>Carbon dioxide, non-fossil</t>
        </is>
      </c>
      <c r="B668">
        <f>unallocated!B263/I668*J668</f>
        <v>0.15551973592217455</v>
      </c>
      <c r="D668" t="inlineStr">
        <is>
          <t>kilogram</t>
        </is>
      </c>
      <c r="E668" t="inlineStr">
        <is>
          <t>air::urban air close to ground</t>
        </is>
      </c>
      <c r="F668" t="inlineStr">
        <is>
          <t>biosphere</t>
        </is>
      </c>
      <c r="I668" s="6" t="n">
        <v>312</v>
      </c>
      <c r="J668" s="14">
        <f>J642</f>
        <v>0.54519278210919619</v>
      </c>
      <c r="K668" t="n">
        <v>2</v>
      </c>
      <c r="L668" s="3">
        <f>LN(B668)</f>
        <v>-1.8609826363027349</v>
      </c>
      <c r="M668" t="n">
        <v>1</v>
      </c>
      <c r="N668" t="n">
        <v>1</v>
      </c>
      <c r="O668" t="n">
        <v>1</v>
      </c>
      <c r="P668" t="n">
        <v>1.02</v>
      </c>
      <c r="Q668" t="n">
        <v>1.2</v>
      </c>
      <c r="R668" t="n">
        <v>1</v>
      </c>
      <c r="S668" t="n">
        <v>1.05</v>
      </c>
      <c r="T668">
        <f>LN(SQRT(EXP(
SQRT(
+POWER(LN(M668),2)
+POWER(LN(N668),2)
+POWER(LN(O668),2)
+POWER(LN(P668),2)
+POWER(LN(Q668),2)
+POWER(LN(R668),2)
+POWER(LN(S668),2)
)
)))</f>
        <v>9.4886477223156879E-2</v>
      </c>
    </row>
    <row r="669">
      <c r="A669" t="inlineStr">
        <is>
          <t>Carbon dioxide, in air</t>
        </is>
      </c>
      <c r="B669">
        <f>unallocated!B264/I669*J669</f>
        <v>0.88244344540110287</v>
      </c>
      <c r="D669" t="inlineStr">
        <is>
          <t>kilogram</t>
        </is>
      </c>
      <c r="E669" t="inlineStr">
        <is>
          <t>natural resource::in air</t>
        </is>
      </c>
      <c r="F669" t="inlineStr">
        <is>
          <t>biosphere</t>
        </is>
      </c>
      <c r="H669" t="inlineStr">
        <is>
          <t>To reflect the permanent storage of non-fossil CO.</t>
        </is>
      </c>
      <c r="I669" s="6" t="n">
        <v>312</v>
      </c>
      <c r="J669" s="14">
        <f>J642</f>
        <v>0.54519278210919619</v>
      </c>
      <c r="K669" t="n">
        <v>2</v>
      </c>
      <c r="L669" s="3">
        <f>LN(B669)</f>
        <v>-0.12506057675951474</v>
      </c>
      <c r="M669" t="n">
        <v>1</v>
      </c>
      <c r="N669" t="n">
        <v>1</v>
      </c>
      <c r="O669" t="n">
        <v>1</v>
      </c>
      <c r="P669" t="n">
        <v>1.02</v>
      </c>
      <c r="Q669" t="n">
        <v>1.2</v>
      </c>
      <c r="R669" t="n">
        <v>1</v>
      </c>
      <c r="S669" t="n">
        <v>1.05</v>
      </c>
      <c r="T669">
        <f>LN(SQRT(EXP(
SQRT(
+POWER(LN(M669),2)
+POWER(LN(N669),2)
+POWER(LN(O669),2)
+POWER(LN(P669),2)
+POWER(LN(Q669),2)
+POWER(LN(R669),2)
+POWER(LN(S669),2)
)
)))</f>
        <v>9.4886477223156879E-2</v>
      </c>
    </row>
    <row r="670"/>
    <row r="671">
      <c r="A671" s="1" t="inlineStr">
        <is>
          <t>Activity</t>
        </is>
      </c>
      <c r="B671" s="1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</row>
    <row r="672">
      <c r="A672" t="inlineStr">
        <is>
          <t>location</t>
        </is>
      </c>
      <c r="B672" t="inlineStr">
        <is>
          <t>RER</t>
        </is>
      </c>
    </row>
    <row r="673">
      <c r="A673" t="inlineStr">
        <is>
          <t>production amount</t>
        </is>
      </c>
      <c r="B673" t="n">
        <v>1</v>
      </c>
    </row>
    <row r="674">
      <c r="A674" s="2" t="inlineStr">
        <is>
          <t>source</t>
        </is>
      </c>
      <c r="B674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675">
      <c r="A675" t="inlineStr">
        <is>
          <t>reference product</t>
        </is>
      </c>
      <c r="B675" t="inlineStr">
        <is>
          <t>heat, district or industrial, other than natural gas</t>
        </is>
      </c>
    </row>
    <row r="676">
      <c r="A676" t="inlineStr">
        <is>
          <t>type</t>
        </is>
      </c>
      <c r="B676" t="inlineStr">
        <is>
          <t>process</t>
        </is>
      </c>
    </row>
    <row r="677">
      <c r="A677" t="inlineStr">
        <is>
          <t>unit</t>
        </is>
      </c>
      <c r="B677" t="inlineStr">
        <is>
          <t>megajoule</t>
        </is>
      </c>
    </row>
    <row r="678">
      <c r="A678" t="inlineStr">
        <is>
          <t>comment</t>
        </is>
      </c>
      <c r="B678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Yes. Electricity production per ton MSWI incinerated: 312 kWh. Heat production per ton MSWI incinerated: 7'400 MJ.</t>
        </is>
      </c>
    </row>
    <row r="679">
      <c r="A679" s="1" t="inlineStr">
        <is>
          <t>Exchanges</t>
        </is>
      </c>
    </row>
    <row r="680">
      <c r="A680" s="7" t="inlineStr">
        <is>
          <t>name</t>
        </is>
      </c>
      <c r="B680" s="7" t="inlineStr">
        <is>
          <t>amount</t>
        </is>
      </c>
      <c r="C680" s="7" t="inlineStr">
        <is>
          <t>location</t>
        </is>
      </c>
      <c r="D680" s="7" t="inlineStr">
        <is>
          <t>unit</t>
        </is>
      </c>
      <c r="E680" s="7" t="inlineStr">
        <is>
          <t>categories</t>
        </is>
      </c>
      <c r="F680" s="7" t="inlineStr">
        <is>
          <t>type</t>
        </is>
      </c>
      <c r="G680" s="7" t="inlineStr">
        <is>
          <t>reference product</t>
        </is>
      </c>
      <c r="H680" s="7" t="inlineStr">
        <is>
          <t>comment</t>
        </is>
      </c>
      <c r="I680" s="7" t="inlineStr">
        <is>
          <t>normalization</t>
        </is>
      </c>
      <c r="J680" s="7" t="inlineStr">
        <is>
          <t>allocation</t>
        </is>
      </c>
      <c r="K680" s="7" t="inlineStr">
        <is>
          <t>uncertainty type</t>
        </is>
      </c>
      <c r="L680" s="7" t="inlineStr">
        <is>
          <t>loc</t>
        </is>
      </c>
      <c r="M680" s="1" t="inlineStr">
        <is>
          <t>u1</t>
        </is>
      </c>
      <c r="N680" s="1" t="inlineStr">
        <is>
          <t>u2</t>
        </is>
      </c>
      <c r="O680" s="1" t="inlineStr">
        <is>
          <t>u3</t>
        </is>
      </c>
      <c r="P680" s="1" t="inlineStr">
        <is>
          <t>u4</t>
        </is>
      </c>
      <c r="Q680" s="1" t="inlineStr">
        <is>
          <t>u5</t>
        </is>
      </c>
      <c r="R680" s="1" t="inlineStr">
        <is>
          <t>u6</t>
        </is>
      </c>
      <c r="S680" s="1" t="inlineStr">
        <is>
          <t>ub</t>
        </is>
      </c>
      <c r="T680" s="1" t="inlineStr">
        <is>
          <t>scale</t>
        </is>
      </c>
      <c r="U680" s="1" t="inlineStr">
        <is>
          <t>negative</t>
        </is>
      </c>
    </row>
    <row r="681">
      <c r="A681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B681" t="n">
        <v>0</v>
      </c>
      <c r="C681" t="inlineStr">
        <is>
          <t>RER</t>
        </is>
      </c>
      <c r="D681" t="inlineStr">
        <is>
          <t>kilogram</t>
        </is>
      </c>
      <c r="F681" t="inlineStr">
        <is>
          <t>technosphere</t>
        </is>
      </c>
      <c r="G681" t="inlineStr">
        <is>
          <t>municipal solid waste</t>
        </is>
      </c>
      <c r="H681" t="inlineStr"/>
      <c r="I681" t="n">
        <v>7400</v>
      </c>
      <c r="J681" s="14">
        <f>INDEX('allocation keys'!$I$4:$K$29,MATCH('allocated (exergy)'!$B$671,'allocation keys'!$B$4:$B$28,0),MATCH('allocated (exergy)'!$B$675,'allocation keys'!$I$3:$K$3,0))</f>
        <v>0.45480721789080386</v>
      </c>
      <c r="K681" t="n">
        <v>0</v>
      </c>
      <c r="M681" s="5" t="n"/>
      <c r="N681" s="5" t="n"/>
      <c r="O681" s="5" t="n"/>
      <c r="P681" s="5" t="n"/>
      <c r="Q681" s="5" t="n"/>
      <c r="R681" s="5" t="n"/>
    </row>
    <row r="682">
      <c r="A682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B682" s="6" t="n">
        <v>0</v>
      </c>
      <c r="C682" t="inlineStr">
        <is>
          <t>RER</t>
        </is>
      </c>
      <c r="D682" t="inlineStr">
        <is>
          <t>kilowatt hour</t>
        </is>
      </c>
      <c r="F682" t="inlineStr">
        <is>
          <t>technosphere</t>
        </is>
      </c>
      <c r="G682" t="inlineStr">
        <is>
          <t>electricity, medium voltage</t>
        </is>
      </c>
      <c r="H682" t="inlineStr"/>
      <c r="I682" t="n">
        <v>7400</v>
      </c>
      <c r="J682" s="11">
        <f>J681</f>
        <v>0.45480721789080386</v>
      </c>
      <c r="K682" t="n">
        <v>0</v>
      </c>
      <c r="L682" s="3" t="n"/>
    </row>
    <row r="683">
      <c r="A683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B683" t="n">
        <v>1</v>
      </c>
      <c r="C683" t="inlineStr">
        <is>
          <t>RER</t>
        </is>
      </c>
      <c r="D683" t="inlineStr">
        <is>
          <t>megajoule</t>
        </is>
      </c>
      <c r="F683" t="inlineStr">
        <is>
          <t>production</t>
        </is>
      </c>
      <c r="G683" t="inlineStr">
        <is>
          <t>heat, district or industrial, other than natural gas</t>
        </is>
      </c>
      <c r="H683" t="inlineStr"/>
      <c r="I683" t="n">
        <v>7400</v>
      </c>
      <c r="J683" s="11">
        <f>J681</f>
        <v>0.45480721789080386</v>
      </c>
      <c r="K683" t="n">
        <v>0</v>
      </c>
      <c r="L683" s="3" t="n"/>
    </row>
    <row r="684">
      <c r="A684" t="inlineStr">
        <is>
          <t>market for diesel, low-sulfur</t>
        </is>
      </c>
      <c r="B684">
        <f>unallocated!B240/I684*J684</f>
        <v>5.2241369622592341E-6</v>
      </c>
      <c r="C684" t="inlineStr">
        <is>
          <t>Europe without Switzerland</t>
        </is>
      </c>
      <c r="D684" t="inlineStr">
        <is>
          <t>kilogram</t>
        </is>
      </c>
      <c r="F684" t="inlineStr">
        <is>
          <t>technosphere</t>
        </is>
      </c>
      <c r="G684" t="inlineStr">
        <is>
          <t>diesel, low-sulfur</t>
        </is>
      </c>
      <c r="H684" t="inlineStr">
        <is>
          <t>Diesel density: 0.85 kg/l</t>
        </is>
      </c>
      <c r="I684" t="n">
        <v>7400</v>
      </c>
      <c r="J684" s="11">
        <f>J681</f>
        <v>0.45480721789080386</v>
      </c>
      <c r="K684" t="n">
        <v>2</v>
      </c>
      <c r="L684" s="3">
        <f>LN(B684)</f>
        <v>-12.162220948443469</v>
      </c>
      <c r="M684" t="n">
        <v>1</v>
      </c>
      <c r="N684" t="n">
        <v>1</v>
      </c>
      <c r="O684" t="n">
        <v>1</v>
      </c>
      <c r="P684" t="n">
        <v>1.02</v>
      </c>
      <c r="Q684" t="n">
        <v>1.2</v>
      </c>
      <c r="R684" t="n">
        <v>1</v>
      </c>
      <c r="S684" t="n">
        <v>1.05</v>
      </c>
      <c r="T684">
        <f>LN(SQRT(EXP(
SQRT(
+POWER(LN(M684),2)
+POWER(LN(N684),2)
+POWER(LN(O684),2)
+POWER(LN(P684),2)
+POWER(LN(Q684),2)
+POWER(LN(R684),2)
+POWER(LN(S684),2)
)
)))</f>
        <v>9.4886477223156879E-2</v>
      </c>
    </row>
    <row r="685">
      <c r="A685" t="inlineStr">
        <is>
          <t>market for activated carbon, granular</t>
        </is>
      </c>
      <c r="B685">
        <f>unallocated!B241/I685*J685</f>
        <v>2.4584173940043454E-5</v>
      </c>
      <c r="C685" t="inlineStr">
        <is>
          <t>GLO</t>
        </is>
      </c>
      <c r="D685" t="inlineStr">
        <is>
          <t>kilogram</t>
        </is>
      </c>
      <c r="F685" t="inlineStr">
        <is>
          <t>technosphere</t>
        </is>
      </c>
      <c r="G685" t="inlineStr">
        <is>
          <t>activated carbon, granular</t>
        </is>
      </c>
      <c r="I685" t="n">
        <v>7400</v>
      </c>
      <c r="J685" s="11">
        <f>J681</f>
        <v>0.45480721789080386</v>
      </c>
      <c r="K685" t="n">
        <v>2</v>
      </c>
      <c r="L685" s="3">
        <f>LN(B685)</f>
        <v>-10.613407657825803</v>
      </c>
      <c r="M685" t="n">
        <v>1</v>
      </c>
      <c r="N685" t="n">
        <v>1</v>
      </c>
      <c r="O685" t="n">
        <v>1</v>
      </c>
      <c r="P685" t="n">
        <v>1.02</v>
      </c>
      <c r="Q685" t="n">
        <v>1.2</v>
      </c>
      <c r="R685" t="n">
        <v>1</v>
      </c>
      <c r="S685" t="n">
        <v>1.05</v>
      </c>
      <c r="T685">
        <f>LN(SQRT(EXP(
SQRT(
+POWER(LN(M685),2)
+POWER(LN(N685),2)
+POWER(LN(O685),2)
+POWER(LN(P685),2)
+POWER(LN(Q685),2)
+POWER(LN(R685),2)
+POWER(LN(S685),2)
)
)))</f>
        <v>9.4886477223156879E-2</v>
      </c>
    </row>
    <row r="686">
      <c r="A686" t="inlineStr">
        <is>
          <t>market for ammonia, anhydrous, liquid</t>
        </is>
      </c>
      <c r="B686">
        <f>unallocated!B242/I686*J686</f>
        <v>6.0231226153106455E-5</v>
      </c>
      <c r="C686" t="inlineStr">
        <is>
          <t>RER</t>
        </is>
      </c>
      <c r="D686" t="inlineStr">
        <is>
          <t>kilogram</t>
        </is>
      </c>
      <c r="F686" t="inlineStr">
        <is>
          <t>technosphere</t>
        </is>
      </c>
      <c r="G686" t="inlineStr">
        <is>
          <t>ammonia, anhydrous, liquid</t>
        </is>
      </c>
      <c r="H686" t="inlineStr">
        <is>
          <t>100% liquid ammonia. In original publication, it is dilluated to 23.5% in water. We discount the original value by 75%.</t>
        </is>
      </c>
      <c r="I686" t="n">
        <v>7400</v>
      </c>
      <c r="J686" s="11">
        <f>J681</f>
        <v>0.45480721789080386</v>
      </c>
      <c r="K686" t="n">
        <v>2</v>
      </c>
      <c r="L686" s="3">
        <f>LN(B686)</f>
        <v>-9.7173196332691667</v>
      </c>
      <c r="M686" t="n">
        <v>1</v>
      </c>
      <c r="N686" t="n">
        <v>1</v>
      </c>
      <c r="O686" t="n">
        <v>1</v>
      </c>
      <c r="P686" t="n">
        <v>1.02</v>
      </c>
      <c r="Q686" t="n">
        <v>1.2</v>
      </c>
      <c r="R686" t="n">
        <v>1</v>
      </c>
      <c r="S686" t="n">
        <v>1.05</v>
      </c>
      <c r="T686">
        <f>LN(SQRT(EXP(
SQRT(
+POWER(LN(M686),2)
+POWER(LN(N686),2)
+POWER(LN(O686),2)
+POWER(LN(P686),2)
+POWER(LN(Q686),2)
+POWER(LN(R686),2)
+POWER(LN(S686),2)
)
)))</f>
        <v>9.4886477223156879E-2</v>
      </c>
    </row>
    <row r="687">
      <c r="A687" t="inlineStr">
        <is>
          <t>market for tap water</t>
        </is>
      </c>
      <c r="B687">
        <f>unallocated!B243/I687*J687</f>
        <v>1.8561051324732805E-4</v>
      </c>
      <c r="C687" t="inlineStr">
        <is>
          <t>Europe without Switzerland</t>
        </is>
      </c>
      <c r="D687" t="inlineStr">
        <is>
          <t>kilogram</t>
        </is>
      </c>
      <c r="F687" t="inlineStr">
        <is>
          <t>technosphere</t>
        </is>
      </c>
      <c r="G687" t="inlineStr">
        <is>
          <t>tap water</t>
        </is>
      </c>
      <c r="H687" t="inlineStr">
        <is>
          <t>Used to dilute the ammonia.</t>
        </is>
      </c>
      <c r="I687" t="n">
        <v>7400</v>
      </c>
      <c r="J687" s="11">
        <f>J681</f>
        <v>0.45480721789080386</v>
      </c>
      <c r="K687" t="n">
        <v>2</v>
      </c>
      <c r="L687" s="3">
        <f>LN(B687)</f>
        <v>-8.5918600945648702</v>
      </c>
      <c r="M687" t="n">
        <v>1</v>
      </c>
      <c r="N687" t="n">
        <v>1</v>
      </c>
      <c r="O687" t="n">
        <v>1</v>
      </c>
      <c r="P687" t="n">
        <v>1.02</v>
      </c>
      <c r="Q687" t="n">
        <v>1.2</v>
      </c>
      <c r="R687" t="n">
        <v>1</v>
      </c>
      <c r="S687" t="n">
        <v>1.05</v>
      </c>
      <c r="T687">
        <f>LN(SQRT(EXP(
SQRT(
+POWER(LN(M687),2)
+POWER(LN(N687),2)
+POWER(LN(O687),2)
+POWER(LN(P687),2)
+POWER(LN(Q687),2)
+POWER(LN(R687),2)
+POWER(LN(S687),2)
)
)))</f>
        <v>9.4886477223156879E-2</v>
      </c>
    </row>
    <row r="688">
      <c r="A688" t="inlineStr">
        <is>
          <t>market for calcium carbonate, precipitated</t>
        </is>
      </c>
      <c r="B688">
        <f>unallocated!B244/I688*J688</f>
        <v>0</v>
      </c>
      <c r="C688" t="inlineStr">
        <is>
          <t>RER</t>
        </is>
      </c>
      <c r="D688" t="inlineStr">
        <is>
          <t>kilogram</t>
        </is>
      </c>
      <c r="F688" t="inlineStr">
        <is>
          <t>technosphere</t>
        </is>
      </c>
      <c r="G688" t="inlineStr">
        <is>
          <t>calcium carbonate, precipitated</t>
        </is>
      </c>
      <c r="I688" t="n">
        <v>7400</v>
      </c>
      <c r="J688" s="11">
        <f>J681</f>
        <v>0.45480721789080386</v>
      </c>
      <c r="K688" t="n">
        <v>0</v>
      </c>
      <c r="L688" s="3" t="n"/>
    </row>
    <row r="689">
      <c r="A689" t="inlineStr">
        <is>
          <t>market for iron(III) chloride, without water, in 40% solution state</t>
        </is>
      </c>
      <c r="B689">
        <f>unallocated!B245/I689*J689</f>
        <v>0</v>
      </c>
      <c r="C689" t="inlineStr">
        <is>
          <t>GLO</t>
        </is>
      </c>
      <c r="D689" t="inlineStr">
        <is>
          <t>kilogram</t>
        </is>
      </c>
      <c r="F689" t="inlineStr">
        <is>
          <t>technosphere</t>
        </is>
      </c>
      <c r="G689" t="inlineStr">
        <is>
          <t>iron(III) chloride, without water, in 40% solution state</t>
        </is>
      </c>
      <c r="I689" t="n">
        <v>7400</v>
      </c>
      <c r="J689" s="11">
        <f>J681</f>
        <v>0.45480721789080386</v>
      </c>
      <c r="K689" t="n">
        <v>0</v>
      </c>
      <c r="L689" s="3" t="n"/>
    </row>
    <row r="690">
      <c r="A690" t="inlineStr">
        <is>
          <t>market for lime, hydrated, packed</t>
        </is>
      </c>
      <c r="B690">
        <f>unallocated!B246/I690*J690</f>
        <v>6.1460434850108632E-4</v>
      </c>
      <c r="C690" t="inlineStr">
        <is>
          <t>RER</t>
        </is>
      </c>
      <c r="D690" t="inlineStr">
        <is>
          <t>kilogram</t>
        </is>
      </c>
      <c r="F690" t="inlineStr">
        <is>
          <t>technosphere</t>
        </is>
      </c>
      <c r="G690" t="inlineStr">
        <is>
          <t>lime, hydrated, packed</t>
        </is>
      </c>
      <c r="I690" t="n">
        <v>7400</v>
      </c>
      <c r="J690" s="11">
        <f>J681</f>
        <v>0.45480721789080386</v>
      </c>
      <c r="K690" t="n">
        <v>2</v>
      </c>
      <c r="L690" s="3">
        <f>LN(B690)</f>
        <v>-7.3945318329576022</v>
      </c>
      <c r="M690" t="n">
        <v>1</v>
      </c>
      <c r="N690" t="n">
        <v>1</v>
      </c>
      <c r="O690" t="n">
        <v>1</v>
      </c>
      <c r="P690" t="n">
        <v>1.02</v>
      </c>
      <c r="Q690" t="n">
        <v>1.2</v>
      </c>
      <c r="R690" t="n">
        <v>1</v>
      </c>
      <c r="S690" t="n">
        <v>1.05</v>
      </c>
      <c r="T690">
        <f>LN(SQRT(EXP(
SQRT(
+POWER(LN(M690),2)
+POWER(LN(N690),2)
+POWER(LN(O690),2)
+POWER(LN(P690),2)
+POWER(LN(Q690),2)
+POWER(LN(R690),2)
+POWER(LN(S690),2)
)
)))</f>
        <v>9.4886477223156879E-2</v>
      </c>
    </row>
    <row r="691">
      <c r="A691" t="inlineStr">
        <is>
          <t>market for sodium hydroxide, without water, in 50% solution state</t>
        </is>
      </c>
      <c r="B691">
        <f>unallocated!B247/I691*J691</f>
        <v>1.5365108712527159E-5</v>
      </c>
      <c r="C691" t="inlineStr">
        <is>
          <t>RER</t>
        </is>
      </c>
      <c r="D691" t="inlineStr">
        <is>
          <t>kilogram</t>
        </is>
      </c>
      <c r="F691" t="inlineStr">
        <is>
          <t>technosphere</t>
        </is>
      </c>
      <c r="G691" t="inlineStr">
        <is>
          <t>sodium hydroxide, without water, in 50% solution state</t>
        </is>
      </c>
      <c r="H691" t="inlineStr">
        <is>
          <t>50% liquid ammonia. In original publication, it is dilluated to 27% in water. We discount the original value by 50%.</t>
        </is>
      </c>
      <c r="I691" t="n">
        <v>7400</v>
      </c>
      <c r="J691" s="11">
        <f>J681</f>
        <v>0.45480721789080386</v>
      </c>
      <c r="K691" t="n">
        <v>0</v>
      </c>
      <c r="L691" s="3" t="n"/>
    </row>
    <row r="692">
      <c r="A692" t="inlineStr">
        <is>
          <t>market for monoethanolamine</t>
        </is>
      </c>
      <c r="B692">
        <f>unallocated!B248/I692*J692</f>
        <v>2.4584173940043455E-4</v>
      </c>
      <c r="C692" t="inlineStr">
        <is>
          <t>GLO</t>
        </is>
      </c>
      <c r="D692" t="inlineStr">
        <is>
          <t>kilogram</t>
        </is>
      </c>
      <c r="F692" t="inlineStr">
        <is>
          <t>technosphere</t>
        </is>
      </c>
      <c r="G692" t="inlineStr">
        <is>
          <t>monoethanolamine</t>
        </is>
      </c>
      <c r="I692" t="n">
        <v>7400</v>
      </c>
      <c r="J692" s="11">
        <f>J681</f>
        <v>0.45480721789080386</v>
      </c>
      <c r="K692" t="n">
        <v>0</v>
      </c>
      <c r="L692" s="3" t="n"/>
    </row>
    <row r="693">
      <c r="A693" t="inlineStr">
        <is>
          <t>municipal waste incineration facility construction</t>
        </is>
      </c>
      <c r="B693">
        <f>unallocated!B249/I693*J693</f>
        <v>1.5365108712527157E-11</v>
      </c>
      <c r="C693" t="inlineStr">
        <is>
          <t>CH</t>
        </is>
      </c>
      <c r="D693" t="inlineStr">
        <is>
          <t>unit</t>
        </is>
      </c>
      <c r="F693" t="inlineStr">
        <is>
          <t>technosphere</t>
        </is>
      </c>
      <c r="G693" t="inlineStr">
        <is>
          <t>municipal waste incineration facility</t>
        </is>
      </c>
      <c r="H693" t="inlineStr">
        <is>
          <t>Lifetime: 4'000'000 tons MSWI treated.</t>
        </is>
      </c>
      <c r="I693" t="n">
        <v>7400</v>
      </c>
      <c r="J693" s="11">
        <f>J681</f>
        <v>0.45480721789080386</v>
      </c>
      <c r="K693" t="n">
        <v>2</v>
      </c>
      <c r="L693" s="3">
        <f>LN(B693)</f>
        <v>-24.898921845035812</v>
      </c>
      <c r="M693" t="n">
        <v>1</v>
      </c>
      <c r="N693" t="n">
        <v>1</v>
      </c>
      <c r="O693" t="n">
        <v>1</v>
      </c>
      <c r="P693" t="n">
        <v>1.02</v>
      </c>
      <c r="Q693" t="n">
        <v>1.2</v>
      </c>
      <c r="R693" t="n">
        <v>1</v>
      </c>
      <c r="S693" t="n">
        <v>3</v>
      </c>
      <c r="T693">
        <f>LN(SQRT(EXP(
SQRT(
+POWER(LN(M693),2)
+POWER(LN(N693),2)
+POWER(LN(O693),2)
+POWER(LN(P693),2)
+POWER(LN(Q693),2)
+POWER(LN(R693),2)
+POWER(LN(S693),2)
)
)))</f>
        <v>0.5569071410325479</v>
      </c>
    </row>
    <row r="694">
      <c r="A694" t="inlineStr">
        <is>
          <t>carbon dioxide storage at wood burning power plant 20 MW post, pipeline 200km, storage 1000m</t>
        </is>
      </c>
      <c r="B694">
        <f>unallocated!B250/I694*J694</f>
        <v>5.0581937881639401E-2</v>
      </c>
      <c r="C694" t="inlineStr">
        <is>
          <t>RER</t>
        </is>
      </c>
      <c r="D694" t="inlineStr">
        <is>
          <t>kilogram</t>
        </is>
      </c>
      <c r="F694" t="inlineStr">
        <is>
          <t>technosphere</t>
        </is>
      </c>
      <c r="G694" t="inlineStr">
        <is>
          <t>carbon dioxide storage at wood burning power plant 20 MW post, pipeline 200km, storage 1000m</t>
        </is>
      </c>
      <c r="I694" t="n">
        <v>7400</v>
      </c>
      <c r="J694" s="11">
        <f>J681</f>
        <v>0.45480721789080386</v>
      </c>
      <c r="K694" t="n">
        <v>2</v>
      </c>
      <c r="L694" s="3">
        <f>LN(B694)</f>
        <v>-2.9841607252745779</v>
      </c>
      <c r="M694" t="n">
        <v>1</v>
      </c>
      <c r="N694" t="n">
        <v>1</v>
      </c>
      <c r="O694" t="n">
        <v>1</v>
      </c>
      <c r="P694" t="n">
        <v>1.02</v>
      </c>
      <c r="Q694" t="n">
        <v>1.2</v>
      </c>
      <c r="R694" t="n">
        <v>1</v>
      </c>
      <c r="S694" t="n">
        <v>3</v>
      </c>
      <c r="T694">
        <f>LN(SQRT(EXP(
SQRT(
+POWER(LN(M694),2)
+POWER(LN(N694),2)
+POWER(LN(O694),2)
+POWER(LN(P694),2)
+POWER(LN(Q694),2)
+POWER(LN(R694),2)
+POWER(LN(S694),2)
)
)))</f>
        <v>0.5569071410325479</v>
      </c>
    </row>
    <row r="695">
      <c r="A695" t="inlineStr">
        <is>
          <t>Water, cooling, unspecified natural origin</t>
        </is>
      </c>
      <c r="B695">
        <f>unallocated!B251/I695*J695</f>
        <v>0</v>
      </c>
      <c r="D695" t="inlineStr">
        <is>
          <t>cubic meter</t>
        </is>
      </c>
      <c r="E695" t="inlineStr">
        <is>
          <t>natural resource::in water</t>
        </is>
      </c>
      <c r="F695" t="inlineStr">
        <is>
          <t>biosphere</t>
        </is>
      </c>
      <c r="I695" t="n">
        <v>7400</v>
      </c>
      <c r="J695" s="11">
        <f>J681</f>
        <v>0.45480721789080386</v>
      </c>
      <c r="K695" t="n">
        <v>0</v>
      </c>
      <c r="L695" s="3" t="n"/>
    </row>
    <row r="696">
      <c r="A696" t="inlineStr">
        <is>
          <t>Sulfur dioxide</t>
        </is>
      </c>
      <c r="B696">
        <f>unallocated!B252/I696*J696</f>
        <v>3.6876260910065178E-7</v>
      </c>
      <c r="D696" t="inlineStr">
        <is>
          <t>kilogram</t>
        </is>
      </c>
      <c r="E696" t="inlineStr">
        <is>
          <t>air::urban air close to ground</t>
        </is>
      </c>
      <c r="F696" t="inlineStr">
        <is>
          <t>biosphere</t>
        </is>
      </c>
      <c r="I696" t="n">
        <v>7400</v>
      </c>
      <c r="J696" s="11">
        <f>J681</f>
        <v>0.45480721789080386</v>
      </c>
      <c r="K696" t="n">
        <v>2</v>
      </c>
      <c r="L696" s="3">
        <f>LN(B696)</f>
        <v>-14.81311273570573</v>
      </c>
      <c r="M696" t="n">
        <v>1</v>
      </c>
      <c r="N696" t="n">
        <v>1</v>
      </c>
      <c r="O696" t="n">
        <v>1</v>
      </c>
      <c r="P696" t="n">
        <v>1.02</v>
      </c>
      <c r="Q696" t="n">
        <v>1.2</v>
      </c>
      <c r="R696" t="n">
        <v>1</v>
      </c>
      <c r="S696" t="n">
        <v>1.05</v>
      </c>
      <c r="T696">
        <f>LN(SQRT(EXP(
SQRT(
+POWER(LN(M696),2)
+POWER(LN(N696),2)
+POWER(LN(O696),2)
+POWER(LN(P696),2)
+POWER(LN(Q696),2)
+POWER(LN(R696),2)
+POWER(LN(S696),2)
)
)))</f>
        <v>9.4886477223156879E-2</v>
      </c>
    </row>
    <row r="697">
      <c r="A697" t="inlineStr">
        <is>
          <t>Hydrochloric acid</t>
        </is>
      </c>
      <c r="B697">
        <f>unallocated!B253/I697*J697</f>
        <v>1.8438130455032589E-7</v>
      </c>
      <c r="D697" t="inlineStr">
        <is>
          <t>kilogram</t>
        </is>
      </c>
      <c r="E697" t="inlineStr">
        <is>
          <t>air</t>
        </is>
      </c>
      <c r="F697" t="inlineStr">
        <is>
          <t>biosphere</t>
        </is>
      </c>
      <c r="I697" t="n">
        <v>7400</v>
      </c>
      <c r="J697" s="11">
        <f>J681</f>
        <v>0.45480721789080386</v>
      </c>
      <c r="K697" t="n">
        <v>2</v>
      </c>
      <c r="L697" s="3">
        <f>LN(B697)</f>
        <v>-15.506259916265675</v>
      </c>
      <c r="M697" t="n">
        <v>1</v>
      </c>
      <c r="N697" t="n">
        <v>1</v>
      </c>
      <c r="O697" t="n">
        <v>1</v>
      </c>
      <c r="P697" t="n">
        <v>1.02</v>
      </c>
      <c r="Q697" t="n">
        <v>1.2</v>
      </c>
      <c r="R697" t="n">
        <v>1</v>
      </c>
      <c r="S697" t="n">
        <v>1.5</v>
      </c>
      <c r="T697">
        <f>LN(SQRT(EXP(
SQRT(
+POWER(LN(M697),2)
+POWER(LN(N697),2)
+POWER(LN(O697),2)
+POWER(LN(P697),2)
+POWER(LN(Q697),2)
+POWER(LN(R697),2)
+POWER(LN(S697),2)
)
)))</f>
        <v>0.22250575723605889</v>
      </c>
    </row>
    <row r="698">
      <c r="A698" t="inlineStr">
        <is>
          <t>Nitrogen oxides</t>
        </is>
      </c>
      <c r="B698">
        <f>unallocated!B254/I698*J698</f>
        <v>4.1608714393523544E-5</v>
      </c>
      <c r="D698" t="inlineStr">
        <is>
          <t>kilogram</t>
        </is>
      </c>
      <c r="E698" t="inlineStr">
        <is>
          <t>air::urban air close to ground</t>
        </is>
      </c>
      <c r="F698" t="inlineStr">
        <is>
          <t>biosphere</t>
        </is>
      </c>
      <c r="I698" t="n">
        <v>7400</v>
      </c>
      <c r="J698" s="11">
        <f>J681</f>
        <v>0.45480721789080386</v>
      </c>
      <c r="K698" t="n">
        <v>2</v>
      </c>
      <c r="L698" s="3">
        <f>LN(B698)</f>
        <v>-10.08720093202151</v>
      </c>
      <c r="M698" t="n">
        <v>1</v>
      </c>
      <c r="N698" t="n">
        <v>1</v>
      </c>
      <c r="O698" t="n">
        <v>1</v>
      </c>
      <c r="P698" t="n">
        <v>1.02</v>
      </c>
      <c r="Q698" t="n">
        <v>1.2</v>
      </c>
      <c r="R698" t="n">
        <v>1</v>
      </c>
      <c r="S698" t="n">
        <v>1.5</v>
      </c>
      <c r="T698">
        <f>LN(SQRT(EXP(
SQRT(
+POWER(LN(M698),2)
+POWER(LN(N698),2)
+POWER(LN(O698),2)
+POWER(LN(P698),2)
+POWER(LN(Q698),2)
+POWER(LN(R698),2)
+POWER(LN(S698),2)
)
)))</f>
        <v>0.22250575723605889</v>
      </c>
    </row>
    <row r="699">
      <c r="A699" t="inlineStr">
        <is>
          <t>Ammonia</t>
        </is>
      </c>
      <c r="B699">
        <f>unallocated!B255/I699*J699</f>
        <v>1.2292086970021726E-6</v>
      </c>
      <c r="D699" t="inlineStr">
        <is>
          <t>kilogram</t>
        </is>
      </c>
      <c r="E699" t="inlineStr">
        <is>
          <t>air::urban air close to ground</t>
        </is>
      </c>
      <c r="F699" t="inlineStr">
        <is>
          <t>biosphere</t>
        </is>
      </c>
      <c r="I699" t="n">
        <v>7400</v>
      </c>
      <c r="J699" s="11">
        <f>J681</f>
        <v>0.45480721789080386</v>
      </c>
      <c r="K699" t="n">
        <v>2</v>
      </c>
      <c r="L699" s="3">
        <f>LN(B699)</f>
        <v>-13.609139931379794</v>
      </c>
      <c r="M699" t="n">
        <v>1</v>
      </c>
      <c r="N699" t="n">
        <v>1</v>
      </c>
      <c r="O699" t="n">
        <v>1</v>
      </c>
      <c r="P699" t="n">
        <v>1.02</v>
      </c>
      <c r="Q699" t="n">
        <v>1.2</v>
      </c>
      <c r="R699" t="n">
        <v>1</v>
      </c>
      <c r="S699" t="n">
        <v>1.5</v>
      </c>
      <c r="T699">
        <f>LN(SQRT(EXP(
SQRT(
+POWER(LN(M699),2)
+POWER(LN(N699),2)
+POWER(LN(O699),2)
+POWER(LN(P699),2)
+POWER(LN(Q699),2)
+POWER(LN(R699),2)
+POWER(LN(S699),2)
)
)))</f>
        <v>0.22250575723605889</v>
      </c>
    </row>
    <row r="700">
      <c r="A700" t="inlineStr">
        <is>
          <t>Particulate Matter, &lt; 2.5 um</t>
        </is>
      </c>
      <c r="B700">
        <f>unallocated!B256/I700*J700</f>
        <v>3.6876260910065178E-7</v>
      </c>
      <c r="D700" t="inlineStr">
        <is>
          <t>kilogram</t>
        </is>
      </c>
      <c r="E700" t="inlineStr">
        <is>
          <t>air::urban air close to ground</t>
        </is>
      </c>
      <c r="F700" t="inlineStr">
        <is>
          <t>biosphere</t>
        </is>
      </c>
      <c r="I700" t="n">
        <v>7400</v>
      </c>
      <c r="J700" s="11">
        <f>J681</f>
        <v>0.45480721789080386</v>
      </c>
      <c r="K700" t="n">
        <v>2</v>
      </c>
      <c r="L700" s="3">
        <f>LN(B700)</f>
        <v>-14.81311273570573</v>
      </c>
      <c r="M700" t="n">
        <v>1</v>
      </c>
      <c r="N700" t="n">
        <v>1</v>
      </c>
      <c r="O700" t="n">
        <v>1</v>
      </c>
      <c r="P700" t="n">
        <v>1.02</v>
      </c>
      <c r="Q700" t="n">
        <v>1.2</v>
      </c>
      <c r="R700" t="n">
        <v>1</v>
      </c>
      <c r="S700" t="n">
        <v>3</v>
      </c>
      <c r="T700">
        <f>LN(SQRT(EXP(
SQRT(
+POWER(LN(M700),2)
+POWER(LN(N700),2)
+POWER(LN(O700),2)
+POWER(LN(P700),2)
+POWER(LN(Q700),2)
+POWER(LN(R700),2)
+POWER(LN(S700),2)
)
)))</f>
        <v>0.5569071410325479</v>
      </c>
    </row>
    <row r="701">
      <c r="A701" t="inlineStr">
        <is>
          <t>Mercury II</t>
        </is>
      </c>
      <c r="B701">
        <f>unallocated!B257/I701*J701</f>
        <v>3.6876260910065178E-10</v>
      </c>
      <c r="D701" t="inlineStr">
        <is>
          <t>kilogram</t>
        </is>
      </c>
      <c r="E701" t="inlineStr">
        <is>
          <t>air::urban air close to ground</t>
        </is>
      </c>
      <c r="F701" t="inlineStr">
        <is>
          <t>biosphere</t>
        </is>
      </c>
      <c r="I701" t="n">
        <v>7400</v>
      </c>
      <c r="J701" s="11">
        <f>J681</f>
        <v>0.45480721789080386</v>
      </c>
      <c r="K701" t="n">
        <v>2</v>
      </c>
      <c r="L701" s="3">
        <f>LN(B701)</f>
        <v>-21.720868014687866</v>
      </c>
      <c r="M701" t="n">
        <v>1</v>
      </c>
      <c r="N701" t="n">
        <v>1</v>
      </c>
      <c r="O701" t="n">
        <v>1</v>
      </c>
      <c r="P701" t="n">
        <v>1.02</v>
      </c>
      <c r="Q701" t="n">
        <v>1.2</v>
      </c>
      <c r="R701" t="n">
        <v>1</v>
      </c>
      <c r="S701" t="n">
        <v>5</v>
      </c>
      <c r="T701">
        <f>LN(SQRT(EXP(
SQRT(
+POWER(LN(M701),2)
+POWER(LN(N701),2)
+POWER(LN(O701),2)
+POWER(LN(P701),2)
+POWER(LN(Q701),2)
+POWER(LN(R701),2)
+POWER(LN(S701),2)
)
)))</f>
        <v>0.80992649174166365</v>
      </c>
    </row>
    <row r="702">
      <c r="A702" t="inlineStr">
        <is>
          <t>Lead II</t>
        </is>
      </c>
      <c r="B702">
        <f>unallocated!B258/I702*J702</f>
        <v>3.6876260910065178E-10</v>
      </c>
      <c r="D702" t="inlineStr">
        <is>
          <t>kilogram</t>
        </is>
      </c>
      <c r="E702" t="inlineStr">
        <is>
          <t>air::urban air close to ground</t>
        </is>
      </c>
      <c r="F702" t="inlineStr">
        <is>
          <t>biosphere</t>
        </is>
      </c>
      <c r="I702" t="n">
        <v>7400</v>
      </c>
      <c r="J702" s="11">
        <f>J681</f>
        <v>0.45480721789080386</v>
      </c>
      <c r="K702" t="n">
        <v>2</v>
      </c>
      <c r="L702" s="3">
        <f>LN(B702)</f>
        <v>-21.720868014687866</v>
      </c>
      <c r="M702" t="n">
        <v>1</v>
      </c>
      <c r="N702" t="n">
        <v>1</v>
      </c>
      <c r="O702" t="n">
        <v>1</v>
      </c>
      <c r="P702" t="n">
        <v>1.02</v>
      </c>
      <c r="Q702" t="n">
        <v>1.2</v>
      </c>
      <c r="R702" t="n">
        <v>1</v>
      </c>
      <c r="S702" t="n">
        <v>5</v>
      </c>
      <c r="T702">
        <f>LN(SQRT(EXP(
SQRT(
+POWER(LN(M702),2)
+POWER(LN(N702),2)
+POWER(LN(O702),2)
+POWER(LN(P702),2)
+POWER(LN(Q702),2)
+POWER(LN(R702),2)
+POWER(LN(S702),2)
)
)))</f>
        <v>0.80992649174166365</v>
      </c>
    </row>
    <row r="703">
      <c r="A703" t="inlineStr">
        <is>
          <t>Cadmium II</t>
        </is>
      </c>
      <c r="B703">
        <f>unallocated!B259/I703*J703</f>
        <v>1.8438130455032589E-10</v>
      </c>
      <c r="D703" t="inlineStr">
        <is>
          <t>kilogram</t>
        </is>
      </c>
      <c r="E703" t="inlineStr">
        <is>
          <t>air::urban air close to ground</t>
        </is>
      </c>
      <c r="F703" t="inlineStr">
        <is>
          <t>biosphere</t>
        </is>
      </c>
      <c r="I703" t="n">
        <v>7400</v>
      </c>
      <c r="J703" s="11">
        <f>J681</f>
        <v>0.45480721789080386</v>
      </c>
      <c r="K703" t="n">
        <v>2</v>
      </c>
      <c r="L703" s="3">
        <f>LN(B703)</f>
        <v>-22.414015195247813</v>
      </c>
      <c r="M703" t="n">
        <v>1</v>
      </c>
      <c r="N703" t="n">
        <v>1</v>
      </c>
      <c r="O703" t="n">
        <v>1</v>
      </c>
      <c r="P703" t="n">
        <v>1.02</v>
      </c>
      <c r="Q703" t="n">
        <v>1.2</v>
      </c>
      <c r="R703" t="n">
        <v>1</v>
      </c>
      <c r="S703" t="n">
        <v>5</v>
      </c>
      <c r="T703">
        <f>LN(SQRT(EXP(
SQRT(
+POWER(LN(M703),2)
+POWER(LN(N703),2)
+POWER(LN(O703),2)
+POWER(LN(P703),2)
+POWER(LN(Q703),2)
+POWER(LN(R703),2)
+POWER(LN(S703),2)
)
)))</f>
        <v>0.80992649174166365</v>
      </c>
    </row>
    <row r="704">
      <c r="A704" t="inlineStr">
        <is>
          <t>Arsenic ion</t>
        </is>
      </c>
      <c r="B704">
        <f>unallocated!B260/I704*J704</f>
        <v>1.8438130455032589E-10</v>
      </c>
      <c r="D704" t="inlineStr">
        <is>
          <t>kilogram</t>
        </is>
      </c>
      <c r="E704" t="inlineStr">
        <is>
          <t>air::urban air close to ground</t>
        </is>
      </c>
      <c r="F704" t="inlineStr">
        <is>
          <t>biosphere</t>
        </is>
      </c>
      <c r="I704" t="n">
        <v>7400</v>
      </c>
      <c r="J704" s="11">
        <f>J681</f>
        <v>0.45480721789080386</v>
      </c>
      <c r="K704" t="n">
        <v>2</v>
      </c>
      <c r="L704" s="3">
        <f>LN(B704)</f>
        <v>-22.414015195247813</v>
      </c>
      <c r="M704" t="n">
        <v>1</v>
      </c>
      <c r="N704" t="n">
        <v>1</v>
      </c>
      <c r="O704" t="n">
        <v>1</v>
      </c>
      <c r="P704" t="n">
        <v>1.02</v>
      </c>
      <c r="Q704" t="n">
        <v>1.2</v>
      </c>
      <c r="R704" t="n">
        <v>1</v>
      </c>
      <c r="S704" t="n">
        <v>5</v>
      </c>
      <c r="T704">
        <f>LN(SQRT(EXP(
SQRT(
+POWER(LN(M704),2)
+POWER(LN(N704),2)
+POWER(LN(O704),2)
+POWER(LN(P704),2)
+POWER(LN(Q704),2)
+POWER(LN(R704),2)
+POWER(LN(S704),2)
)
)))</f>
        <v>0.80992649174166365</v>
      </c>
    </row>
    <row r="705">
      <c r="A705" t="inlineStr">
        <is>
          <t>Dioxins, measured as 2,3,7,8-tetrachlorodibenzo-p-dioxin</t>
        </is>
      </c>
      <c r="B705">
        <f>unallocated!B261/I705*J705</f>
        <v>6.7606478335119491E-15</v>
      </c>
      <c r="D705" t="inlineStr">
        <is>
          <t>kilogram</t>
        </is>
      </c>
      <c r="E705" t="inlineStr">
        <is>
          <t>air::urban air close to ground</t>
        </is>
      </c>
      <c r="F705" t="inlineStr">
        <is>
          <t>biosphere</t>
        </is>
      </c>
      <c r="I705" t="n">
        <v>7400</v>
      </c>
      <c r="J705" s="11">
        <f>J681</f>
        <v>0.45480721789080386</v>
      </c>
      <c r="K705" t="n">
        <v>2</v>
      </c>
      <c r="L705" s="3">
        <f>LN(B705)</f>
        <v>-32.627657676087779</v>
      </c>
      <c r="M705" t="n">
        <v>1</v>
      </c>
      <c r="N705" t="n">
        <v>1</v>
      </c>
      <c r="O705" t="n">
        <v>1</v>
      </c>
      <c r="P705" t="n">
        <v>1.02</v>
      </c>
      <c r="Q705" t="n">
        <v>1.2</v>
      </c>
      <c r="R705" t="n">
        <v>1</v>
      </c>
      <c r="S705" t="n">
        <v>5</v>
      </c>
      <c r="T705">
        <f>LN(SQRT(EXP(
SQRT(
+POWER(LN(M705),2)
+POWER(LN(N705),2)
+POWER(LN(O705),2)
+POWER(LN(P705),2)
+POWER(LN(Q705),2)
+POWER(LN(R705),2)
+POWER(LN(S705),2)
)
)))</f>
        <v>0.80992649174166365</v>
      </c>
    </row>
    <row r="706">
      <c r="A706" t="inlineStr">
        <is>
          <t>Carbon dioxide, fossil</t>
        </is>
      </c>
      <c r="B706">
        <f>unallocated!B262/I706*J706</f>
        <v>3.441784351606083E-3</v>
      </c>
      <c r="D706" t="inlineStr">
        <is>
          <t>kilogram</t>
        </is>
      </c>
      <c r="E706" t="inlineStr">
        <is>
          <t>air::urban air close to ground</t>
        </is>
      </c>
      <c r="F706" t="inlineStr">
        <is>
          <t>biosphere</t>
        </is>
      </c>
      <c r="I706" t="n">
        <v>7400</v>
      </c>
      <c r="J706" s="11">
        <f>J681</f>
        <v>0.45480721789080386</v>
      </c>
      <c r="K706" t="n">
        <v>2</v>
      </c>
      <c r="L706" s="3">
        <f>LN(B706)</f>
        <v>-5.6717652352164984</v>
      </c>
      <c r="M706" t="n">
        <v>1</v>
      </c>
      <c r="N706" t="n">
        <v>1</v>
      </c>
      <c r="O706" t="n">
        <v>1</v>
      </c>
      <c r="P706" t="n">
        <v>1.02</v>
      </c>
      <c r="Q706" t="n">
        <v>1.2</v>
      </c>
      <c r="R706" t="n">
        <v>1</v>
      </c>
      <c r="S706" t="n">
        <v>1.05</v>
      </c>
      <c r="T706">
        <f>LN(SQRT(EXP(
SQRT(
+POWER(LN(M706),2)
+POWER(LN(N706),2)
+POWER(LN(O706),2)
+POWER(LN(P706),2)
+POWER(LN(Q706),2)
+POWER(LN(R706),2)
+POWER(LN(S706),2)
)
)))</f>
        <v>9.4886477223156879E-2</v>
      </c>
    </row>
    <row r="707">
      <c r="A707" t="inlineStr">
        <is>
          <t>Carbon dioxide, non-fossil</t>
        </is>
      </c>
      <c r="B707">
        <f>unallocated!B263/I707*J707</f>
        <v>5.4699787016596682E-3</v>
      </c>
      <c r="D707" t="inlineStr">
        <is>
          <t>kilogram</t>
        </is>
      </c>
      <c r="E707" t="inlineStr">
        <is>
          <t>air::urban air close to ground</t>
        </is>
      </c>
      <c r="F707" t="inlineStr">
        <is>
          <t>biosphere</t>
        </is>
      </c>
      <c r="I707" t="n">
        <v>7400</v>
      </c>
      <c r="J707" s="14">
        <f>J681</f>
        <v>0.45480721789080386</v>
      </c>
      <c r="K707" t="n">
        <v>2</v>
      </c>
      <c r="L707" s="3">
        <f>LN(B707)</f>
        <v>-5.2084805562195076</v>
      </c>
      <c r="M707" t="n">
        <v>1</v>
      </c>
      <c r="N707" t="n">
        <v>1</v>
      </c>
      <c r="O707" t="n">
        <v>1</v>
      </c>
      <c r="P707" t="n">
        <v>1.02</v>
      </c>
      <c r="Q707" t="n">
        <v>1.2</v>
      </c>
      <c r="R707" t="n">
        <v>1</v>
      </c>
      <c r="S707" t="n">
        <v>1.05</v>
      </c>
      <c r="T707">
        <f>LN(SQRT(EXP(
SQRT(
+POWER(LN(M707),2)
+POWER(LN(N707),2)
+POWER(LN(O707),2)
+POWER(LN(P707),2)
+POWER(LN(Q707),2)
+POWER(LN(R707),2)
+POWER(LN(S707),2)
)
)))</f>
        <v>9.4886477223156879E-2</v>
      </c>
    </row>
    <row r="708">
      <c r="A708" t="inlineStr">
        <is>
          <t>Carbon dioxide, in air</t>
        </is>
      </c>
      <c r="B708">
        <f>unallocated!B264/I708*J708</f>
        <v>3.1037519599304855E-2</v>
      </c>
      <c r="D708" t="inlineStr">
        <is>
          <t>kilogram</t>
        </is>
      </c>
      <c r="E708" t="inlineStr">
        <is>
          <t>natural resource::in air</t>
        </is>
      </c>
      <c r="F708" t="inlineStr">
        <is>
          <t>biosphere</t>
        </is>
      </c>
      <c r="H708" t="inlineStr">
        <is>
          <t>To reflect the permanent storage of non-fossil CO.</t>
        </is>
      </c>
      <c r="I708" t="n">
        <v>7400</v>
      </c>
      <c r="J708" s="14">
        <f>J681</f>
        <v>0.45480721789080386</v>
      </c>
      <c r="K708" t="n">
        <v>2</v>
      </c>
      <c r="L708" s="3">
        <f>LN(B708)</f>
        <v>-3.4725584966762879</v>
      </c>
      <c r="M708" t="n">
        <v>1</v>
      </c>
      <c r="N708" t="n">
        <v>1</v>
      </c>
      <c r="O708" t="n">
        <v>1</v>
      </c>
      <c r="P708" t="n">
        <v>1.02</v>
      </c>
      <c r="Q708" t="n">
        <v>1.2</v>
      </c>
      <c r="R708" t="n">
        <v>1</v>
      </c>
      <c r="S708" t="n">
        <v>1.05</v>
      </c>
      <c r="T708">
        <f>LN(SQRT(EXP(
SQRT(
+POWER(LN(M708),2)
+POWER(LN(N708),2)
+POWER(LN(O708),2)
+POWER(LN(P708),2)
+POWER(LN(Q708),2)
+POWER(LN(R708),2)
+POWER(LN(S708),2)
)
)))</f>
        <v>9.4886477223156879E-2</v>
      </c>
    </row>
    <row r="709"/>
    <row r="710">
      <c r="A710" s="1" t="inlineStr">
        <is>
          <t>Activity</t>
        </is>
      </c>
      <c r="B710" s="1" t="inlineStr">
        <is>
          <t>municipal waste incineration, at incineration plant, with wet air pollution control, with flue gas condensation, with electricity and heat recovery, with carbon capture and storage, exergy allocation</t>
        </is>
      </c>
    </row>
    <row r="711">
      <c r="A711" t="inlineStr">
        <is>
          <t>location</t>
        </is>
      </c>
      <c r="B711" t="inlineStr">
        <is>
          <t>RER</t>
        </is>
      </c>
    </row>
    <row r="712">
      <c r="A712" t="inlineStr">
        <is>
          <t>production amount</t>
        </is>
      </c>
      <c r="B712" t="n">
        <v>1</v>
      </c>
    </row>
    <row r="713">
      <c r="A713" s="2" t="inlineStr">
        <is>
          <t>source</t>
        </is>
      </c>
      <c r="B713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14">
      <c r="A714" t="inlineStr">
        <is>
          <t>reference product</t>
        </is>
      </c>
      <c r="B714" t="inlineStr">
        <is>
          <t>municipal solid waste</t>
        </is>
      </c>
    </row>
    <row r="715">
      <c r="A715" t="inlineStr">
        <is>
          <t>type</t>
        </is>
      </c>
      <c r="B715" t="inlineStr">
        <is>
          <t>process</t>
        </is>
      </c>
    </row>
    <row r="716">
      <c r="A716" t="inlineStr">
        <is>
          <t>unit</t>
        </is>
      </c>
      <c r="B716" t="inlineStr">
        <is>
          <t>kilogram</t>
        </is>
      </c>
    </row>
    <row r="717">
      <c r="A717" t="inlineStr">
        <is>
          <t>comment</t>
        </is>
      </c>
      <c r="B717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718">
      <c r="A718" s="1" t="inlineStr">
        <is>
          <t>Exchanges</t>
        </is>
      </c>
    </row>
    <row r="719">
      <c r="A719" s="7" t="inlineStr">
        <is>
          <t>name</t>
        </is>
      </c>
      <c r="B719" s="7" t="inlineStr">
        <is>
          <t>amount</t>
        </is>
      </c>
      <c r="C719" s="7" t="inlineStr">
        <is>
          <t>location</t>
        </is>
      </c>
      <c r="D719" s="7" t="inlineStr">
        <is>
          <t>unit</t>
        </is>
      </c>
      <c r="E719" s="7" t="inlineStr">
        <is>
          <t>categories</t>
        </is>
      </c>
      <c r="F719" s="7" t="inlineStr">
        <is>
          <t>type</t>
        </is>
      </c>
      <c r="G719" s="7" t="inlineStr">
        <is>
          <t>reference product</t>
        </is>
      </c>
      <c r="H719" s="7" t="inlineStr">
        <is>
          <t>comment</t>
        </is>
      </c>
      <c r="I719" s="7" t="inlineStr">
        <is>
          <t>normalization</t>
        </is>
      </c>
      <c r="J719" s="7" t="inlineStr">
        <is>
          <t>allocation</t>
        </is>
      </c>
      <c r="K719" s="7" t="inlineStr">
        <is>
          <t>uncertainty type</t>
        </is>
      </c>
      <c r="L719" s="7" t="inlineStr">
        <is>
          <t>loc</t>
        </is>
      </c>
      <c r="M719" s="1" t="inlineStr">
        <is>
          <t>u1</t>
        </is>
      </c>
      <c r="N719" s="1" t="inlineStr">
        <is>
          <t>u2</t>
        </is>
      </c>
      <c r="O719" s="1" t="inlineStr">
        <is>
          <t>u3</t>
        </is>
      </c>
      <c r="P719" s="1" t="inlineStr">
        <is>
          <t>u4</t>
        </is>
      </c>
      <c r="Q719" s="1" t="inlineStr">
        <is>
          <t>u5</t>
        </is>
      </c>
      <c r="R719" s="1" t="inlineStr">
        <is>
          <t>u6</t>
        </is>
      </c>
      <c r="S719" s="1" t="inlineStr">
        <is>
          <t>ub</t>
        </is>
      </c>
      <c r="T719" s="1" t="inlineStr">
        <is>
          <t>scale</t>
        </is>
      </c>
      <c r="U719" s="1" t="inlineStr">
        <is>
          <t>negative</t>
        </is>
      </c>
    </row>
    <row r="720">
      <c r="A720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B720" t="n">
        <v>1</v>
      </c>
      <c r="C720" t="inlineStr">
        <is>
          <t>RER</t>
        </is>
      </c>
      <c r="D720" t="inlineStr">
        <is>
          <t>kilogram</t>
        </is>
      </c>
      <c r="F720" t="inlineStr">
        <is>
          <t>production</t>
        </is>
      </c>
      <c r="G720" t="inlineStr">
        <is>
          <t>municipal solid waste</t>
        </is>
      </c>
      <c r="H720" t="inlineStr"/>
      <c r="I720" t="n">
        <v>1000</v>
      </c>
      <c r="J720" s="14">
        <f>INDEX('allocation keys'!$I$4:$K$29,MATCH('allocated (exergy)'!$B$710,'allocation keys'!$B$4:$B$28,0),MATCH('allocated (exergy)'!$B$714,'allocation keys'!$I$3:$K$3,0))</f>
        <v>0</v>
      </c>
      <c r="K720" t="n">
        <v>0</v>
      </c>
      <c r="M720" s="5" t="n"/>
      <c r="N720" s="5" t="n"/>
      <c r="O720" s="5" t="n"/>
      <c r="P720" s="5" t="n"/>
      <c r="Q720" s="5" t="n"/>
      <c r="R720" s="5" t="n"/>
    </row>
    <row r="721">
      <c r="A721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B721" s="6" t="n">
        <v>0</v>
      </c>
      <c r="C721" t="inlineStr">
        <is>
          <t>RER</t>
        </is>
      </c>
      <c r="D721" t="inlineStr">
        <is>
          <t>kilowatt hour</t>
        </is>
      </c>
      <c r="F721" t="inlineStr">
        <is>
          <t>technosphere</t>
        </is>
      </c>
      <c r="G721" t="inlineStr">
        <is>
          <t>electricity, medium voltage</t>
        </is>
      </c>
      <c r="H721" t="inlineStr"/>
      <c r="I721" t="n">
        <v>1000</v>
      </c>
      <c r="J721" s="11">
        <f>J720</f>
        <v>0</v>
      </c>
      <c r="K721" t="n">
        <v>0</v>
      </c>
      <c r="L721" s="3" t="n"/>
    </row>
    <row r="722">
      <c r="A722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B722" t="n">
        <v>0</v>
      </c>
      <c r="C722" t="inlineStr">
        <is>
          <t>RER</t>
        </is>
      </c>
      <c r="D722" t="inlineStr">
        <is>
          <t>megajoule</t>
        </is>
      </c>
      <c r="F722" t="inlineStr">
        <is>
          <t>technosphere</t>
        </is>
      </c>
      <c r="G722" t="inlineStr">
        <is>
          <t>heat, district or industrial, other than natural gas</t>
        </is>
      </c>
      <c r="H722" t="inlineStr"/>
      <c r="I722" t="n">
        <v>1000</v>
      </c>
      <c r="J722" s="11">
        <f>J720</f>
        <v>0</v>
      </c>
      <c r="K722" t="n">
        <v>0</v>
      </c>
      <c r="L722" s="3" t="n"/>
    </row>
    <row r="723">
      <c r="A723" t="inlineStr">
        <is>
          <t>market for diesel, low-sulfur</t>
        </is>
      </c>
      <c r="B723">
        <f>unallocated!B279/I723*J723</f>
        <v>0</v>
      </c>
      <c r="C723" t="inlineStr">
        <is>
          <t>Europe without Switzerland</t>
        </is>
      </c>
      <c r="D723" t="inlineStr">
        <is>
          <t>kilogram</t>
        </is>
      </c>
      <c r="F723" t="inlineStr">
        <is>
          <t>technosphere</t>
        </is>
      </c>
      <c r="G723" t="inlineStr">
        <is>
          <t>diesel, low-sulfur</t>
        </is>
      </c>
      <c r="H723" t="inlineStr">
        <is>
          <t>Diesel density: 0.85 kg/l</t>
        </is>
      </c>
      <c r="I723" t="n">
        <v>1000</v>
      </c>
      <c r="J723" s="11">
        <f>J720</f>
        <v>0</v>
      </c>
      <c r="K723" t="n">
        <v>0</v>
      </c>
      <c r="L723" s="3" t="n"/>
    </row>
    <row r="724">
      <c r="A724" t="inlineStr">
        <is>
          <t>market for activated carbon, granular</t>
        </is>
      </c>
      <c r="B724">
        <f>unallocated!B280/I724*J724</f>
        <v>0</v>
      </c>
      <c r="C724" t="inlineStr">
        <is>
          <t>GLO</t>
        </is>
      </c>
      <c r="D724" t="inlineStr">
        <is>
          <t>kilogram</t>
        </is>
      </c>
      <c r="F724" t="inlineStr">
        <is>
          <t>technosphere</t>
        </is>
      </c>
      <c r="G724" t="inlineStr">
        <is>
          <t>activated carbon, granular</t>
        </is>
      </c>
      <c r="I724" t="n">
        <v>1000</v>
      </c>
      <c r="J724" s="11">
        <f>J720</f>
        <v>0</v>
      </c>
      <c r="K724" t="n">
        <v>0</v>
      </c>
      <c r="L724" s="3" t="n"/>
    </row>
    <row r="725">
      <c r="A725" t="inlineStr">
        <is>
          <t>market for ammonia, anhydrous, liquid</t>
        </is>
      </c>
      <c r="B725">
        <f>unallocated!B281/I725*J725</f>
        <v>0</v>
      </c>
      <c r="C725" t="inlineStr">
        <is>
          <t>RER</t>
        </is>
      </c>
      <c r="D725" t="inlineStr">
        <is>
          <t>kilogram</t>
        </is>
      </c>
      <c r="F725" t="inlineStr">
        <is>
          <t>technosphere</t>
        </is>
      </c>
      <c r="G725" t="inlineStr">
        <is>
          <t>ammonia, anhydrous, liquid</t>
        </is>
      </c>
      <c r="H725" t="inlineStr">
        <is>
          <t>100% liquid ammonia. In original publication, it is dilluated to 23.5% in water. We discount the original value by 75%.</t>
        </is>
      </c>
      <c r="I725" t="n">
        <v>1000</v>
      </c>
      <c r="J725" s="11">
        <f>J720</f>
        <v>0</v>
      </c>
      <c r="K725" t="n">
        <v>0</v>
      </c>
      <c r="L725" s="3" t="n"/>
    </row>
    <row r="726">
      <c r="A726" t="inlineStr">
        <is>
          <t>market for tap water</t>
        </is>
      </c>
      <c r="B726">
        <f>unallocated!B282/I726*J726</f>
        <v>0</v>
      </c>
      <c r="C726" t="inlineStr">
        <is>
          <t>Europe without Switzerland</t>
        </is>
      </c>
      <c r="D726" t="inlineStr">
        <is>
          <t>kilogram</t>
        </is>
      </c>
      <c r="F726" t="inlineStr">
        <is>
          <t>technosphere</t>
        </is>
      </c>
      <c r="G726" t="inlineStr">
        <is>
          <t>tap water</t>
        </is>
      </c>
      <c r="H726" t="inlineStr">
        <is>
          <t>Used to dilute the ammonia.</t>
        </is>
      </c>
      <c r="I726" t="n">
        <v>1000</v>
      </c>
      <c r="J726" s="11">
        <f>J720</f>
        <v>0</v>
      </c>
      <c r="K726" t="n">
        <v>0</v>
      </c>
      <c r="L726" s="3" t="n"/>
    </row>
    <row r="727">
      <c r="A727" t="inlineStr">
        <is>
          <t>market for calcium carbonate, precipitated</t>
        </is>
      </c>
      <c r="B727">
        <f>unallocated!B283/I727*J727</f>
        <v>0</v>
      </c>
      <c r="C727" t="inlineStr">
        <is>
          <t>RER</t>
        </is>
      </c>
      <c r="D727" t="inlineStr">
        <is>
          <t>kilogram</t>
        </is>
      </c>
      <c r="F727" t="inlineStr">
        <is>
          <t>technosphere</t>
        </is>
      </c>
      <c r="G727" t="inlineStr">
        <is>
          <t>calcium carbonate, precipitated</t>
        </is>
      </c>
      <c r="I727" t="n">
        <v>1000</v>
      </c>
      <c r="J727" s="11">
        <f>J720</f>
        <v>0</v>
      </c>
      <c r="K727" t="n">
        <v>0</v>
      </c>
      <c r="L727" s="3" t="n"/>
    </row>
    <row r="728">
      <c r="A728" t="inlineStr">
        <is>
          <t>market for iron(III) chloride, without water, in 40% solution state</t>
        </is>
      </c>
      <c r="B728">
        <f>unallocated!B284/I728*J728</f>
        <v>0</v>
      </c>
      <c r="C728" t="inlineStr">
        <is>
          <t>GLO</t>
        </is>
      </c>
      <c r="D728" t="inlineStr">
        <is>
          <t>kilogram</t>
        </is>
      </c>
      <c r="F728" t="inlineStr">
        <is>
          <t>technosphere</t>
        </is>
      </c>
      <c r="G728" t="inlineStr">
        <is>
          <t>iron(III) chloride, without water, in 40% solution state</t>
        </is>
      </c>
      <c r="I728" t="n">
        <v>1000</v>
      </c>
      <c r="J728" s="11">
        <f>J720</f>
        <v>0</v>
      </c>
      <c r="K728" t="n">
        <v>0</v>
      </c>
      <c r="L728" s="3" t="n"/>
    </row>
    <row r="729">
      <c r="A729" t="inlineStr">
        <is>
          <t>market for lime, hydrated, packed</t>
        </is>
      </c>
      <c r="B729">
        <f>unallocated!B285/I729*J729</f>
        <v>0</v>
      </c>
      <c r="C729" t="inlineStr">
        <is>
          <t>RER</t>
        </is>
      </c>
      <c r="D729" t="inlineStr">
        <is>
          <t>kilogram</t>
        </is>
      </c>
      <c r="F729" t="inlineStr">
        <is>
          <t>technosphere</t>
        </is>
      </c>
      <c r="G729" t="inlineStr">
        <is>
          <t>lime, hydrated, packed</t>
        </is>
      </c>
      <c r="I729" t="n">
        <v>1000</v>
      </c>
      <c r="J729" s="11">
        <f>J720</f>
        <v>0</v>
      </c>
      <c r="K729" t="n">
        <v>0</v>
      </c>
      <c r="L729" s="3" t="n"/>
    </row>
    <row r="730">
      <c r="A730" t="inlineStr">
        <is>
          <t>market for sodium hydroxide, without water, in 50% solution state</t>
        </is>
      </c>
      <c r="B730">
        <f>unallocated!B286/I730*J730</f>
        <v>0</v>
      </c>
      <c r="C730" t="inlineStr">
        <is>
          <t>RER</t>
        </is>
      </c>
      <c r="D730" t="inlineStr">
        <is>
          <t>kilogram</t>
        </is>
      </c>
      <c r="F730" t="inlineStr">
        <is>
          <t>technosphere</t>
        </is>
      </c>
      <c r="G730" t="inlineStr">
        <is>
          <t>sodium hydroxide, without water, in 50% solution state</t>
        </is>
      </c>
      <c r="H730" t="inlineStr">
        <is>
          <t>50% liquid ammonia. In original publication, it is dilluated to 27% in water. We discount the original value by 50%.</t>
        </is>
      </c>
      <c r="I730" t="n">
        <v>1000</v>
      </c>
      <c r="J730" s="11">
        <f>J720</f>
        <v>0</v>
      </c>
      <c r="K730" t="n">
        <v>0</v>
      </c>
      <c r="L730" s="3" t="n"/>
    </row>
    <row r="731">
      <c r="A731" t="inlineStr">
        <is>
          <t>market for monoethanolamine</t>
        </is>
      </c>
      <c r="B731">
        <f>unallocated!B287/I731*J731</f>
        <v>0</v>
      </c>
      <c r="C731" t="inlineStr">
        <is>
          <t>GLO</t>
        </is>
      </c>
      <c r="D731" t="inlineStr">
        <is>
          <t>kilogram</t>
        </is>
      </c>
      <c r="F731" t="inlineStr">
        <is>
          <t>technosphere</t>
        </is>
      </c>
      <c r="G731" t="inlineStr">
        <is>
          <t>monoethanolamine</t>
        </is>
      </c>
      <c r="I731" t="n">
        <v>1000</v>
      </c>
      <c r="J731" s="11">
        <f>J720</f>
        <v>0</v>
      </c>
      <c r="K731" t="n">
        <v>0</v>
      </c>
      <c r="L731" s="3" t="n"/>
    </row>
    <row r="732">
      <c r="A732" t="inlineStr">
        <is>
          <t>municipal waste incineration facility construction</t>
        </is>
      </c>
      <c r="B732">
        <f>unallocated!B288/I732*J732</f>
        <v>0</v>
      </c>
      <c r="C732" t="inlineStr">
        <is>
          <t>CH</t>
        </is>
      </c>
      <c r="D732" t="inlineStr">
        <is>
          <t>unit</t>
        </is>
      </c>
      <c r="F732" t="inlineStr">
        <is>
          <t>technosphere</t>
        </is>
      </c>
      <c r="G732" t="inlineStr">
        <is>
          <t>municipal waste incineration facility</t>
        </is>
      </c>
      <c r="H732" t="inlineStr">
        <is>
          <t>Lifetime: 4'000'000 tons MSWI treated.</t>
        </is>
      </c>
      <c r="I732" t="n">
        <v>1000</v>
      </c>
      <c r="J732" s="11">
        <f>J720</f>
        <v>0</v>
      </c>
      <c r="K732" t="n">
        <v>0</v>
      </c>
      <c r="L732" s="3" t="n"/>
    </row>
    <row r="733">
      <c r="A733" t="inlineStr">
        <is>
          <t>carbon dioxide storage at wood burning power plant 20 MW post, pipeline 200km, storage 1000m</t>
        </is>
      </c>
      <c r="B733">
        <f>unallocated!B289/I733*J733</f>
        <v>0</v>
      </c>
      <c r="C733" t="inlineStr">
        <is>
          <t>RER</t>
        </is>
      </c>
      <c r="D733" t="inlineStr">
        <is>
          <t>kilogram</t>
        </is>
      </c>
      <c r="F733" t="inlineStr">
        <is>
          <t>technosphere</t>
        </is>
      </c>
      <c r="G733" t="inlineStr">
        <is>
          <t>carbon dioxide storage at wood burning power plant 20 MW post, pipeline 200km, storage 1000m</t>
        </is>
      </c>
      <c r="I733" t="n">
        <v>1000</v>
      </c>
      <c r="J733" s="11">
        <f>J720</f>
        <v>0</v>
      </c>
      <c r="K733" t="n">
        <v>0</v>
      </c>
      <c r="L733" s="3" t="n"/>
    </row>
    <row r="734">
      <c r="A734" t="inlineStr">
        <is>
          <t>Water, cooling, unspecified natural origin</t>
        </is>
      </c>
      <c r="B734">
        <f>unallocated!B290/I734*J734</f>
        <v>0</v>
      </c>
      <c r="D734" t="inlineStr">
        <is>
          <t>cubic meter</t>
        </is>
      </c>
      <c r="E734" t="inlineStr">
        <is>
          <t>natural resource::in water</t>
        </is>
      </c>
      <c r="F734" t="inlineStr">
        <is>
          <t>biosphere</t>
        </is>
      </c>
      <c r="I734" t="n">
        <v>1000</v>
      </c>
      <c r="J734" s="11">
        <f>J720</f>
        <v>0</v>
      </c>
      <c r="K734" t="n">
        <v>0</v>
      </c>
      <c r="L734" s="3" t="n"/>
    </row>
    <row r="735">
      <c r="A735" t="inlineStr">
        <is>
          <t>Sulfur dioxide</t>
        </is>
      </c>
      <c r="B735">
        <f>unallocated!B291/I735*J735</f>
        <v>0</v>
      </c>
      <c r="D735" t="inlineStr">
        <is>
          <t>kilogram</t>
        </is>
      </c>
      <c r="E735" t="inlineStr">
        <is>
          <t>air::urban air close to ground</t>
        </is>
      </c>
      <c r="F735" t="inlineStr">
        <is>
          <t>biosphere</t>
        </is>
      </c>
      <c r="I735" t="n">
        <v>1000</v>
      </c>
      <c r="J735" s="11">
        <f>J720</f>
        <v>0</v>
      </c>
      <c r="K735" t="n">
        <v>0</v>
      </c>
      <c r="L735" s="3" t="n"/>
    </row>
    <row r="736">
      <c r="A736" t="inlineStr">
        <is>
          <t>Hydrochloric acid</t>
        </is>
      </c>
      <c r="B736">
        <f>unallocated!B292/I736*J736</f>
        <v>0</v>
      </c>
      <c r="D736" t="inlineStr">
        <is>
          <t>kilogram</t>
        </is>
      </c>
      <c r="E736" t="inlineStr">
        <is>
          <t>air</t>
        </is>
      </c>
      <c r="F736" t="inlineStr">
        <is>
          <t>biosphere</t>
        </is>
      </c>
      <c r="I736" t="n">
        <v>1000</v>
      </c>
      <c r="J736" s="11">
        <f>J720</f>
        <v>0</v>
      </c>
      <c r="K736" t="n">
        <v>0</v>
      </c>
      <c r="L736" s="3" t="n"/>
    </row>
    <row r="737">
      <c r="A737" t="inlineStr">
        <is>
          <t>Nitrogen oxides</t>
        </is>
      </c>
      <c r="B737">
        <f>unallocated!B293/I737*J737</f>
        <v>0</v>
      </c>
      <c r="D737" t="inlineStr">
        <is>
          <t>kilogram</t>
        </is>
      </c>
      <c r="E737" t="inlineStr">
        <is>
          <t>air::urban air close to ground</t>
        </is>
      </c>
      <c r="F737" t="inlineStr">
        <is>
          <t>biosphere</t>
        </is>
      </c>
      <c r="I737" t="n">
        <v>1000</v>
      </c>
      <c r="J737" s="11">
        <f>J720</f>
        <v>0</v>
      </c>
      <c r="K737" t="n">
        <v>0</v>
      </c>
      <c r="L737" s="3" t="n"/>
    </row>
    <row r="738">
      <c r="A738" t="inlineStr">
        <is>
          <t>Ammonia</t>
        </is>
      </c>
      <c r="B738">
        <f>unallocated!B294/I738*J738</f>
        <v>0</v>
      </c>
      <c r="D738" t="inlineStr">
        <is>
          <t>kilogram</t>
        </is>
      </c>
      <c r="E738" t="inlineStr">
        <is>
          <t>air::urban air close to ground</t>
        </is>
      </c>
      <c r="F738" t="inlineStr">
        <is>
          <t>biosphere</t>
        </is>
      </c>
      <c r="I738" t="n">
        <v>1000</v>
      </c>
      <c r="J738" s="11">
        <f>J720</f>
        <v>0</v>
      </c>
      <c r="K738" t="n">
        <v>0</v>
      </c>
      <c r="L738" s="3" t="n"/>
    </row>
    <row r="739">
      <c r="A739" t="inlineStr">
        <is>
          <t>Particulate Matter, &lt; 2.5 um</t>
        </is>
      </c>
      <c r="B739">
        <f>unallocated!B295/I739*J739</f>
        <v>0</v>
      </c>
      <c r="D739" t="inlineStr">
        <is>
          <t>kilogram</t>
        </is>
      </c>
      <c r="E739" t="inlineStr">
        <is>
          <t>air::urban air close to ground</t>
        </is>
      </c>
      <c r="F739" t="inlineStr">
        <is>
          <t>biosphere</t>
        </is>
      </c>
      <c r="I739" t="n">
        <v>1000</v>
      </c>
      <c r="J739" s="11">
        <f>J720</f>
        <v>0</v>
      </c>
      <c r="K739" t="n">
        <v>0</v>
      </c>
      <c r="L739" s="3" t="n"/>
    </row>
    <row r="740">
      <c r="A740" t="inlineStr">
        <is>
          <t>Mercury II</t>
        </is>
      </c>
      <c r="B740">
        <f>unallocated!B296/I740*J740</f>
        <v>0</v>
      </c>
      <c r="D740" t="inlineStr">
        <is>
          <t>kilogram</t>
        </is>
      </c>
      <c r="E740" t="inlineStr">
        <is>
          <t>air::urban air close to ground</t>
        </is>
      </c>
      <c r="F740" t="inlineStr">
        <is>
          <t>biosphere</t>
        </is>
      </c>
      <c r="I740" t="n">
        <v>1000</v>
      </c>
      <c r="J740" s="11">
        <f>J720</f>
        <v>0</v>
      </c>
      <c r="K740" t="n">
        <v>0</v>
      </c>
      <c r="L740" s="3" t="n"/>
    </row>
    <row r="741">
      <c r="A741" t="inlineStr">
        <is>
          <t>Lead II</t>
        </is>
      </c>
      <c r="B741">
        <f>unallocated!B297/I741*J741</f>
        <v>0</v>
      </c>
      <c r="D741" t="inlineStr">
        <is>
          <t>kilogram</t>
        </is>
      </c>
      <c r="E741" t="inlineStr">
        <is>
          <t>air::urban air close to ground</t>
        </is>
      </c>
      <c r="F741" t="inlineStr">
        <is>
          <t>biosphere</t>
        </is>
      </c>
      <c r="I741" t="n">
        <v>1000</v>
      </c>
      <c r="J741" s="11">
        <f>J720</f>
        <v>0</v>
      </c>
      <c r="K741" t="n">
        <v>0</v>
      </c>
      <c r="L741" s="3" t="n"/>
    </row>
    <row r="742">
      <c r="A742" t="inlineStr">
        <is>
          <t>Cadmium II</t>
        </is>
      </c>
      <c r="B742">
        <f>unallocated!B298/I742*J742</f>
        <v>0</v>
      </c>
      <c r="D742" t="inlineStr">
        <is>
          <t>kilogram</t>
        </is>
      </c>
      <c r="E742" t="inlineStr">
        <is>
          <t>air::urban air close to ground</t>
        </is>
      </c>
      <c r="F742" t="inlineStr">
        <is>
          <t>biosphere</t>
        </is>
      </c>
      <c r="I742" t="n">
        <v>1000</v>
      </c>
      <c r="J742" s="11">
        <f>J720</f>
        <v>0</v>
      </c>
      <c r="K742" t="n">
        <v>0</v>
      </c>
      <c r="L742" s="3" t="n"/>
    </row>
    <row r="743">
      <c r="A743" t="inlineStr">
        <is>
          <t>Arsenic ion</t>
        </is>
      </c>
      <c r="B743">
        <f>unallocated!B299/I743*J743</f>
        <v>0</v>
      </c>
      <c r="D743" t="inlineStr">
        <is>
          <t>kilogram</t>
        </is>
      </c>
      <c r="E743" t="inlineStr">
        <is>
          <t>air::urban air close to ground</t>
        </is>
      </c>
      <c r="F743" t="inlineStr">
        <is>
          <t>biosphere</t>
        </is>
      </c>
      <c r="I743" t="n">
        <v>1000</v>
      </c>
      <c r="J743" s="11">
        <f>J720</f>
        <v>0</v>
      </c>
      <c r="K743" t="n">
        <v>0</v>
      </c>
      <c r="L743" s="3" t="n"/>
    </row>
    <row r="744">
      <c r="A744" t="inlineStr">
        <is>
          <t>Dioxins, measured as 2,3,7,8-tetrachlorodibenzo-p-dioxin</t>
        </is>
      </c>
      <c r="B744">
        <f>unallocated!B300/I744*J744</f>
        <v>0</v>
      </c>
      <c r="D744" t="inlineStr">
        <is>
          <t>kilogram</t>
        </is>
      </c>
      <c r="E744" t="inlineStr">
        <is>
          <t>air::urban air close to ground</t>
        </is>
      </c>
      <c r="F744" t="inlineStr">
        <is>
          <t>biosphere</t>
        </is>
      </c>
      <c r="I744" t="n">
        <v>1000</v>
      </c>
      <c r="J744" s="11">
        <f>J720</f>
        <v>0</v>
      </c>
      <c r="K744" t="n">
        <v>0</v>
      </c>
      <c r="L744" s="3" t="n"/>
    </row>
    <row r="745">
      <c r="A745" t="inlineStr">
        <is>
          <t>Carbon dioxide, fossil</t>
        </is>
      </c>
      <c r="B745">
        <f>unallocated!B301/I745*J745</f>
        <v>0</v>
      </c>
      <c r="D745" t="inlineStr">
        <is>
          <t>kilogram</t>
        </is>
      </c>
      <c r="E745" t="inlineStr">
        <is>
          <t>air::urban air close to ground</t>
        </is>
      </c>
      <c r="F745" t="inlineStr">
        <is>
          <t>biosphere</t>
        </is>
      </c>
      <c r="I745" t="n">
        <v>1000</v>
      </c>
      <c r="J745" s="11">
        <f>J720</f>
        <v>0</v>
      </c>
      <c r="K745" t="n">
        <v>0</v>
      </c>
      <c r="L745" s="3" t="n"/>
    </row>
    <row r="746">
      <c r="A746" t="inlineStr">
        <is>
          <t>Carbon dioxide, non-fossil</t>
        </is>
      </c>
      <c r="B746">
        <f>unallocated!B302/I746*J746</f>
        <v>0</v>
      </c>
      <c r="D746" t="inlineStr">
        <is>
          <t>kilogram</t>
        </is>
      </c>
      <c r="E746" t="inlineStr">
        <is>
          <t>air::urban air close to ground</t>
        </is>
      </c>
      <c r="F746" t="inlineStr">
        <is>
          <t>biosphere</t>
        </is>
      </c>
      <c r="I746" t="n">
        <v>1000</v>
      </c>
      <c r="J746" s="14">
        <f>J720</f>
        <v>0</v>
      </c>
      <c r="K746" t="n">
        <v>0</v>
      </c>
      <c r="L746" s="3" t="n"/>
    </row>
    <row r="747">
      <c r="A747" t="inlineStr">
        <is>
          <t>Carbon dioxide, in air</t>
        </is>
      </c>
      <c r="B747">
        <f>unallocated!B303/I747*J747</f>
        <v>0</v>
      </c>
      <c r="D747" t="inlineStr">
        <is>
          <t>kilogram</t>
        </is>
      </c>
      <c r="E747" t="inlineStr">
        <is>
          <t>natural resource::in air</t>
        </is>
      </c>
      <c r="F747" t="inlineStr">
        <is>
          <t>biosphere</t>
        </is>
      </c>
      <c r="H747" t="inlineStr">
        <is>
          <t>To reflect the permanent storage of non-fossil CO.</t>
        </is>
      </c>
      <c r="I747" t="n">
        <v>1000</v>
      </c>
      <c r="J747" s="14">
        <f>J720</f>
        <v>0</v>
      </c>
      <c r="K747" t="n">
        <v>0</v>
      </c>
      <c r="L747" s="3" t="n"/>
    </row>
    <row r="748"/>
    <row r="749">
      <c r="A749" s="1" t="inlineStr">
        <is>
          <t>Activity</t>
        </is>
      </c>
      <c r="B749" s="1" t="inlineStr">
        <is>
          <t>municipal waste incineration, at incineration plant, with wet air pollution control, with flue gas condensation, with electricity and heat recovery, with carbon capture and storage, exergy allocation</t>
        </is>
      </c>
    </row>
    <row r="750">
      <c r="A750" t="inlineStr">
        <is>
          <t>location</t>
        </is>
      </c>
      <c r="B750" t="inlineStr">
        <is>
          <t>RER</t>
        </is>
      </c>
    </row>
    <row r="751">
      <c r="A751" t="inlineStr">
        <is>
          <t>production amount</t>
        </is>
      </c>
      <c r="B751" t="n">
        <v>1</v>
      </c>
    </row>
    <row r="752">
      <c r="A752" s="2" t="inlineStr">
        <is>
          <t>source</t>
        </is>
      </c>
      <c r="B752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53">
      <c r="A753" t="inlineStr">
        <is>
          <t>reference product</t>
        </is>
      </c>
      <c r="B753" t="inlineStr">
        <is>
          <t>electricity, medium voltage</t>
        </is>
      </c>
    </row>
    <row r="754">
      <c r="A754" t="inlineStr">
        <is>
          <t>type</t>
        </is>
      </c>
      <c r="B754" t="inlineStr">
        <is>
          <t>process</t>
        </is>
      </c>
    </row>
    <row r="755">
      <c r="A755" t="inlineStr">
        <is>
          <t>unit</t>
        </is>
      </c>
      <c r="B755" t="inlineStr">
        <is>
          <t>kilowatt hour</t>
        </is>
      </c>
    </row>
    <row r="756">
      <c r="A756" t="inlineStr">
        <is>
          <t>comment</t>
        </is>
      </c>
      <c r="B756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757">
      <c r="A757" s="1" t="inlineStr">
        <is>
          <t>Exchanges</t>
        </is>
      </c>
    </row>
    <row r="758">
      <c r="A758" s="7" t="inlineStr">
        <is>
          <t>name</t>
        </is>
      </c>
      <c r="B758" s="7" t="inlineStr">
        <is>
          <t>amount</t>
        </is>
      </c>
      <c r="C758" s="7" t="inlineStr">
        <is>
          <t>location</t>
        </is>
      </c>
      <c r="D758" s="7" t="inlineStr">
        <is>
          <t>unit</t>
        </is>
      </c>
      <c r="E758" s="7" t="inlineStr">
        <is>
          <t>categories</t>
        </is>
      </c>
      <c r="F758" s="7" t="inlineStr">
        <is>
          <t>type</t>
        </is>
      </c>
      <c r="G758" s="7" t="inlineStr">
        <is>
          <t>reference product</t>
        </is>
      </c>
      <c r="H758" s="7" t="inlineStr">
        <is>
          <t>comment</t>
        </is>
      </c>
      <c r="I758" s="7" t="inlineStr">
        <is>
          <t>normalization</t>
        </is>
      </c>
      <c r="J758" s="7" t="inlineStr">
        <is>
          <t>allocation</t>
        </is>
      </c>
      <c r="K758" s="7" t="inlineStr">
        <is>
          <t>uncertainty type</t>
        </is>
      </c>
      <c r="L758" s="7" t="inlineStr">
        <is>
          <t>loc</t>
        </is>
      </c>
      <c r="M758" s="1" t="inlineStr">
        <is>
          <t>u1</t>
        </is>
      </c>
      <c r="N758" s="1" t="inlineStr">
        <is>
          <t>u2</t>
        </is>
      </c>
      <c r="O758" s="1" t="inlineStr">
        <is>
          <t>u3</t>
        </is>
      </c>
      <c r="P758" s="1" t="inlineStr">
        <is>
          <t>u4</t>
        </is>
      </c>
      <c r="Q758" s="1" t="inlineStr">
        <is>
          <t>u5</t>
        </is>
      </c>
      <c r="R758" s="1" t="inlineStr">
        <is>
          <t>u6</t>
        </is>
      </c>
      <c r="S758" s="1" t="inlineStr">
        <is>
          <t>ub</t>
        </is>
      </c>
      <c r="T758" s="1" t="inlineStr">
        <is>
          <t>scale</t>
        </is>
      </c>
      <c r="U758" s="1" t="inlineStr">
        <is>
          <t>negative</t>
        </is>
      </c>
    </row>
    <row r="759">
      <c r="A759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B759" t="n">
        <v>0</v>
      </c>
      <c r="C759" t="inlineStr">
        <is>
          <t>RER</t>
        </is>
      </c>
      <c r="D759" t="inlineStr">
        <is>
          <t>kilogram</t>
        </is>
      </c>
      <c r="F759" t="inlineStr">
        <is>
          <t>technosphere</t>
        </is>
      </c>
      <c r="G759" t="inlineStr">
        <is>
          <t>municipal solid waste</t>
        </is>
      </c>
      <c r="H759" t="inlineStr"/>
      <c r="I759" s="6" t="n">
        <v>317</v>
      </c>
      <c r="J759" s="14">
        <f>INDEX('allocation keys'!$I$4:$K$29,MATCH('allocated (exergy)'!$B$749,'allocation keys'!$B$4:$B$28,0),MATCH('allocated (exergy)'!$B$753,'allocation keys'!$I$3:$K$3,0))</f>
        <v>0.54913204421144379</v>
      </c>
      <c r="K759" t="n">
        <v>0</v>
      </c>
      <c r="M759" s="5" t="n"/>
      <c r="N759" s="5" t="n"/>
      <c r="O759" s="5" t="n"/>
      <c r="P759" s="5" t="n"/>
      <c r="Q759" s="5" t="n"/>
      <c r="R759" s="5" t="n"/>
    </row>
    <row r="760">
      <c r="A760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B760" s="6" t="n">
        <v>1</v>
      </c>
      <c r="C760" t="inlineStr">
        <is>
          <t>RER</t>
        </is>
      </c>
      <c r="D760" t="inlineStr">
        <is>
          <t>kilowatt hour</t>
        </is>
      </c>
      <c r="F760" t="inlineStr">
        <is>
          <t>production</t>
        </is>
      </c>
      <c r="G760" t="inlineStr">
        <is>
          <t>electricity, medium voltage</t>
        </is>
      </c>
      <c r="H760" t="inlineStr"/>
      <c r="I760" s="6" t="n">
        <v>317</v>
      </c>
      <c r="J760" s="11">
        <f>J759</f>
        <v>0.54913204421144379</v>
      </c>
      <c r="K760" t="n">
        <v>0</v>
      </c>
      <c r="L760" s="3" t="n"/>
    </row>
    <row r="761">
      <c r="A761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B761" t="n">
        <v>0</v>
      </c>
      <c r="C761" t="inlineStr">
        <is>
          <t>RER</t>
        </is>
      </c>
      <c r="D761" t="inlineStr">
        <is>
          <t>megajoule</t>
        </is>
      </c>
      <c r="F761" t="inlineStr">
        <is>
          <t>technosphere</t>
        </is>
      </c>
      <c r="G761" t="inlineStr">
        <is>
          <t>heat, district or industrial, other than natural gas</t>
        </is>
      </c>
      <c r="H761" t="inlineStr"/>
      <c r="I761" s="6" t="n">
        <v>317</v>
      </c>
      <c r="J761" s="11">
        <f>J759</f>
        <v>0.54913204421144379</v>
      </c>
      <c r="K761" t="n">
        <v>0</v>
      </c>
      <c r="L761" s="3" t="n"/>
    </row>
    <row r="762">
      <c r="A762" t="inlineStr">
        <is>
          <t>market for diesel, low-sulfur</t>
        </is>
      </c>
      <c r="B762">
        <f>unallocated!B279/I762*J762</f>
        <v>1.472436080693146E-4</v>
      </c>
      <c r="C762" t="inlineStr">
        <is>
          <t>Europe without Switzerland</t>
        </is>
      </c>
      <c r="D762" t="inlineStr">
        <is>
          <t>kilogram</t>
        </is>
      </c>
      <c r="F762" t="inlineStr">
        <is>
          <t>technosphere</t>
        </is>
      </c>
      <c r="G762" t="inlineStr">
        <is>
          <t>diesel, low-sulfur</t>
        </is>
      </c>
      <c r="H762" t="inlineStr">
        <is>
          <t>Diesel density: 0.85 kg/l</t>
        </is>
      </c>
      <c r="I762" s="6" t="n">
        <v>317</v>
      </c>
      <c r="J762" s="11">
        <f>J759</f>
        <v>0.54913204421144379</v>
      </c>
      <c r="K762" t="n">
        <v>2</v>
      </c>
      <c r="L762" s="3">
        <f>LN(B762)</f>
        <v>-8.8234221450721169</v>
      </c>
      <c r="M762" t="n">
        <v>1</v>
      </c>
      <c r="N762" t="n">
        <v>1</v>
      </c>
      <c r="O762" t="n">
        <v>1</v>
      </c>
      <c r="P762" t="n">
        <v>1.02</v>
      </c>
      <c r="Q762" t="n">
        <v>1.2</v>
      </c>
      <c r="R762" t="n">
        <v>1</v>
      </c>
      <c r="S762" t="n">
        <v>1.05</v>
      </c>
      <c r="T762">
        <f>LN(SQRT(EXP(
SQRT(
+POWER(LN(M762),2)
+POWER(LN(N762),2)
+POWER(LN(O762),2)
+POWER(LN(P762),2)
+POWER(LN(Q762),2)
+POWER(LN(R762),2)
+POWER(LN(S762),2)
)
)))</f>
        <v>9.4886477223156879E-2</v>
      </c>
    </row>
    <row r="763">
      <c r="A763" t="inlineStr">
        <is>
          <t>market for activated carbon, granular</t>
        </is>
      </c>
      <c r="B763">
        <f>unallocated!B280/I763*J763</f>
        <v>6.9291109679677453E-4</v>
      </c>
      <c r="C763" t="inlineStr">
        <is>
          <t>GLO</t>
        </is>
      </c>
      <c r="D763" t="inlineStr">
        <is>
          <t>kilogram</t>
        </is>
      </c>
      <c r="F763" t="inlineStr">
        <is>
          <t>technosphere</t>
        </is>
      </c>
      <c r="G763" t="inlineStr">
        <is>
          <t>activated carbon, granular</t>
        </is>
      </c>
      <c r="I763" s="6" t="n">
        <v>317</v>
      </c>
      <c r="J763" s="11">
        <f>J759</f>
        <v>0.54913204421144379</v>
      </c>
      <c r="K763" t="n">
        <v>2</v>
      </c>
      <c r="L763" s="3">
        <f>LN(B763)</f>
        <v>-7.2746088544544518</v>
      </c>
      <c r="M763" t="n">
        <v>1</v>
      </c>
      <c r="N763" t="n">
        <v>1</v>
      </c>
      <c r="O763" t="n">
        <v>1</v>
      </c>
      <c r="P763" t="n">
        <v>1.02</v>
      </c>
      <c r="Q763" t="n">
        <v>1.2</v>
      </c>
      <c r="R763" t="n">
        <v>1</v>
      </c>
      <c r="S763" t="n">
        <v>1.05</v>
      </c>
      <c r="T763">
        <f>LN(SQRT(EXP(
SQRT(
+POWER(LN(M763),2)
+POWER(LN(N763),2)
+POWER(LN(O763),2)
+POWER(LN(P763),2)
+POWER(LN(Q763),2)
+POWER(LN(R763),2)
+POWER(LN(S763),2)
)
)))</f>
        <v>9.4886477223156879E-2</v>
      </c>
    </row>
    <row r="764">
      <c r="A764" t="inlineStr">
        <is>
          <t>market for ammonia, anhydrous, liquid</t>
        </is>
      </c>
      <c r="B764">
        <f>unallocated!B281/I764*J764</f>
        <v>1.6976321871520973E-3</v>
      </c>
      <c r="C764" t="inlineStr">
        <is>
          <t>RER</t>
        </is>
      </c>
      <c r="D764" t="inlineStr">
        <is>
          <t>kilogram</t>
        </is>
      </c>
      <c r="F764" t="inlineStr">
        <is>
          <t>technosphere</t>
        </is>
      </c>
      <c r="G764" t="inlineStr">
        <is>
          <t>ammonia, anhydrous, liquid</t>
        </is>
      </c>
      <c r="H764" t="inlineStr">
        <is>
          <t>100% liquid ammonia. In original publication, it is dilluated to 23.5% in water. We discount the original value by 75%.</t>
        </is>
      </c>
      <c r="I764" s="6" t="n">
        <v>317</v>
      </c>
      <c r="J764" s="11">
        <f>J759</f>
        <v>0.54913204421144379</v>
      </c>
      <c r="K764" t="n">
        <v>2</v>
      </c>
      <c r="L764" s="3">
        <f>LN(B764)</f>
        <v>-6.3785208298978162</v>
      </c>
      <c r="M764" t="n">
        <v>1</v>
      </c>
      <c r="N764" t="n">
        <v>1</v>
      </c>
      <c r="O764" t="n">
        <v>1</v>
      </c>
      <c r="P764" t="n">
        <v>1.02</v>
      </c>
      <c r="Q764" t="n">
        <v>1.2</v>
      </c>
      <c r="R764" t="n">
        <v>1</v>
      </c>
      <c r="S764" t="n">
        <v>1.05</v>
      </c>
      <c r="T764">
        <f>LN(SQRT(EXP(
SQRT(
+POWER(LN(M764),2)
+POWER(LN(N764),2)
+POWER(LN(O764),2)
+POWER(LN(P764),2)
+POWER(LN(Q764),2)
+POWER(LN(R764),2)
+POWER(LN(S764),2)
)
)))</f>
        <v>9.4886477223156879E-2</v>
      </c>
    </row>
    <row r="765">
      <c r="A765" t="inlineStr">
        <is>
          <t>market for tap water</t>
        </is>
      </c>
      <c r="B765">
        <f>unallocated!B282/I765*J765</f>
        <v>5.2314787808156469E-3</v>
      </c>
      <c r="C765" t="inlineStr">
        <is>
          <t>Europe without Switzerland</t>
        </is>
      </c>
      <c r="D765" t="inlineStr">
        <is>
          <t>kilogram</t>
        </is>
      </c>
      <c r="F765" t="inlineStr">
        <is>
          <t>technosphere</t>
        </is>
      </c>
      <c r="G765" t="inlineStr">
        <is>
          <t>tap water</t>
        </is>
      </c>
      <c r="H765" t="inlineStr">
        <is>
          <t>Used to dilute the ammonia.</t>
        </is>
      </c>
      <c r="I765" s="6" t="n">
        <v>317</v>
      </c>
      <c r="J765" s="11">
        <f>J759</f>
        <v>0.54913204421144379</v>
      </c>
      <c r="K765" t="n">
        <v>2</v>
      </c>
      <c r="L765" s="3">
        <f>LN(B765)</f>
        <v>-5.2530612911935179</v>
      </c>
      <c r="M765" t="n">
        <v>1</v>
      </c>
      <c r="N765" t="n">
        <v>1</v>
      </c>
      <c r="O765" t="n">
        <v>1</v>
      </c>
      <c r="P765" t="n">
        <v>1.02</v>
      </c>
      <c r="Q765" t="n">
        <v>1.2</v>
      </c>
      <c r="R765" t="n">
        <v>1</v>
      </c>
      <c r="S765" t="n">
        <v>1.05</v>
      </c>
      <c r="T765">
        <f>LN(SQRT(EXP(
SQRT(
+POWER(LN(M765),2)
+POWER(LN(N765),2)
+POWER(LN(O765),2)
+POWER(LN(P765),2)
+POWER(LN(Q765),2)
+POWER(LN(R765),2)
+POWER(LN(S765),2)
)
)))</f>
        <v>9.4886477223156879E-2</v>
      </c>
    </row>
    <row r="766">
      <c r="A766" t="inlineStr">
        <is>
          <t>market for calcium carbonate, precipitated</t>
        </is>
      </c>
      <c r="B766">
        <f>unallocated!B283/I766*J766</f>
        <v>1.2125944193943555E-2</v>
      </c>
      <c r="C766" t="inlineStr">
        <is>
          <t>RER</t>
        </is>
      </c>
      <c r="D766" t="inlineStr">
        <is>
          <t>kilogram</t>
        </is>
      </c>
      <c r="F766" t="inlineStr">
        <is>
          <t>technosphere</t>
        </is>
      </c>
      <c r="G766" t="inlineStr">
        <is>
          <t>calcium carbonate, precipitated</t>
        </is>
      </c>
      <c r="I766" s="6" t="n">
        <v>317</v>
      </c>
      <c r="J766" s="11">
        <f>J759</f>
        <v>0.54913204421144379</v>
      </c>
      <c r="K766" t="n">
        <v>0</v>
      </c>
      <c r="L766" s="3" t="n"/>
    </row>
    <row r="767">
      <c r="A767" t="inlineStr">
        <is>
          <t>market for iron(III) chloride, without water, in 40% solution state</t>
        </is>
      </c>
      <c r="B767">
        <f>unallocated!B284/I767*J767</f>
        <v>8.6613887099596816E-5</v>
      </c>
      <c r="C767" t="inlineStr">
        <is>
          <t>GLO</t>
        </is>
      </c>
      <c r="D767" t="inlineStr">
        <is>
          <t>kilogram</t>
        </is>
      </c>
      <c r="F767" t="inlineStr">
        <is>
          <t>technosphere</t>
        </is>
      </c>
      <c r="G767" t="inlineStr">
        <is>
          <t>iron(III) chloride, without water, in 40% solution state</t>
        </is>
      </c>
      <c r="I767" s="6" t="n">
        <v>317</v>
      </c>
      <c r="J767" s="11">
        <f>J759</f>
        <v>0.54913204421144379</v>
      </c>
      <c r="K767" t="n">
        <v>0</v>
      </c>
      <c r="L767" s="3" t="n"/>
    </row>
    <row r="768">
      <c r="A768" t="inlineStr">
        <is>
          <t>market for lime, hydrated, packed</t>
        </is>
      </c>
      <c r="B768">
        <f>unallocated!B285/I768*J768</f>
        <v>0</v>
      </c>
      <c r="C768" t="inlineStr">
        <is>
          <t>RER</t>
        </is>
      </c>
      <c r="D768" t="inlineStr">
        <is>
          <t>kilogram</t>
        </is>
      </c>
      <c r="F768" t="inlineStr">
        <is>
          <t>technosphere</t>
        </is>
      </c>
      <c r="G768" t="inlineStr">
        <is>
          <t>lime, hydrated, packed</t>
        </is>
      </c>
      <c r="I768" s="6" t="n">
        <v>317</v>
      </c>
      <c r="J768" s="11">
        <f>J759</f>
        <v>0.54913204421144379</v>
      </c>
      <c r="K768" t="n">
        <v>0</v>
      </c>
      <c r="L768" s="3" t="n"/>
    </row>
    <row r="769">
      <c r="A769" t="inlineStr">
        <is>
          <t>market for sodium hydroxide, without water, in 50% solution state</t>
        </is>
      </c>
      <c r="B769">
        <f>unallocated!B286/I769*J769</f>
        <v>8.6613887099596808E-4</v>
      </c>
      <c r="C769" t="inlineStr">
        <is>
          <t>RER</t>
        </is>
      </c>
      <c r="D769" t="inlineStr">
        <is>
          <t>kilogram</t>
        </is>
      </c>
      <c r="F769" t="inlineStr">
        <is>
          <t>technosphere</t>
        </is>
      </c>
      <c r="G769" t="inlineStr">
        <is>
          <t>sodium hydroxide, without water, in 50% solution state</t>
        </is>
      </c>
      <c r="H769" t="inlineStr">
        <is>
          <t>50% liquid ammonia. In original publication, it is dilluated to 27% in water. We discount the original value by 50%.</t>
        </is>
      </c>
      <c r="I769" s="6" t="n">
        <v>317</v>
      </c>
      <c r="J769" s="11">
        <f>J759</f>
        <v>0.54913204421144379</v>
      </c>
      <c r="K769" t="n">
        <v>0</v>
      </c>
      <c r="L769" s="3" t="n"/>
    </row>
    <row r="770">
      <c r="A770" t="inlineStr">
        <is>
          <t>market for monoethanolamine</t>
        </is>
      </c>
      <c r="B770">
        <f>unallocated!B287/I770*J770</f>
        <v>6.9291109679677446E-3</v>
      </c>
      <c r="C770" t="inlineStr">
        <is>
          <t>GLO</t>
        </is>
      </c>
      <c r="D770" t="inlineStr">
        <is>
          <t>kilogram</t>
        </is>
      </c>
      <c r="F770" t="inlineStr">
        <is>
          <t>technosphere</t>
        </is>
      </c>
      <c r="G770" t="inlineStr">
        <is>
          <t>monoethanolamine</t>
        </is>
      </c>
      <c r="I770" s="6" t="n">
        <v>317</v>
      </c>
      <c r="J770" s="11">
        <f>J759</f>
        <v>0.54913204421144379</v>
      </c>
      <c r="K770" t="n">
        <v>0</v>
      </c>
      <c r="L770" s="3" t="n"/>
    </row>
    <row r="771">
      <c r="A771" t="inlineStr">
        <is>
          <t>municipal waste incineration facility construction</t>
        </is>
      </c>
      <c r="B771">
        <f>unallocated!B288/I771*J771</f>
        <v>4.3306943549798403E-10</v>
      </c>
      <c r="C771" t="inlineStr">
        <is>
          <t>CH</t>
        </is>
      </c>
      <c r="D771" t="inlineStr">
        <is>
          <t>unit</t>
        </is>
      </c>
      <c r="F771" t="inlineStr">
        <is>
          <t>technosphere</t>
        </is>
      </c>
      <c r="G771" t="inlineStr">
        <is>
          <t>municipal waste incineration facility</t>
        </is>
      </c>
      <c r="H771" t="inlineStr">
        <is>
          <t>Lifetime: 4'000'000 tons MSWI treated.</t>
        </is>
      </c>
      <c r="I771" s="6" t="n">
        <v>317</v>
      </c>
      <c r="J771" s="11">
        <f>J759</f>
        <v>0.54913204421144379</v>
      </c>
      <c r="K771" t="n">
        <v>2</v>
      </c>
      <c r="L771" s="3">
        <f>LN(B771)</f>
        <v>-21.560123041664461</v>
      </c>
      <c r="M771" t="n">
        <v>1</v>
      </c>
      <c r="N771" t="n">
        <v>1</v>
      </c>
      <c r="O771" t="n">
        <v>1</v>
      </c>
      <c r="P771" t="n">
        <v>1.02</v>
      </c>
      <c r="Q771" t="n">
        <v>1.2</v>
      </c>
      <c r="R771" t="n">
        <v>1</v>
      </c>
      <c r="S771" t="n">
        <v>3</v>
      </c>
      <c r="T771">
        <f>LN(SQRT(EXP(
SQRT(
+POWER(LN(M771),2)
+POWER(LN(N771),2)
+POWER(LN(O771),2)
+POWER(LN(P771),2)
+POWER(LN(Q771),2)
+POWER(LN(R771),2)
+POWER(LN(S771),2)
)
)))</f>
        <v>0.5569071410325479</v>
      </c>
    </row>
    <row r="772">
      <c r="A772" t="inlineStr">
        <is>
          <t>carbon dioxide storage at wood burning power plant 20 MW post, pipeline 200km, storage 1000m</t>
        </is>
      </c>
      <c r="B772">
        <f>unallocated!B289/I772*J772</f>
        <v>1.4256645816593634</v>
      </c>
      <c r="C772" t="inlineStr">
        <is>
          <t>RER</t>
        </is>
      </c>
      <c r="D772" t="inlineStr">
        <is>
          <t>kilogram</t>
        </is>
      </c>
      <c r="F772" t="inlineStr">
        <is>
          <t>technosphere</t>
        </is>
      </c>
      <c r="G772" t="inlineStr">
        <is>
          <t>carbon dioxide storage at wood burning power plant 20 MW post, pipeline 200km, storage 1000m</t>
        </is>
      </c>
      <c r="I772" s="6" t="n">
        <v>317</v>
      </c>
      <c r="J772" s="11">
        <f>J759</f>
        <v>0.54913204421144379</v>
      </c>
      <c r="K772" t="n">
        <v>2</v>
      </c>
      <c r="L772" s="3">
        <f>LN(B772)</f>
        <v>0.35463807809677322</v>
      </c>
      <c r="M772" t="n">
        <v>1</v>
      </c>
      <c r="N772" t="n">
        <v>1</v>
      </c>
      <c r="O772" t="n">
        <v>1</v>
      </c>
      <c r="P772" t="n">
        <v>1.02</v>
      </c>
      <c r="Q772" t="n">
        <v>1.2</v>
      </c>
      <c r="R772" t="n">
        <v>1</v>
      </c>
      <c r="S772" t="n">
        <v>3</v>
      </c>
      <c r="T772">
        <f>LN(SQRT(EXP(
SQRT(
+POWER(LN(M772),2)
+POWER(LN(N772),2)
+POWER(LN(O772),2)
+POWER(LN(P772),2)
+POWER(LN(Q772),2)
+POWER(LN(R772),2)
+POWER(LN(S772),2)
)
)))</f>
        <v>0.5569071410325479</v>
      </c>
    </row>
    <row r="773">
      <c r="A773" t="inlineStr">
        <is>
          <t>Water, cooling, unspecified natural origin</t>
        </is>
      </c>
      <c r="B773">
        <f>unallocated!B290/I773*J773</f>
        <v>0</v>
      </c>
      <c r="D773" t="inlineStr">
        <is>
          <t>cubic meter</t>
        </is>
      </c>
      <c r="E773" t="inlineStr">
        <is>
          <t>natural resource::in water</t>
        </is>
      </c>
      <c r="F773" t="inlineStr">
        <is>
          <t>biosphere</t>
        </is>
      </c>
      <c r="I773" s="6" t="n">
        <v>317</v>
      </c>
      <c r="J773" s="11">
        <f>J759</f>
        <v>0.54913204421144379</v>
      </c>
      <c r="K773" t="n">
        <v>0</v>
      </c>
      <c r="L773" s="3" t="n"/>
    </row>
    <row r="774">
      <c r="A774" t="inlineStr">
        <is>
          <t>Sulfur dioxide</t>
        </is>
      </c>
      <c r="B774">
        <f>unallocated!B291/I774*J774</f>
        <v>1.0393666451951617E-5</v>
      </c>
      <c r="D774" t="inlineStr">
        <is>
          <t>kilogram</t>
        </is>
      </c>
      <c r="E774" t="inlineStr">
        <is>
          <t>air::urban air close to ground</t>
        </is>
      </c>
      <c r="F774" t="inlineStr">
        <is>
          <t>biosphere</t>
        </is>
      </c>
      <c r="I774" s="6" t="n">
        <v>317</v>
      </c>
      <c r="J774" s="11">
        <f>J759</f>
        <v>0.54913204421144379</v>
      </c>
      <c r="K774" t="n">
        <v>2</v>
      </c>
      <c r="L774" s="3">
        <f>LN(B774)</f>
        <v>-11.474313932334379</v>
      </c>
      <c r="M774" t="n">
        <v>1</v>
      </c>
      <c r="N774" t="n">
        <v>1</v>
      </c>
      <c r="O774" t="n">
        <v>1</v>
      </c>
      <c r="P774" t="n">
        <v>1.02</v>
      </c>
      <c r="Q774" t="n">
        <v>1.2</v>
      </c>
      <c r="R774" t="n">
        <v>1</v>
      </c>
      <c r="S774" t="n">
        <v>1.05</v>
      </c>
      <c r="T774">
        <f>LN(SQRT(EXP(
SQRT(
+POWER(LN(M774),2)
+POWER(LN(N774),2)
+POWER(LN(O774),2)
+POWER(LN(P774),2)
+POWER(LN(Q774),2)
+POWER(LN(R774),2)
+POWER(LN(S774),2)
)
)))</f>
        <v>9.4886477223156879E-2</v>
      </c>
    </row>
    <row r="775">
      <c r="A775" t="inlineStr">
        <is>
          <t>Hydrochloric acid</t>
        </is>
      </c>
      <c r="B775">
        <f>unallocated!B292/I775*J775</f>
        <v>5.1968332259758087E-6</v>
      </c>
      <c r="D775" t="inlineStr">
        <is>
          <t>kilogram</t>
        </is>
      </c>
      <c r="E775" t="inlineStr">
        <is>
          <t>air</t>
        </is>
      </c>
      <c r="F775" t="inlineStr">
        <is>
          <t>biosphere</t>
        </is>
      </c>
      <c r="I775" s="6" t="n">
        <v>317</v>
      </c>
      <c r="J775" s="11">
        <f>J759</f>
        <v>0.54913204421144379</v>
      </c>
      <c r="K775" t="n">
        <v>2</v>
      </c>
      <c r="L775" s="3">
        <f>LN(B775)</f>
        <v>-12.167461112894324</v>
      </c>
      <c r="M775" t="n">
        <v>1</v>
      </c>
      <c r="N775" t="n">
        <v>1</v>
      </c>
      <c r="O775" t="n">
        <v>1</v>
      </c>
      <c r="P775" t="n">
        <v>1.02</v>
      </c>
      <c r="Q775" t="n">
        <v>1.2</v>
      </c>
      <c r="R775" t="n">
        <v>1</v>
      </c>
      <c r="S775" t="n">
        <v>1.5</v>
      </c>
      <c r="T775">
        <f>LN(SQRT(EXP(
SQRT(
+POWER(LN(M775),2)
+POWER(LN(N775),2)
+POWER(LN(O775),2)
+POWER(LN(P775),2)
+POWER(LN(Q775),2)
+POWER(LN(R775),2)
+POWER(LN(S775),2)
)
)))</f>
        <v>0.22250575723605889</v>
      </c>
    </row>
    <row r="776">
      <c r="A776" t="inlineStr">
        <is>
          <t>Nitrogen oxides</t>
        </is>
      </c>
      <c r="B776">
        <f>unallocated!B293/I776*J776</f>
        <v>1.1727520313285409E-3</v>
      </c>
      <c r="D776" t="inlineStr">
        <is>
          <t>kilogram</t>
        </is>
      </c>
      <c r="E776" t="inlineStr">
        <is>
          <t>air::urban air close to ground</t>
        </is>
      </c>
      <c r="F776" t="inlineStr">
        <is>
          <t>biosphere</t>
        </is>
      </c>
      <c r="I776" s="6" t="n">
        <v>317</v>
      </c>
      <c r="J776" s="11">
        <f>J759</f>
        <v>0.54913204421144379</v>
      </c>
      <c r="K776" t="n">
        <v>2</v>
      </c>
      <c r="L776" s="3">
        <f>LN(B776)</f>
        <v>-6.7484021286501585</v>
      </c>
      <c r="M776" t="n">
        <v>1</v>
      </c>
      <c r="N776" t="n">
        <v>1</v>
      </c>
      <c r="O776" t="n">
        <v>1</v>
      </c>
      <c r="P776" t="n">
        <v>1.02</v>
      </c>
      <c r="Q776" t="n">
        <v>1.2</v>
      </c>
      <c r="R776" t="n">
        <v>1</v>
      </c>
      <c r="S776" t="n">
        <v>1.5</v>
      </c>
      <c r="T776">
        <f>LN(SQRT(EXP(
SQRT(
+POWER(LN(M776),2)
+POWER(LN(N776),2)
+POWER(LN(O776),2)
+POWER(LN(P776),2)
+POWER(LN(Q776),2)
+POWER(LN(R776),2)
+POWER(LN(S776),2)
)
)))</f>
        <v>0.22250575723605889</v>
      </c>
    </row>
    <row r="777">
      <c r="A777" t="inlineStr">
        <is>
          <t>Ammonia</t>
        </is>
      </c>
      <c r="B777">
        <f>unallocated!B294/I777*J777</f>
        <v>3.464555483983873E-5</v>
      </c>
      <c r="D777" t="inlineStr">
        <is>
          <t>kilogram</t>
        </is>
      </c>
      <c r="E777" t="inlineStr">
        <is>
          <t>air::urban air close to ground</t>
        </is>
      </c>
      <c r="F777" t="inlineStr">
        <is>
          <t>biosphere</t>
        </is>
      </c>
      <c r="I777" s="6" t="n">
        <v>317</v>
      </c>
      <c r="J777" s="11">
        <f>J759</f>
        <v>0.54913204421144379</v>
      </c>
      <c r="K777" t="n">
        <v>2</v>
      </c>
      <c r="L777" s="3">
        <f>LN(B777)</f>
        <v>-10.270341128008443</v>
      </c>
      <c r="M777" t="n">
        <v>1</v>
      </c>
      <c r="N777" t="n">
        <v>1</v>
      </c>
      <c r="O777" t="n">
        <v>1</v>
      </c>
      <c r="P777" t="n">
        <v>1.02</v>
      </c>
      <c r="Q777" t="n">
        <v>1.2</v>
      </c>
      <c r="R777" t="n">
        <v>1</v>
      </c>
      <c r="S777" t="n">
        <v>1.5</v>
      </c>
      <c r="T777">
        <f>LN(SQRT(EXP(
SQRT(
+POWER(LN(M777),2)
+POWER(LN(N777),2)
+POWER(LN(O777),2)
+POWER(LN(P777),2)
+POWER(LN(Q777),2)
+POWER(LN(R777),2)
+POWER(LN(S777),2)
)
)))</f>
        <v>0.22250575723605889</v>
      </c>
    </row>
    <row r="778">
      <c r="A778" t="inlineStr">
        <is>
          <t>Particulate Matter, &lt; 2.5 um</t>
        </is>
      </c>
      <c r="B778">
        <f>unallocated!B295/I778*J778</f>
        <v>1.0393666451951617E-5</v>
      </c>
      <c r="D778" t="inlineStr">
        <is>
          <t>kilogram</t>
        </is>
      </c>
      <c r="E778" t="inlineStr">
        <is>
          <t>air::urban air close to ground</t>
        </is>
      </c>
      <c r="F778" t="inlineStr">
        <is>
          <t>biosphere</t>
        </is>
      </c>
      <c r="I778" s="6" t="n">
        <v>317</v>
      </c>
      <c r="J778" s="11">
        <f>J759</f>
        <v>0.54913204421144379</v>
      </c>
      <c r="K778" t="n">
        <v>2</v>
      </c>
      <c r="L778" s="3">
        <f>LN(B778)</f>
        <v>-11.474313932334379</v>
      </c>
      <c r="M778" t="n">
        <v>1</v>
      </c>
      <c r="N778" t="n">
        <v>1</v>
      </c>
      <c r="O778" t="n">
        <v>1</v>
      </c>
      <c r="P778" t="n">
        <v>1.02</v>
      </c>
      <c r="Q778" t="n">
        <v>1.2</v>
      </c>
      <c r="R778" t="n">
        <v>1</v>
      </c>
      <c r="S778" t="n">
        <v>3</v>
      </c>
      <c r="T778">
        <f>LN(SQRT(EXP(
SQRT(
+POWER(LN(M778),2)
+POWER(LN(N778),2)
+POWER(LN(O778),2)
+POWER(LN(P778),2)
+POWER(LN(Q778),2)
+POWER(LN(R778),2)
+POWER(LN(S778),2)
)
)))</f>
        <v>0.5569071410325479</v>
      </c>
    </row>
    <row r="779">
      <c r="A779" t="inlineStr">
        <is>
          <t>Mercury II</t>
        </is>
      </c>
      <c r="B779">
        <f>unallocated!B296/I779*J779</f>
        <v>1.0393666451951618E-8</v>
      </c>
      <c r="D779" t="inlineStr">
        <is>
          <t>kilogram</t>
        </is>
      </c>
      <c r="E779" t="inlineStr">
        <is>
          <t>air::urban air close to ground</t>
        </is>
      </c>
      <c r="F779" t="inlineStr">
        <is>
          <t>biosphere</t>
        </is>
      </c>
      <c r="I779" s="6" t="n">
        <v>317</v>
      </c>
      <c r="J779" s="11">
        <f>J759</f>
        <v>0.54913204421144379</v>
      </c>
      <c r="K779" t="n">
        <v>2</v>
      </c>
      <c r="L779" s="3">
        <f>LN(B779)</f>
        <v>-18.382069211316516</v>
      </c>
      <c r="M779" t="n">
        <v>1</v>
      </c>
      <c r="N779" t="n">
        <v>1</v>
      </c>
      <c r="O779" t="n">
        <v>1</v>
      </c>
      <c r="P779" t="n">
        <v>1.02</v>
      </c>
      <c r="Q779" t="n">
        <v>1.2</v>
      </c>
      <c r="R779" t="n">
        <v>1</v>
      </c>
      <c r="S779" t="n">
        <v>5</v>
      </c>
      <c r="T779">
        <f>LN(SQRT(EXP(
SQRT(
+POWER(LN(M779),2)
+POWER(LN(N779),2)
+POWER(LN(O779),2)
+POWER(LN(P779),2)
+POWER(LN(Q779),2)
+POWER(LN(R779),2)
+POWER(LN(S779),2)
)
)))</f>
        <v>0.80992649174166365</v>
      </c>
    </row>
    <row r="780">
      <c r="A780" t="inlineStr">
        <is>
          <t>Lead II</t>
        </is>
      </c>
      <c r="B780">
        <f>unallocated!B297/I780*J780</f>
        <v>1.0393666451951618E-8</v>
      </c>
      <c r="D780" t="inlineStr">
        <is>
          <t>kilogram</t>
        </is>
      </c>
      <c r="E780" t="inlineStr">
        <is>
          <t>air::urban air close to ground</t>
        </is>
      </c>
      <c r="F780" t="inlineStr">
        <is>
          <t>biosphere</t>
        </is>
      </c>
      <c r="I780" s="6" t="n">
        <v>317</v>
      </c>
      <c r="J780" s="11">
        <f>J759</f>
        <v>0.54913204421144379</v>
      </c>
      <c r="K780" t="n">
        <v>2</v>
      </c>
      <c r="L780" s="3">
        <f>LN(B780)</f>
        <v>-18.382069211316516</v>
      </c>
      <c r="M780" t="n">
        <v>1</v>
      </c>
      <c r="N780" t="n">
        <v>1</v>
      </c>
      <c r="O780" t="n">
        <v>1</v>
      </c>
      <c r="P780" t="n">
        <v>1.02</v>
      </c>
      <c r="Q780" t="n">
        <v>1.2</v>
      </c>
      <c r="R780" t="n">
        <v>1</v>
      </c>
      <c r="S780" t="n">
        <v>5</v>
      </c>
      <c r="T780">
        <f>LN(SQRT(EXP(
SQRT(
+POWER(LN(M780),2)
+POWER(LN(N780),2)
+POWER(LN(O780),2)
+POWER(LN(P780),2)
+POWER(LN(Q780),2)
+POWER(LN(R780),2)
+POWER(LN(S780),2)
)
)))</f>
        <v>0.80992649174166365</v>
      </c>
    </row>
    <row r="781">
      <c r="A781" t="inlineStr">
        <is>
          <t>Cadmium II</t>
        </is>
      </c>
      <c r="B781">
        <f>unallocated!B298/I781*J781</f>
        <v>5.1968332259758088E-9</v>
      </c>
      <c r="D781" t="inlineStr">
        <is>
          <t>kilogram</t>
        </is>
      </c>
      <c r="E781" t="inlineStr">
        <is>
          <t>air::urban air close to ground</t>
        </is>
      </c>
      <c r="F781" t="inlineStr">
        <is>
          <t>biosphere</t>
        </is>
      </c>
      <c r="I781" s="6" t="n">
        <v>317</v>
      </c>
      <c r="J781" s="11">
        <f>J759</f>
        <v>0.54913204421144379</v>
      </c>
      <c r="K781" t="n">
        <v>2</v>
      </c>
      <c r="L781" s="3">
        <f>LN(B781)</f>
        <v>-19.075216391876459</v>
      </c>
      <c r="M781" t="n">
        <v>1</v>
      </c>
      <c r="N781" t="n">
        <v>1</v>
      </c>
      <c r="O781" t="n">
        <v>1</v>
      </c>
      <c r="P781" t="n">
        <v>1.02</v>
      </c>
      <c r="Q781" t="n">
        <v>1.2</v>
      </c>
      <c r="R781" t="n">
        <v>1</v>
      </c>
      <c r="S781" t="n">
        <v>5</v>
      </c>
      <c r="T781">
        <f>LN(SQRT(EXP(
SQRT(
+POWER(LN(M781),2)
+POWER(LN(N781),2)
+POWER(LN(O781),2)
+POWER(LN(P781),2)
+POWER(LN(Q781),2)
+POWER(LN(R781),2)
+POWER(LN(S781),2)
)
)))</f>
        <v>0.80992649174166365</v>
      </c>
    </row>
    <row r="782">
      <c r="A782" t="inlineStr">
        <is>
          <t>Arsenic ion</t>
        </is>
      </c>
      <c r="B782">
        <f>unallocated!B299/I782*J782</f>
        <v>5.1968332259758088E-9</v>
      </c>
      <c r="D782" t="inlineStr">
        <is>
          <t>kilogram</t>
        </is>
      </c>
      <c r="E782" t="inlineStr">
        <is>
          <t>air::urban air close to ground</t>
        </is>
      </c>
      <c r="F782" t="inlineStr">
        <is>
          <t>biosphere</t>
        </is>
      </c>
      <c r="I782" s="6" t="n">
        <v>317</v>
      </c>
      <c r="J782" s="11">
        <f>J759</f>
        <v>0.54913204421144379</v>
      </c>
      <c r="K782" t="n">
        <v>2</v>
      </c>
      <c r="L782" s="3">
        <f>LN(B782)</f>
        <v>-19.075216391876459</v>
      </c>
      <c r="M782" t="n">
        <v>1</v>
      </c>
      <c r="N782" t="n">
        <v>1</v>
      </c>
      <c r="O782" t="n">
        <v>1</v>
      </c>
      <c r="P782" t="n">
        <v>1.02</v>
      </c>
      <c r="Q782" t="n">
        <v>1.2</v>
      </c>
      <c r="R782" t="n">
        <v>1</v>
      </c>
      <c r="S782" t="n">
        <v>5</v>
      </c>
      <c r="T782">
        <f>LN(SQRT(EXP(
SQRT(
+POWER(LN(M782),2)
+POWER(LN(N782),2)
+POWER(LN(O782),2)
+POWER(LN(P782),2)
+POWER(LN(Q782),2)
+POWER(LN(R782),2)
+POWER(LN(S782),2)
)
)))</f>
        <v>0.80992649174166365</v>
      </c>
    </row>
    <row r="783">
      <c r="A783" t="inlineStr">
        <is>
          <t>Dioxins, measured as 2,3,7,8-tetrachlorodibenzo-p-dioxin</t>
        </is>
      </c>
      <c r="B783">
        <f>unallocated!B300/I783*J783</f>
        <v>1.90550551619113E-13</v>
      </c>
      <c r="D783" t="inlineStr">
        <is>
          <t>kilogram</t>
        </is>
      </c>
      <c r="E783" t="inlineStr">
        <is>
          <t>air::urban air close to ground</t>
        </is>
      </c>
      <c r="F783" t="inlineStr">
        <is>
          <t>biosphere</t>
        </is>
      </c>
      <c r="I783" s="6" t="n">
        <v>317</v>
      </c>
      <c r="J783" s="11">
        <f>J759</f>
        <v>0.54913204421144379</v>
      </c>
      <c r="K783" t="n">
        <v>2</v>
      </c>
      <c r="L783" s="3">
        <f>LN(B783)</f>
        <v>-29.288858872716428</v>
      </c>
      <c r="M783" t="n">
        <v>1</v>
      </c>
      <c r="N783" t="n">
        <v>1</v>
      </c>
      <c r="O783" t="n">
        <v>1</v>
      </c>
      <c r="P783" t="n">
        <v>1.02</v>
      </c>
      <c r="Q783" t="n">
        <v>1.2</v>
      </c>
      <c r="R783" t="n">
        <v>1</v>
      </c>
      <c r="S783" t="n">
        <v>5</v>
      </c>
      <c r="T783">
        <f>LN(SQRT(EXP(
SQRT(
+POWER(LN(M783),2)
+POWER(LN(N783),2)
+POWER(LN(O783),2)
+POWER(LN(P783),2)
+POWER(LN(Q783),2)
+POWER(LN(R783),2)
+POWER(LN(S783),2)
)
)))</f>
        <v>0.80992649174166365</v>
      </c>
    </row>
    <row r="784">
      <c r="A784" t="inlineStr">
        <is>
          <t>Carbon dioxide, fossil</t>
        </is>
      </c>
      <c r="B784">
        <f>unallocated!B301/I784*J784</f>
        <v>9.7007553551548442E-2</v>
      </c>
      <c r="D784" t="inlineStr">
        <is>
          <t>kilogram</t>
        </is>
      </c>
      <c r="E784" t="inlineStr">
        <is>
          <t>air::urban air close to ground</t>
        </is>
      </c>
      <c r="F784" t="inlineStr">
        <is>
          <t>biosphere</t>
        </is>
      </c>
      <c r="I784" s="6" t="n">
        <v>317</v>
      </c>
      <c r="J784" s="11">
        <f>J759</f>
        <v>0.54913204421144379</v>
      </c>
      <c r="K784" t="n">
        <v>2</v>
      </c>
      <c r="L784" s="3">
        <f>LN(B784)</f>
        <v>-2.3329664318451471</v>
      </c>
      <c r="M784" t="n">
        <v>1</v>
      </c>
      <c r="N784" t="n">
        <v>1</v>
      </c>
      <c r="O784" t="n">
        <v>1</v>
      </c>
      <c r="P784" t="n">
        <v>1.02</v>
      </c>
      <c r="Q784" t="n">
        <v>1.2</v>
      </c>
      <c r="R784" t="n">
        <v>1</v>
      </c>
      <c r="S784" t="n">
        <v>1.05</v>
      </c>
      <c r="T784">
        <f>LN(SQRT(EXP(
SQRT(
+POWER(LN(M784),2)
+POWER(LN(N784),2)
+POWER(LN(O784),2)
+POWER(LN(P784),2)
+POWER(LN(Q784),2)
+POWER(LN(R784),2)
+POWER(LN(S784),2)
)
)))</f>
        <v>9.4886477223156879E-2</v>
      </c>
    </row>
    <row r="785">
      <c r="A785" t="inlineStr">
        <is>
          <t>Carbon dioxide, non-fossil</t>
        </is>
      </c>
      <c r="B785">
        <f>unallocated!B302/I785*J785</f>
        <v>0.1541727190372823</v>
      </c>
      <c r="D785" t="inlineStr">
        <is>
          <t>kilogram</t>
        </is>
      </c>
      <c r="E785" t="inlineStr">
        <is>
          <t>air::urban air close to ground</t>
        </is>
      </c>
      <c r="F785" t="inlineStr">
        <is>
          <t>biosphere</t>
        </is>
      </c>
      <c r="I785" s="6" t="n">
        <v>317</v>
      </c>
      <c r="J785" s="14">
        <f>J759</f>
        <v>0.54913204421144379</v>
      </c>
      <c r="K785" t="n">
        <v>2</v>
      </c>
      <c r="L785" s="3">
        <f>LN(B785)</f>
        <v>-1.8696817528481569</v>
      </c>
      <c r="M785" t="n">
        <v>1</v>
      </c>
      <c r="N785" t="n">
        <v>1</v>
      </c>
      <c r="O785" t="n">
        <v>1</v>
      </c>
      <c r="P785" t="n">
        <v>1.02</v>
      </c>
      <c r="Q785" t="n">
        <v>1.2</v>
      </c>
      <c r="R785" t="n">
        <v>1</v>
      </c>
      <c r="S785" t="n">
        <v>1.05</v>
      </c>
      <c r="T785">
        <f>LN(SQRT(EXP(
SQRT(
+POWER(LN(M785),2)
+POWER(LN(N785),2)
+POWER(LN(O785),2)
+POWER(LN(P785),2)
+POWER(LN(Q785),2)
+POWER(LN(R785),2)
+POWER(LN(S785),2)
)
)))</f>
        <v>9.4886477223156879E-2</v>
      </c>
    </row>
    <row r="786">
      <c r="A786" t="inlineStr">
        <is>
          <t>Carbon dioxide, in air</t>
        </is>
      </c>
      <c r="B786">
        <f>unallocated!B303/I786*J786</f>
        <v>0.8748002597059279</v>
      </c>
      <c r="D786" t="inlineStr">
        <is>
          <t>kilogram</t>
        </is>
      </c>
      <c r="E786" t="inlineStr">
        <is>
          <t>natural resource::in air</t>
        </is>
      </c>
      <c r="F786" t="inlineStr">
        <is>
          <t>biosphere</t>
        </is>
      </c>
      <c r="H786" t="inlineStr">
        <is>
          <t>To reflect the permanent storage of non-fossil CO.</t>
        </is>
      </c>
      <c r="I786" s="6" t="n">
        <v>317</v>
      </c>
      <c r="J786" s="14">
        <f>J759</f>
        <v>0.54913204421144379</v>
      </c>
      <c r="K786" t="n">
        <v>2</v>
      </c>
      <c r="L786" s="3">
        <f>LN(B786)</f>
        <v>-0.13375969330493656</v>
      </c>
      <c r="M786" t="n">
        <v>1</v>
      </c>
      <c r="N786" t="n">
        <v>1</v>
      </c>
      <c r="O786" t="n">
        <v>1</v>
      </c>
      <c r="P786" t="n">
        <v>1.02</v>
      </c>
      <c r="Q786" t="n">
        <v>1.2</v>
      </c>
      <c r="R786" t="n">
        <v>1</v>
      </c>
      <c r="S786" t="n">
        <v>1.05</v>
      </c>
      <c r="T786">
        <f>LN(SQRT(EXP(
SQRT(
+POWER(LN(M786),2)
+POWER(LN(N786),2)
+POWER(LN(O786),2)
+POWER(LN(P786),2)
+POWER(LN(Q786),2)
+POWER(LN(R786),2)
+POWER(LN(S786),2)
)
)))</f>
        <v>9.4886477223156879E-2</v>
      </c>
    </row>
    <row r="787"/>
    <row r="788">
      <c r="A788" s="1" t="inlineStr">
        <is>
          <t>Activity</t>
        </is>
      </c>
      <c r="B788" s="1" t="inlineStr">
        <is>
          <t>municipal waste incineration, at incineration plant, with wet air pollution control, with flue gas condensation, with electricity and heat recovery, with carbon capture and storage, exergy allocation</t>
        </is>
      </c>
    </row>
    <row r="789">
      <c r="A789" t="inlineStr">
        <is>
          <t>location</t>
        </is>
      </c>
      <c r="B789" t="inlineStr">
        <is>
          <t>RER</t>
        </is>
      </c>
    </row>
    <row r="790">
      <c r="A790" t="inlineStr">
        <is>
          <t>production amount</t>
        </is>
      </c>
      <c r="B790" t="n">
        <v>1</v>
      </c>
    </row>
    <row r="791">
      <c r="A791" s="2" t="inlineStr">
        <is>
          <t>source</t>
        </is>
      </c>
      <c r="B791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92">
      <c r="A792" t="inlineStr">
        <is>
          <t>reference product</t>
        </is>
      </c>
      <c r="B792" t="inlineStr">
        <is>
          <t>heat, district or industrial, other than natural gas</t>
        </is>
      </c>
    </row>
    <row r="793">
      <c r="A793" t="inlineStr">
        <is>
          <t>type</t>
        </is>
      </c>
      <c r="B793" t="inlineStr">
        <is>
          <t>process</t>
        </is>
      </c>
    </row>
    <row r="794">
      <c r="A794" t="inlineStr">
        <is>
          <t>unit</t>
        </is>
      </c>
      <c r="B794" t="inlineStr">
        <is>
          <t>megajoule</t>
        </is>
      </c>
    </row>
    <row r="795">
      <c r="A795" t="inlineStr">
        <is>
          <t>comment</t>
        </is>
      </c>
      <c r="B795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796">
      <c r="A796" s="1" t="inlineStr">
        <is>
          <t>Exchanges</t>
        </is>
      </c>
    </row>
    <row r="797">
      <c r="A797" s="7" t="inlineStr">
        <is>
          <t>name</t>
        </is>
      </c>
      <c r="B797" s="7" t="inlineStr">
        <is>
          <t>amount</t>
        </is>
      </c>
      <c r="C797" s="7" t="inlineStr">
        <is>
          <t>location</t>
        </is>
      </c>
      <c r="D797" s="7" t="inlineStr">
        <is>
          <t>unit</t>
        </is>
      </c>
      <c r="E797" s="7" t="inlineStr">
        <is>
          <t>categories</t>
        </is>
      </c>
      <c r="F797" s="7" t="inlineStr">
        <is>
          <t>type</t>
        </is>
      </c>
      <c r="G797" s="7" t="inlineStr">
        <is>
          <t>reference product</t>
        </is>
      </c>
      <c r="H797" s="7" t="inlineStr">
        <is>
          <t>comment</t>
        </is>
      </c>
      <c r="I797" s="7" t="inlineStr">
        <is>
          <t>normalization</t>
        </is>
      </c>
      <c r="J797" s="7" t="inlineStr">
        <is>
          <t>allocation</t>
        </is>
      </c>
      <c r="K797" s="7" t="inlineStr">
        <is>
          <t>uncertainty type</t>
        </is>
      </c>
      <c r="L797" s="7" t="inlineStr">
        <is>
          <t>loc</t>
        </is>
      </c>
      <c r="M797" s="1" t="inlineStr">
        <is>
          <t>u1</t>
        </is>
      </c>
      <c r="N797" s="1" t="inlineStr">
        <is>
          <t>u2</t>
        </is>
      </c>
      <c r="O797" s="1" t="inlineStr">
        <is>
          <t>u3</t>
        </is>
      </c>
      <c r="P797" s="1" t="inlineStr">
        <is>
          <t>u4</t>
        </is>
      </c>
      <c r="Q797" s="1" t="inlineStr">
        <is>
          <t>u5</t>
        </is>
      </c>
      <c r="R797" s="1" t="inlineStr">
        <is>
          <t>u6</t>
        </is>
      </c>
      <c r="S797" s="1" t="inlineStr">
        <is>
          <t>ub</t>
        </is>
      </c>
      <c r="T797" s="1" t="inlineStr">
        <is>
          <t>scale</t>
        </is>
      </c>
      <c r="U797" s="1" t="inlineStr">
        <is>
          <t>negative</t>
        </is>
      </c>
    </row>
    <row r="798">
      <c r="A798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B798" t="n">
        <v>0</v>
      </c>
      <c r="C798" t="inlineStr">
        <is>
          <t>RER</t>
        </is>
      </c>
      <c r="D798" t="inlineStr">
        <is>
          <t>kilogram</t>
        </is>
      </c>
      <c r="F798" t="inlineStr">
        <is>
          <t>technosphere</t>
        </is>
      </c>
      <c r="G798" t="inlineStr">
        <is>
          <t>municipal solid waste</t>
        </is>
      </c>
      <c r="H798" t="inlineStr"/>
      <c r="I798" t="n">
        <v>7400</v>
      </c>
      <c r="J798" s="14">
        <f>INDEX('allocation keys'!$I$4:$K$29,MATCH('allocated (exergy)'!$B$788,'allocation keys'!$B$4:$B$28,0),MATCH('allocated (exergy)'!$B$792,'allocation keys'!$I$3:$K$3,0))</f>
        <v>0.45086795578855626</v>
      </c>
      <c r="K798" t="n">
        <v>0</v>
      </c>
      <c r="M798" s="5" t="n"/>
      <c r="N798" s="5" t="n"/>
      <c r="O798" s="5" t="n"/>
      <c r="P798" s="5" t="n"/>
      <c r="Q798" s="5" t="n"/>
      <c r="R798" s="5" t="n"/>
    </row>
    <row r="799">
      <c r="A799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B799" s="6" t="n">
        <v>0</v>
      </c>
      <c r="C799" t="inlineStr">
        <is>
          <t>RER</t>
        </is>
      </c>
      <c r="D799" t="inlineStr">
        <is>
          <t>kilowatt hour</t>
        </is>
      </c>
      <c r="F799" t="inlineStr">
        <is>
          <t>technosphere</t>
        </is>
      </c>
      <c r="G799" t="inlineStr">
        <is>
          <t>electricity, medium voltage</t>
        </is>
      </c>
      <c r="H799" t="inlineStr"/>
      <c r="I799" t="n">
        <v>7400</v>
      </c>
      <c r="J799" s="11">
        <f>J798</f>
        <v>0.45086795578855626</v>
      </c>
      <c r="K799" t="n">
        <v>0</v>
      </c>
      <c r="L799" s="3" t="n"/>
    </row>
    <row r="800">
      <c r="A800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B800" t="n">
        <v>1</v>
      </c>
      <c r="C800" t="inlineStr">
        <is>
          <t>RER</t>
        </is>
      </c>
      <c r="D800" t="inlineStr">
        <is>
          <t>megajoule</t>
        </is>
      </c>
      <c r="F800" t="inlineStr">
        <is>
          <t>production</t>
        </is>
      </c>
      <c r="G800" t="inlineStr">
        <is>
          <t>heat, district or industrial, other than natural gas</t>
        </is>
      </c>
      <c r="H800" t="inlineStr"/>
      <c r="I800" t="n">
        <v>7400</v>
      </c>
      <c r="J800" s="11">
        <f>J798</f>
        <v>0.45086795578855626</v>
      </c>
      <c r="K800" t="n">
        <v>0</v>
      </c>
      <c r="L800" s="3" t="n"/>
    </row>
    <row r="801">
      <c r="A801" t="inlineStr">
        <is>
          <t>market for diesel, low-sulfur</t>
        </is>
      </c>
      <c r="B801">
        <f>unallocated!B279/I801*J801</f>
        <v>5.1788886813550385E-6</v>
      </c>
      <c r="C801" t="inlineStr">
        <is>
          <t>Europe without Switzerland</t>
        </is>
      </c>
      <c r="D801" t="inlineStr">
        <is>
          <t>kilogram</t>
        </is>
      </c>
      <c r="F801" t="inlineStr">
        <is>
          <t>technosphere</t>
        </is>
      </c>
      <c r="G801" t="inlineStr">
        <is>
          <t>diesel, low-sulfur</t>
        </is>
      </c>
      <c r="H801" t="inlineStr">
        <is>
          <t>Diesel density: 0.85 kg/l</t>
        </is>
      </c>
      <c r="I801" t="n">
        <v>7400</v>
      </c>
      <c r="J801" s="11">
        <f>J798</f>
        <v>0.45086795578855626</v>
      </c>
      <c r="K801" t="n">
        <v>2</v>
      </c>
      <c r="L801" s="3">
        <f>LN(B801)</f>
        <v>-12.17092006498889</v>
      </c>
      <c r="M801" t="n">
        <v>1</v>
      </c>
      <c r="N801" t="n">
        <v>1</v>
      </c>
      <c r="O801" t="n">
        <v>1</v>
      </c>
      <c r="P801" t="n">
        <v>1.02</v>
      </c>
      <c r="Q801" t="n">
        <v>1.2</v>
      </c>
      <c r="R801" t="n">
        <v>1</v>
      </c>
      <c r="S801" t="n">
        <v>1.05</v>
      </c>
      <c r="T801">
        <f>LN(SQRT(EXP(
SQRT(
+POWER(LN(M801),2)
+POWER(LN(N801),2)
+POWER(LN(O801),2)
+POWER(LN(P801),2)
+POWER(LN(Q801),2)
+POWER(LN(R801),2)
+POWER(LN(S801),2)
)
)))</f>
        <v>9.4886477223156879E-2</v>
      </c>
    </row>
    <row r="802">
      <c r="A802" t="inlineStr">
        <is>
          <t>market for activated carbon, granular</t>
        </is>
      </c>
      <c r="B802">
        <f>unallocated!B280/I802*J802</f>
        <v>2.4371240853435477E-5</v>
      </c>
      <c r="C802" t="inlineStr">
        <is>
          <t>GLO</t>
        </is>
      </c>
      <c r="D802" t="inlineStr">
        <is>
          <t>kilogram</t>
        </is>
      </c>
      <c r="F802" t="inlineStr">
        <is>
          <t>technosphere</t>
        </is>
      </c>
      <c r="G802" t="inlineStr">
        <is>
          <t>activated carbon, granular</t>
        </is>
      </c>
      <c r="I802" t="n">
        <v>7400</v>
      </c>
      <c r="J802" s="11">
        <f>J798</f>
        <v>0.45086795578855626</v>
      </c>
      <c r="K802" t="n">
        <v>2</v>
      </c>
      <c r="L802" s="3">
        <f>LN(B802)</f>
        <v>-10.622106774371225</v>
      </c>
      <c r="M802" t="n">
        <v>1</v>
      </c>
      <c r="N802" t="n">
        <v>1</v>
      </c>
      <c r="O802" t="n">
        <v>1</v>
      </c>
      <c r="P802" t="n">
        <v>1.02</v>
      </c>
      <c r="Q802" t="n">
        <v>1.2</v>
      </c>
      <c r="R802" t="n">
        <v>1</v>
      </c>
      <c r="S802" t="n">
        <v>1.05</v>
      </c>
      <c r="T802">
        <f>LN(SQRT(EXP(
SQRT(
+POWER(LN(M802),2)
+POWER(LN(N802),2)
+POWER(LN(O802),2)
+POWER(LN(P802),2)
+POWER(LN(Q802),2)
+POWER(LN(R802),2)
+POWER(LN(S802),2)
)
)))</f>
        <v>9.4886477223156879E-2</v>
      </c>
    </row>
    <row r="803">
      <c r="A803" t="inlineStr">
        <is>
          <t>market for ammonia, anhydrous, liquid</t>
        </is>
      </c>
      <c r="B803">
        <f>unallocated!B281/I803*J803</f>
        <v>5.9709540090916909E-5</v>
      </c>
      <c r="C803" t="inlineStr">
        <is>
          <t>RER</t>
        </is>
      </c>
      <c r="D803" t="inlineStr">
        <is>
          <t>kilogram</t>
        </is>
      </c>
      <c r="F803" t="inlineStr">
        <is>
          <t>technosphere</t>
        </is>
      </c>
      <c r="G803" t="inlineStr">
        <is>
          <t>ammonia, anhydrous, liquid</t>
        </is>
      </c>
      <c r="H803" t="inlineStr">
        <is>
          <t>100% liquid ammonia. In original publication, it is dilluated to 23.5% in water. We discount the original value by 75%.</t>
        </is>
      </c>
      <c r="I803" t="n">
        <v>7400</v>
      </c>
      <c r="J803" s="11">
        <f>J798</f>
        <v>0.45086795578855626</v>
      </c>
      <c r="K803" t="n">
        <v>2</v>
      </c>
      <c r="L803" s="3">
        <f>LN(B803)</f>
        <v>-9.7260187498145889</v>
      </c>
      <c r="M803" t="n">
        <v>1</v>
      </c>
      <c r="N803" t="n">
        <v>1</v>
      </c>
      <c r="O803" t="n">
        <v>1</v>
      </c>
      <c r="P803" t="n">
        <v>1.02</v>
      </c>
      <c r="Q803" t="n">
        <v>1.2</v>
      </c>
      <c r="R803" t="n">
        <v>1</v>
      </c>
      <c r="S803" t="n">
        <v>1.05</v>
      </c>
      <c r="T803">
        <f>LN(SQRT(EXP(
SQRT(
+POWER(LN(M803),2)
+POWER(LN(N803),2)
+POWER(LN(O803),2)
+POWER(LN(P803),2)
+POWER(LN(Q803),2)
+POWER(LN(R803),2)
+POWER(LN(S803),2)
)
)))</f>
        <v>9.4886477223156879E-2</v>
      </c>
    </row>
    <row r="804">
      <c r="A804" t="inlineStr">
        <is>
          <t>market for tap water</t>
        </is>
      </c>
      <c r="B804">
        <f>unallocated!B282/I804*J804</f>
        <v>1.8400286844343783E-4</v>
      </c>
      <c r="C804" t="inlineStr">
        <is>
          <t>Europe without Switzerland</t>
        </is>
      </c>
      <c r="D804" t="inlineStr">
        <is>
          <t>kilogram</t>
        </is>
      </c>
      <c r="F804" t="inlineStr">
        <is>
          <t>technosphere</t>
        </is>
      </c>
      <c r="G804" t="inlineStr">
        <is>
          <t>tap water</t>
        </is>
      </c>
      <c r="H804" t="inlineStr">
        <is>
          <t>Used to dilute the ammonia.</t>
        </is>
      </c>
      <c r="I804" t="n">
        <v>7400</v>
      </c>
      <c r="J804" s="11">
        <f>J798</f>
        <v>0.45086795578855626</v>
      </c>
      <c r="K804" t="n">
        <v>2</v>
      </c>
      <c r="L804" s="3">
        <f>LN(B804)</f>
        <v>-8.6005592111102906</v>
      </c>
      <c r="M804" t="n">
        <v>1</v>
      </c>
      <c r="N804" t="n">
        <v>1</v>
      </c>
      <c r="O804" t="n">
        <v>1</v>
      </c>
      <c r="P804" t="n">
        <v>1.02</v>
      </c>
      <c r="Q804" t="n">
        <v>1.2</v>
      </c>
      <c r="R804" t="n">
        <v>1</v>
      </c>
      <c r="S804" t="n">
        <v>1.05</v>
      </c>
      <c r="T804">
        <f>LN(SQRT(EXP(
SQRT(
+POWER(LN(M804),2)
+POWER(LN(N804),2)
+POWER(LN(O804),2)
+POWER(LN(P804),2)
+POWER(LN(Q804),2)
+POWER(LN(R804),2)
+POWER(LN(S804),2)
)
)))</f>
        <v>9.4886477223156879E-2</v>
      </c>
    </row>
    <row r="805">
      <c r="A805" t="inlineStr">
        <is>
          <t>market for calcium carbonate, precipitated</t>
        </is>
      </c>
      <c r="B805">
        <f>unallocated!B283/I805*J805</f>
        <v>4.2649671493512077E-4</v>
      </c>
      <c r="C805" t="inlineStr">
        <is>
          <t>RER</t>
        </is>
      </c>
      <c r="D805" t="inlineStr">
        <is>
          <t>kilogram</t>
        </is>
      </c>
      <c r="F805" t="inlineStr">
        <is>
          <t>technosphere</t>
        </is>
      </c>
      <c r="G805" t="inlineStr">
        <is>
          <t>calcium carbonate, precipitated</t>
        </is>
      </c>
      <c r="I805" t="n">
        <v>7400</v>
      </c>
      <c r="J805" s="11">
        <f>J798</f>
        <v>0.45086795578855626</v>
      </c>
      <c r="K805" t="n">
        <v>0</v>
      </c>
      <c r="L805" s="3" t="n"/>
    </row>
    <row r="806">
      <c r="A806" t="inlineStr">
        <is>
          <t>market for iron(III) chloride, without water, in 40% solution state</t>
        </is>
      </c>
      <c r="B806">
        <f>unallocated!B284/I806*J806</f>
        <v>3.0464051066794346E-6</v>
      </c>
      <c r="C806" t="inlineStr">
        <is>
          <t>GLO</t>
        </is>
      </c>
      <c r="D806" t="inlineStr">
        <is>
          <t>kilogram</t>
        </is>
      </c>
      <c r="F806" t="inlineStr">
        <is>
          <t>technosphere</t>
        </is>
      </c>
      <c r="G806" t="inlineStr">
        <is>
          <t>iron(III) chloride, without water, in 40% solution state</t>
        </is>
      </c>
      <c r="I806" t="n">
        <v>7400</v>
      </c>
      <c r="J806" s="11">
        <f>J798</f>
        <v>0.45086795578855626</v>
      </c>
      <c r="K806" t="n">
        <v>0</v>
      </c>
      <c r="L806" s="3" t="n"/>
    </row>
    <row r="807">
      <c r="A807" t="inlineStr">
        <is>
          <t>market for lime, hydrated, packed</t>
        </is>
      </c>
      <c r="B807">
        <f>unallocated!B285/I807*J807</f>
        <v>0</v>
      </c>
      <c r="C807" t="inlineStr">
        <is>
          <t>RER</t>
        </is>
      </c>
      <c r="D807" t="inlineStr">
        <is>
          <t>kilogram</t>
        </is>
      </c>
      <c r="F807" t="inlineStr">
        <is>
          <t>technosphere</t>
        </is>
      </c>
      <c r="G807" t="inlineStr">
        <is>
          <t>lime, hydrated, packed</t>
        </is>
      </c>
      <c r="I807" t="n">
        <v>7400</v>
      </c>
      <c r="J807" s="11">
        <f>J798</f>
        <v>0.45086795578855626</v>
      </c>
      <c r="K807" t="n">
        <v>0</v>
      </c>
      <c r="L807" s="3" t="n"/>
    </row>
    <row r="808">
      <c r="A808" t="inlineStr">
        <is>
          <t>market for sodium hydroxide, without water, in 50% solution state</t>
        </is>
      </c>
      <c r="B808">
        <f>unallocated!B286/I808*J808</f>
        <v>3.0464051066794343E-5</v>
      </c>
      <c r="C808" t="inlineStr">
        <is>
          <t>RER</t>
        </is>
      </c>
      <c r="D808" t="inlineStr">
        <is>
          <t>kilogram</t>
        </is>
      </c>
      <c r="F808" t="inlineStr">
        <is>
          <t>technosphere</t>
        </is>
      </c>
      <c r="G808" t="inlineStr">
        <is>
          <t>sodium hydroxide, without water, in 50% solution state</t>
        </is>
      </c>
      <c r="H808" t="inlineStr">
        <is>
          <t>50% liquid ammonia. In original publication, it is dilluated to 27% in water. We discount the original value by 50%.</t>
        </is>
      </c>
      <c r="I808" t="n">
        <v>7400</v>
      </c>
      <c r="J808" s="11">
        <f>J798</f>
        <v>0.45086795578855626</v>
      </c>
      <c r="K808" t="n">
        <v>0</v>
      </c>
      <c r="L808" s="3" t="n"/>
    </row>
    <row r="809">
      <c r="A809" t="inlineStr">
        <is>
          <t>market for monoethanolamine</t>
        </is>
      </c>
      <c r="B809">
        <f>unallocated!B287/I809*J809</f>
        <v>2.4371240853435474E-4</v>
      </c>
      <c r="C809" t="inlineStr">
        <is>
          <t>GLO</t>
        </is>
      </c>
      <c r="D809" t="inlineStr">
        <is>
          <t>kilogram</t>
        </is>
      </c>
      <c r="F809" t="inlineStr">
        <is>
          <t>technosphere</t>
        </is>
      </c>
      <c r="G809" t="inlineStr">
        <is>
          <t>monoethanolamine</t>
        </is>
      </c>
      <c r="I809" t="n">
        <v>7400</v>
      </c>
      <c r="J809" s="11">
        <f>J798</f>
        <v>0.45086795578855626</v>
      </c>
      <c r="K809" t="n">
        <v>0</v>
      </c>
      <c r="L809" s="3" t="n"/>
    </row>
    <row r="810">
      <c r="A810" t="inlineStr">
        <is>
          <t>municipal waste incineration facility construction</t>
        </is>
      </c>
      <c r="B810">
        <f>unallocated!B288/I810*J810</f>
        <v>1.523202553339717E-11</v>
      </c>
      <c r="C810" t="inlineStr">
        <is>
          <t>CH</t>
        </is>
      </c>
      <c r="D810" t="inlineStr">
        <is>
          <t>unit</t>
        </is>
      </c>
      <c r="F810" t="inlineStr">
        <is>
          <t>technosphere</t>
        </is>
      </c>
      <c r="G810" t="inlineStr">
        <is>
          <t>municipal waste incineration facility</t>
        </is>
      </c>
      <c r="H810" t="inlineStr">
        <is>
          <t>Lifetime: 4'000'000 tons MSWI treated.</t>
        </is>
      </c>
      <c r="I810" t="n">
        <v>7400</v>
      </c>
      <c r="J810" s="11">
        <f>J798</f>
        <v>0.45086795578855626</v>
      </c>
      <c r="K810" t="n">
        <v>2</v>
      </c>
      <c r="L810" s="3">
        <f>LN(B810)</f>
        <v>-24.907620961581234</v>
      </c>
      <c r="M810" t="n">
        <v>1</v>
      </c>
      <c r="N810" t="n">
        <v>1</v>
      </c>
      <c r="O810" t="n">
        <v>1</v>
      </c>
      <c r="P810" t="n">
        <v>1.02</v>
      </c>
      <c r="Q810" t="n">
        <v>1.2</v>
      </c>
      <c r="R810" t="n">
        <v>1</v>
      </c>
      <c r="S810" t="n">
        <v>3</v>
      </c>
      <c r="T810">
        <f>LN(SQRT(EXP(
SQRT(
+POWER(LN(M810),2)
+POWER(LN(N810),2)
+POWER(LN(O810),2)
+POWER(LN(P810),2)
+POWER(LN(Q810),2)
+POWER(LN(R810),2)
+POWER(LN(S810),2)
)
)))</f>
        <v>0.5569071410325479</v>
      </c>
    </row>
    <row r="811">
      <c r="A811" t="inlineStr">
        <is>
          <t>carbon dioxide storage at wood burning power plant 20 MW post, pipeline 200km, storage 1000m</t>
        </is>
      </c>
      <c r="B811">
        <f>unallocated!B289/I811*J811</f>
        <v>5.0143828055943487E-2</v>
      </c>
      <c r="C811" t="inlineStr">
        <is>
          <t>RER</t>
        </is>
      </c>
      <c r="D811" t="inlineStr">
        <is>
          <t>kilogram</t>
        </is>
      </c>
      <c r="F811" t="inlineStr">
        <is>
          <t>technosphere</t>
        </is>
      </c>
      <c r="G811" t="inlineStr">
        <is>
          <t>carbon dioxide storage at wood burning power plant 20 MW post, pipeline 200km, storage 1000m</t>
        </is>
      </c>
      <c r="I811" t="n">
        <v>7400</v>
      </c>
      <c r="J811" s="11">
        <f>J798</f>
        <v>0.45086795578855626</v>
      </c>
      <c r="K811" t="n">
        <v>2</v>
      </c>
      <c r="L811" s="3">
        <f>LN(B811)</f>
        <v>-2.9928598418200001</v>
      </c>
      <c r="M811" t="n">
        <v>1</v>
      </c>
      <c r="N811" t="n">
        <v>1</v>
      </c>
      <c r="O811" t="n">
        <v>1</v>
      </c>
      <c r="P811" t="n">
        <v>1.02</v>
      </c>
      <c r="Q811" t="n">
        <v>1.2</v>
      </c>
      <c r="R811" t="n">
        <v>1</v>
      </c>
      <c r="S811" t="n">
        <v>3</v>
      </c>
      <c r="T811">
        <f>LN(SQRT(EXP(
SQRT(
+POWER(LN(M811),2)
+POWER(LN(N811),2)
+POWER(LN(O811),2)
+POWER(LN(P811),2)
+POWER(LN(Q811),2)
+POWER(LN(R811),2)
+POWER(LN(S811),2)
)
)))</f>
        <v>0.5569071410325479</v>
      </c>
    </row>
    <row r="812">
      <c r="A812" t="inlineStr">
        <is>
          <t>Water, cooling, unspecified natural origin</t>
        </is>
      </c>
      <c r="B812">
        <f>unallocated!B290/I812*J812</f>
        <v>0</v>
      </c>
      <c r="D812" t="inlineStr">
        <is>
          <t>cubic meter</t>
        </is>
      </c>
      <c r="E812" t="inlineStr">
        <is>
          <t>natural resource::in water</t>
        </is>
      </c>
      <c r="F812" t="inlineStr">
        <is>
          <t>biosphere</t>
        </is>
      </c>
      <c r="I812" t="n">
        <v>7400</v>
      </c>
      <c r="J812" s="11">
        <f>J798</f>
        <v>0.45086795578855626</v>
      </c>
      <c r="K812" t="n">
        <v>0</v>
      </c>
      <c r="L812" s="3" t="n"/>
    </row>
    <row r="813">
      <c r="A813" t="inlineStr">
        <is>
          <t>Sulfur dioxide</t>
        </is>
      </c>
      <c r="B813">
        <f>unallocated!B291/I813*J813</f>
        <v>3.6556861280153209E-7</v>
      </c>
      <c r="D813" t="inlineStr">
        <is>
          <t>kilogram</t>
        </is>
      </c>
      <c r="E813" t="inlineStr">
        <is>
          <t>air::urban air close to ground</t>
        </is>
      </c>
      <c r="F813" t="inlineStr">
        <is>
          <t>biosphere</t>
        </is>
      </c>
      <c r="I813" t="n">
        <v>7400</v>
      </c>
      <c r="J813" s="11">
        <f>J798</f>
        <v>0.45086795578855626</v>
      </c>
      <c r="K813" t="n">
        <v>2</v>
      </c>
      <c r="L813" s="3">
        <f>LN(B813)</f>
        <v>-14.821811852251152</v>
      </c>
      <c r="M813" t="n">
        <v>1</v>
      </c>
      <c r="N813" t="n">
        <v>1</v>
      </c>
      <c r="O813" t="n">
        <v>1</v>
      </c>
      <c r="P813" t="n">
        <v>1.02</v>
      </c>
      <c r="Q813" t="n">
        <v>1.2</v>
      </c>
      <c r="R813" t="n">
        <v>1</v>
      </c>
      <c r="S813" t="n">
        <v>1.05</v>
      </c>
      <c r="T813">
        <f>LN(SQRT(EXP(
SQRT(
+POWER(LN(M813),2)
+POWER(LN(N813),2)
+POWER(LN(O813),2)
+POWER(LN(P813),2)
+POWER(LN(Q813),2)
+POWER(LN(R813),2)
+POWER(LN(S813),2)
)
)))</f>
        <v>9.4886477223156879E-2</v>
      </c>
    </row>
    <row r="814">
      <c r="A814" t="inlineStr">
        <is>
          <t>Hydrochloric acid</t>
        </is>
      </c>
      <c r="B814">
        <f>unallocated!B292/I814*J814</f>
        <v>1.8278430640076604E-7</v>
      </c>
      <c r="D814" t="inlineStr">
        <is>
          <t>kilogram</t>
        </is>
      </c>
      <c r="E814" t="inlineStr">
        <is>
          <t>air</t>
        </is>
      </c>
      <c r="F814" t="inlineStr">
        <is>
          <t>biosphere</t>
        </is>
      </c>
      <c r="I814" t="n">
        <v>7400</v>
      </c>
      <c r="J814" s="11">
        <f>J798</f>
        <v>0.45086795578855626</v>
      </c>
      <c r="K814" t="n">
        <v>2</v>
      </c>
      <c r="L814" s="3">
        <f>LN(B814)</f>
        <v>-15.514959032811097</v>
      </c>
      <c r="M814" t="n">
        <v>1</v>
      </c>
      <c r="N814" t="n">
        <v>1</v>
      </c>
      <c r="O814" t="n">
        <v>1</v>
      </c>
      <c r="P814" t="n">
        <v>1.02</v>
      </c>
      <c r="Q814" t="n">
        <v>1.2</v>
      </c>
      <c r="R814" t="n">
        <v>1</v>
      </c>
      <c r="S814" t="n">
        <v>1.5</v>
      </c>
      <c r="T814">
        <f>LN(SQRT(EXP(
SQRT(
+POWER(LN(M814),2)
+POWER(LN(N814),2)
+POWER(LN(O814),2)
+POWER(LN(P814),2)
+POWER(LN(Q814),2)
+POWER(LN(R814),2)
+POWER(LN(S814),2)
)
)))</f>
        <v>0.22250575723605889</v>
      </c>
    </row>
    <row r="815">
      <c r="A815" t="inlineStr">
        <is>
          <t>Nitrogen oxides</t>
        </is>
      </c>
      <c r="B815">
        <f>unallocated!B293/I815*J815</f>
        <v>4.1248325144439546E-5</v>
      </c>
      <c r="D815" t="inlineStr">
        <is>
          <t>kilogram</t>
        </is>
      </c>
      <c r="E815" t="inlineStr">
        <is>
          <t>air::urban air close to ground</t>
        </is>
      </c>
      <c r="F815" t="inlineStr">
        <is>
          <t>biosphere</t>
        </is>
      </c>
      <c r="I815" t="n">
        <v>7400</v>
      </c>
      <c r="J815" s="11">
        <f>J798</f>
        <v>0.45086795578855626</v>
      </c>
      <c r="K815" t="n">
        <v>2</v>
      </c>
      <c r="L815" s="3">
        <f>LN(B815)</f>
        <v>-10.095900048566932</v>
      </c>
      <c r="M815" t="n">
        <v>1</v>
      </c>
      <c r="N815" t="n">
        <v>1</v>
      </c>
      <c r="O815" t="n">
        <v>1</v>
      </c>
      <c r="P815" t="n">
        <v>1.02</v>
      </c>
      <c r="Q815" t="n">
        <v>1.2</v>
      </c>
      <c r="R815" t="n">
        <v>1</v>
      </c>
      <c r="S815" t="n">
        <v>1.5</v>
      </c>
      <c r="T815">
        <f>LN(SQRT(EXP(
SQRT(
+POWER(LN(M815),2)
+POWER(LN(N815),2)
+POWER(LN(O815),2)
+POWER(LN(P815),2)
+POWER(LN(Q815),2)
+POWER(LN(R815),2)
+POWER(LN(S815),2)
)
)))</f>
        <v>0.22250575723605889</v>
      </c>
    </row>
    <row r="816">
      <c r="A816" t="inlineStr">
        <is>
          <t>Ammonia</t>
        </is>
      </c>
      <c r="B816">
        <f>unallocated!B294/I816*J816</f>
        <v>1.2185620426717736E-6</v>
      </c>
      <c r="D816" t="inlineStr">
        <is>
          <t>kilogram</t>
        </is>
      </c>
      <c r="E816" t="inlineStr">
        <is>
          <t>air::urban air close to ground</t>
        </is>
      </c>
      <c r="F816" t="inlineStr">
        <is>
          <t>biosphere</t>
        </is>
      </c>
      <c r="I816" t="n">
        <v>7400</v>
      </c>
      <c r="J816" s="11">
        <f>J798</f>
        <v>0.45086795578855626</v>
      </c>
      <c r="K816" t="n">
        <v>2</v>
      </c>
      <c r="L816" s="3">
        <f>LN(B816)</f>
        <v>-13.617839047925216</v>
      </c>
      <c r="M816" t="n">
        <v>1</v>
      </c>
      <c r="N816" t="n">
        <v>1</v>
      </c>
      <c r="O816" t="n">
        <v>1</v>
      </c>
      <c r="P816" t="n">
        <v>1.02</v>
      </c>
      <c r="Q816" t="n">
        <v>1.2</v>
      </c>
      <c r="R816" t="n">
        <v>1</v>
      </c>
      <c r="S816" t="n">
        <v>1.5</v>
      </c>
      <c r="T816">
        <f>LN(SQRT(EXP(
SQRT(
+POWER(LN(M816),2)
+POWER(LN(N816),2)
+POWER(LN(O816),2)
+POWER(LN(P816),2)
+POWER(LN(Q816),2)
+POWER(LN(R816),2)
+POWER(LN(S816),2)
)
)))</f>
        <v>0.22250575723605889</v>
      </c>
    </row>
    <row r="817">
      <c r="A817" t="inlineStr">
        <is>
          <t>Particulate Matter, &lt; 2.5 um</t>
        </is>
      </c>
      <c r="B817">
        <f>unallocated!B295/I817*J817</f>
        <v>3.6556861280153209E-7</v>
      </c>
      <c r="D817" t="inlineStr">
        <is>
          <t>kilogram</t>
        </is>
      </c>
      <c r="E817" t="inlineStr">
        <is>
          <t>air::urban air close to ground</t>
        </is>
      </c>
      <c r="F817" t="inlineStr">
        <is>
          <t>biosphere</t>
        </is>
      </c>
      <c r="I817" t="n">
        <v>7400</v>
      </c>
      <c r="J817" s="11">
        <f>J798</f>
        <v>0.45086795578855626</v>
      </c>
      <c r="K817" t="n">
        <v>2</v>
      </c>
      <c r="L817" s="3">
        <f>LN(B817)</f>
        <v>-14.821811852251152</v>
      </c>
      <c r="M817" t="n">
        <v>1</v>
      </c>
      <c r="N817" t="n">
        <v>1</v>
      </c>
      <c r="O817" t="n">
        <v>1</v>
      </c>
      <c r="P817" t="n">
        <v>1.02</v>
      </c>
      <c r="Q817" t="n">
        <v>1.2</v>
      </c>
      <c r="R817" t="n">
        <v>1</v>
      </c>
      <c r="S817" t="n">
        <v>3</v>
      </c>
      <c r="T817">
        <f>LN(SQRT(EXP(
SQRT(
+POWER(LN(M817),2)
+POWER(LN(N817),2)
+POWER(LN(O817),2)
+POWER(LN(P817),2)
+POWER(LN(Q817),2)
+POWER(LN(R817),2)
+POWER(LN(S817),2)
)
)))</f>
        <v>0.5569071410325479</v>
      </c>
    </row>
    <row r="818">
      <c r="A818" t="inlineStr">
        <is>
          <t>Mercury II</t>
        </is>
      </c>
      <c r="B818">
        <f>unallocated!B296/I818*J818</f>
        <v>3.6556861280153213E-10</v>
      </c>
      <c r="D818" t="inlineStr">
        <is>
          <t>kilogram</t>
        </is>
      </c>
      <c r="E818" t="inlineStr">
        <is>
          <t>air::urban air close to ground</t>
        </is>
      </c>
      <c r="F818" t="inlineStr">
        <is>
          <t>biosphere</t>
        </is>
      </c>
      <c r="I818" t="n">
        <v>7400</v>
      </c>
      <c r="J818" s="11">
        <f>J798</f>
        <v>0.45086795578855626</v>
      </c>
      <c r="K818" t="n">
        <v>2</v>
      </c>
      <c r="L818" s="3">
        <f>LN(B818)</f>
        <v>-21.729567131233289</v>
      </c>
      <c r="M818" t="n">
        <v>1</v>
      </c>
      <c r="N818" t="n">
        <v>1</v>
      </c>
      <c r="O818" t="n">
        <v>1</v>
      </c>
      <c r="P818" t="n">
        <v>1.02</v>
      </c>
      <c r="Q818" t="n">
        <v>1.2</v>
      </c>
      <c r="R818" t="n">
        <v>1</v>
      </c>
      <c r="S818" t="n">
        <v>5</v>
      </c>
      <c r="T818">
        <f>LN(SQRT(EXP(
SQRT(
+POWER(LN(M818),2)
+POWER(LN(N818),2)
+POWER(LN(O818),2)
+POWER(LN(P818),2)
+POWER(LN(Q818),2)
+POWER(LN(R818),2)
+POWER(LN(S818),2)
)
)))</f>
        <v>0.80992649174166365</v>
      </c>
    </row>
    <row r="819">
      <c r="A819" t="inlineStr">
        <is>
          <t>Lead II</t>
        </is>
      </c>
      <c r="B819">
        <f>unallocated!B297/I819*J819</f>
        <v>3.6556861280153213E-10</v>
      </c>
      <c r="D819" t="inlineStr">
        <is>
          <t>kilogram</t>
        </is>
      </c>
      <c r="E819" t="inlineStr">
        <is>
          <t>air::urban air close to ground</t>
        </is>
      </c>
      <c r="F819" t="inlineStr">
        <is>
          <t>biosphere</t>
        </is>
      </c>
      <c r="I819" t="n">
        <v>7400</v>
      </c>
      <c r="J819" s="11">
        <f>J798</f>
        <v>0.45086795578855626</v>
      </c>
      <c r="K819" t="n">
        <v>2</v>
      </c>
      <c r="L819" s="3">
        <f>LN(B819)</f>
        <v>-21.729567131233289</v>
      </c>
      <c r="M819" t="n">
        <v>1</v>
      </c>
      <c r="N819" t="n">
        <v>1</v>
      </c>
      <c r="O819" t="n">
        <v>1</v>
      </c>
      <c r="P819" t="n">
        <v>1.02</v>
      </c>
      <c r="Q819" t="n">
        <v>1.2</v>
      </c>
      <c r="R819" t="n">
        <v>1</v>
      </c>
      <c r="S819" t="n">
        <v>5</v>
      </c>
      <c r="T819">
        <f>LN(SQRT(EXP(
SQRT(
+POWER(LN(M819),2)
+POWER(LN(N819),2)
+POWER(LN(O819),2)
+POWER(LN(P819),2)
+POWER(LN(Q819),2)
+POWER(LN(R819),2)
+POWER(LN(S819),2)
)
)))</f>
        <v>0.80992649174166365</v>
      </c>
    </row>
    <row r="820">
      <c r="A820" t="inlineStr">
        <is>
          <t>Cadmium II</t>
        </is>
      </c>
      <c r="B820">
        <f>unallocated!B298/I820*J820</f>
        <v>1.8278430640076607E-10</v>
      </c>
      <c r="D820" t="inlineStr">
        <is>
          <t>kilogram</t>
        </is>
      </c>
      <c r="E820" t="inlineStr">
        <is>
          <t>air::urban air close to ground</t>
        </is>
      </c>
      <c r="F820" t="inlineStr">
        <is>
          <t>biosphere</t>
        </is>
      </c>
      <c r="I820" t="n">
        <v>7400</v>
      </c>
      <c r="J820" s="11">
        <f>J798</f>
        <v>0.45086795578855626</v>
      </c>
      <c r="K820" t="n">
        <v>2</v>
      </c>
      <c r="L820" s="3">
        <f>LN(B820)</f>
        <v>-22.422714311793236</v>
      </c>
      <c r="M820" t="n">
        <v>1</v>
      </c>
      <c r="N820" t="n">
        <v>1</v>
      </c>
      <c r="O820" t="n">
        <v>1</v>
      </c>
      <c r="P820" t="n">
        <v>1.02</v>
      </c>
      <c r="Q820" t="n">
        <v>1.2</v>
      </c>
      <c r="R820" t="n">
        <v>1</v>
      </c>
      <c r="S820" t="n">
        <v>5</v>
      </c>
      <c r="T820">
        <f>LN(SQRT(EXP(
SQRT(
+POWER(LN(M820),2)
+POWER(LN(N820),2)
+POWER(LN(O820),2)
+POWER(LN(P820),2)
+POWER(LN(Q820),2)
+POWER(LN(R820),2)
+POWER(LN(S820),2)
)
)))</f>
        <v>0.80992649174166365</v>
      </c>
    </row>
    <row r="821">
      <c r="A821" t="inlineStr">
        <is>
          <t>Arsenic ion</t>
        </is>
      </c>
      <c r="B821">
        <f>unallocated!B299/I821*J821</f>
        <v>1.8278430640076607E-10</v>
      </c>
      <c r="D821" t="inlineStr">
        <is>
          <t>kilogram</t>
        </is>
      </c>
      <c r="E821" t="inlineStr">
        <is>
          <t>air::urban air close to ground</t>
        </is>
      </c>
      <c r="F821" t="inlineStr">
        <is>
          <t>biosphere</t>
        </is>
      </c>
      <c r="I821" t="n">
        <v>7400</v>
      </c>
      <c r="J821" s="11">
        <f>J798</f>
        <v>0.45086795578855626</v>
      </c>
      <c r="K821" t="n">
        <v>2</v>
      </c>
      <c r="L821" s="3">
        <f>LN(B821)</f>
        <v>-22.422714311793236</v>
      </c>
      <c r="M821" t="n">
        <v>1</v>
      </c>
      <c r="N821" t="n">
        <v>1</v>
      </c>
      <c r="O821" t="n">
        <v>1</v>
      </c>
      <c r="P821" t="n">
        <v>1.02</v>
      </c>
      <c r="Q821" t="n">
        <v>1.2</v>
      </c>
      <c r="R821" t="n">
        <v>1</v>
      </c>
      <c r="S821" t="n">
        <v>5</v>
      </c>
      <c r="T821">
        <f>LN(SQRT(EXP(
SQRT(
+POWER(LN(M821),2)
+POWER(LN(N821),2)
+POWER(LN(O821),2)
+POWER(LN(P821),2)
+POWER(LN(Q821),2)
+POWER(LN(R821),2)
+POWER(LN(S821),2)
)
)))</f>
        <v>0.80992649174166365</v>
      </c>
    </row>
    <row r="822">
      <c r="A822" t="inlineStr">
        <is>
          <t>Dioxins, measured as 2,3,7,8-tetrachlorodibenzo-p-dioxin</t>
        </is>
      </c>
      <c r="B822">
        <f>unallocated!B300/I822*J822</f>
        <v>6.7020912346947556E-15</v>
      </c>
      <c r="D822" t="inlineStr">
        <is>
          <t>kilogram</t>
        </is>
      </c>
      <c r="E822" t="inlineStr">
        <is>
          <t>air::urban air close to ground</t>
        </is>
      </c>
      <c r="F822" t="inlineStr">
        <is>
          <t>biosphere</t>
        </is>
      </c>
      <c r="I822" t="n">
        <v>7400</v>
      </c>
      <c r="J822" s="11">
        <f>J798</f>
        <v>0.45086795578855626</v>
      </c>
      <c r="K822" t="n">
        <v>2</v>
      </c>
      <c r="L822" s="3">
        <f>LN(B822)</f>
        <v>-32.636356792633201</v>
      </c>
      <c r="M822" t="n">
        <v>1</v>
      </c>
      <c r="N822" t="n">
        <v>1</v>
      </c>
      <c r="O822" t="n">
        <v>1</v>
      </c>
      <c r="P822" t="n">
        <v>1.02</v>
      </c>
      <c r="Q822" t="n">
        <v>1.2</v>
      </c>
      <c r="R822" t="n">
        <v>1</v>
      </c>
      <c r="S822" t="n">
        <v>5</v>
      </c>
      <c r="T822">
        <f>LN(SQRT(EXP(
SQRT(
+POWER(LN(M822),2)
+POWER(LN(N822),2)
+POWER(LN(O822),2)
+POWER(LN(P822),2)
+POWER(LN(Q822),2)
+POWER(LN(R822),2)
+POWER(LN(S822),2)
)
)))</f>
        <v>0.80992649174166365</v>
      </c>
    </row>
    <row r="823">
      <c r="A823" t="inlineStr">
        <is>
          <t>Carbon dioxide, fossil</t>
        </is>
      </c>
      <c r="B823">
        <f>unallocated!B301/I823*J823</f>
        <v>3.4119737194809661E-3</v>
      </c>
      <c r="D823" t="inlineStr">
        <is>
          <t>kilogram</t>
        </is>
      </c>
      <c r="E823" t="inlineStr">
        <is>
          <t>air::urban air close to ground</t>
        </is>
      </c>
      <c r="F823" t="inlineStr">
        <is>
          <t>biosphere</t>
        </is>
      </c>
      <c r="I823" t="n">
        <v>7400</v>
      </c>
      <c r="J823" s="11">
        <f>J798</f>
        <v>0.45086795578855626</v>
      </c>
      <c r="K823" t="n">
        <v>2</v>
      </c>
      <c r="L823" s="3">
        <f>LN(B823)</f>
        <v>-5.6804643517619207</v>
      </c>
      <c r="M823" t="n">
        <v>1</v>
      </c>
      <c r="N823" t="n">
        <v>1</v>
      </c>
      <c r="O823" t="n">
        <v>1</v>
      </c>
      <c r="P823" t="n">
        <v>1.02</v>
      </c>
      <c r="Q823" t="n">
        <v>1.2</v>
      </c>
      <c r="R823" t="n">
        <v>1</v>
      </c>
      <c r="S823" t="n">
        <v>1.05</v>
      </c>
      <c r="T823">
        <f>LN(SQRT(EXP(
SQRT(
+POWER(LN(M823),2)
+POWER(LN(N823),2)
+POWER(LN(O823),2)
+POWER(LN(P823),2)
+POWER(LN(Q823),2)
+POWER(LN(R823),2)
+POWER(LN(S823),2)
)
)))</f>
        <v>9.4886477223156879E-2</v>
      </c>
    </row>
    <row r="824">
      <c r="A824" t="inlineStr">
        <is>
          <t>Carbon dioxide, non-fossil</t>
        </is>
      </c>
      <c r="B824">
        <f>unallocated!B302/I824*J824</f>
        <v>5.4226010898893928E-3</v>
      </c>
      <c r="D824" t="inlineStr">
        <is>
          <t>kilogram</t>
        </is>
      </c>
      <c r="E824" t="inlineStr">
        <is>
          <t>air::urban air close to ground</t>
        </is>
      </c>
      <c r="F824" t="inlineStr">
        <is>
          <t>biosphere</t>
        </is>
      </c>
      <c r="I824" t="n">
        <v>7400</v>
      </c>
      <c r="J824" s="14">
        <f>J798</f>
        <v>0.45086795578855626</v>
      </c>
      <c r="K824" t="n">
        <v>2</v>
      </c>
      <c r="L824" s="3">
        <f>LN(B824)</f>
        <v>-5.2171796727649298</v>
      </c>
      <c r="M824" t="n">
        <v>1</v>
      </c>
      <c r="N824" t="n">
        <v>1</v>
      </c>
      <c r="O824" t="n">
        <v>1</v>
      </c>
      <c r="P824" t="n">
        <v>1.02</v>
      </c>
      <c r="Q824" t="n">
        <v>1.2</v>
      </c>
      <c r="R824" t="n">
        <v>1</v>
      </c>
      <c r="S824" t="n">
        <v>1.05</v>
      </c>
      <c r="T824">
        <f>LN(SQRT(EXP(
SQRT(
+POWER(LN(M824),2)
+POWER(LN(N824),2)
+POWER(LN(O824),2)
+POWER(LN(P824),2)
+POWER(LN(Q824),2)
+POWER(LN(R824),2)
+POWER(LN(S824),2)
)
)))</f>
        <v>9.4886477223156879E-2</v>
      </c>
    </row>
    <row r="825">
      <c r="A825" t="inlineStr">
        <is>
          <t>Carbon dioxide, in air</t>
        </is>
      </c>
      <c r="B825">
        <f>unallocated!B303/I825*J825</f>
        <v>3.0768691577462284E-2</v>
      </c>
      <c r="D825" t="inlineStr">
        <is>
          <t>kilogram</t>
        </is>
      </c>
      <c r="E825" t="inlineStr">
        <is>
          <t>natural resource::in air</t>
        </is>
      </c>
      <c r="F825" t="inlineStr">
        <is>
          <t>biosphere</t>
        </is>
      </c>
      <c r="H825" t="inlineStr">
        <is>
          <t>To reflect the permanent storage of non-fossil CO.</t>
        </is>
      </c>
      <c r="I825" t="n">
        <v>7400</v>
      </c>
      <c r="J825" s="14">
        <f>J798</f>
        <v>0.45086795578855626</v>
      </c>
      <c r="K825" t="n">
        <v>2</v>
      </c>
      <c r="L825" s="3">
        <f>LN(B825)</f>
        <v>-3.4812576132217101</v>
      </c>
      <c r="M825" t="n">
        <v>1</v>
      </c>
      <c r="N825" t="n">
        <v>1</v>
      </c>
      <c r="O825" t="n">
        <v>1</v>
      </c>
      <c r="P825" t="n">
        <v>1.02</v>
      </c>
      <c r="Q825" t="n">
        <v>1.2</v>
      </c>
      <c r="R825" t="n">
        <v>1</v>
      </c>
      <c r="S825" t="n">
        <v>1.05</v>
      </c>
      <c r="T825">
        <f>LN(SQRT(EXP(
SQRT(
+POWER(LN(M825),2)
+POWER(LN(N825),2)
+POWER(LN(O825),2)
+POWER(LN(P825),2)
+POWER(LN(Q825),2)
+POWER(LN(R825),2)
+POWER(LN(S825),2)
)
)))</f>
        <v>9.4886477223156879E-2</v>
      </c>
    </row>
    <row r="826">
      <c r="B826" s="7" t="n"/>
    </row>
    <row r="827">
      <c r="A827" s="1" t="inlineStr">
        <is>
          <t>Activity</t>
        </is>
      </c>
      <c r="B827" s="1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</row>
    <row r="828">
      <c r="A828" t="inlineStr">
        <is>
          <t>location</t>
        </is>
      </c>
      <c r="B828" t="inlineStr">
        <is>
          <t>RER</t>
        </is>
      </c>
    </row>
    <row r="829">
      <c r="A829" t="inlineStr">
        <is>
          <t>production amount</t>
        </is>
      </c>
      <c r="B829" t="n">
        <v>1</v>
      </c>
    </row>
    <row r="830">
      <c r="A830" s="2" t="inlineStr">
        <is>
          <t>source</t>
        </is>
      </c>
      <c r="B83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831">
      <c r="A831" t="inlineStr">
        <is>
          <t>reference product</t>
        </is>
      </c>
      <c r="B831" t="inlineStr">
        <is>
          <t>municipal solid waste</t>
        </is>
      </c>
    </row>
    <row r="832">
      <c r="A832" t="inlineStr">
        <is>
          <t>type</t>
        </is>
      </c>
      <c r="B832" t="inlineStr">
        <is>
          <t>process</t>
        </is>
      </c>
    </row>
    <row r="833">
      <c r="A833" t="inlineStr">
        <is>
          <t>unit</t>
        </is>
      </c>
      <c r="B833" t="inlineStr">
        <is>
          <t>kilogram</t>
        </is>
      </c>
    </row>
    <row r="834">
      <c r="A834" t="inlineStr">
        <is>
          <t>comment</t>
        </is>
      </c>
      <c r="B83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835">
      <c r="A835" s="1" t="inlineStr">
        <is>
          <t>Exchanges</t>
        </is>
      </c>
    </row>
    <row r="836">
      <c r="A836" s="7" t="inlineStr">
        <is>
          <t>name</t>
        </is>
      </c>
      <c r="B836" s="7" t="inlineStr">
        <is>
          <t>amount</t>
        </is>
      </c>
      <c r="C836" s="7" t="inlineStr">
        <is>
          <t>location</t>
        </is>
      </c>
      <c r="D836" s="7" t="inlineStr">
        <is>
          <t>unit</t>
        </is>
      </c>
      <c r="E836" s="7" t="inlineStr">
        <is>
          <t>categories</t>
        </is>
      </c>
      <c r="F836" s="7" t="inlineStr">
        <is>
          <t>type</t>
        </is>
      </c>
      <c r="G836" s="7" t="inlineStr">
        <is>
          <t>reference product</t>
        </is>
      </c>
      <c r="H836" s="7" t="inlineStr">
        <is>
          <t>comment</t>
        </is>
      </c>
      <c r="I836" s="7" t="inlineStr">
        <is>
          <t>normalization</t>
        </is>
      </c>
      <c r="J836" s="7" t="inlineStr">
        <is>
          <t>allocation</t>
        </is>
      </c>
      <c r="K836" s="7" t="inlineStr">
        <is>
          <t>uncertainty type</t>
        </is>
      </c>
      <c r="L836" s="7" t="inlineStr">
        <is>
          <t>loc</t>
        </is>
      </c>
      <c r="M836" s="1" t="inlineStr">
        <is>
          <t>u1</t>
        </is>
      </c>
      <c r="N836" s="1" t="inlineStr">
        <is>
          <t>u2</t>
        </is>
      </c>
      <c r="O836" s="1" t="inlineStr">
        <is>
          <t>u3</t>
        </is>
      </c>
      <c r="P836" s="1" t="inlineStr">
        <is>
          <t>u4</t>
        </is>
      </c>
      <c r="Q836" s="1" t="inlineStr">
        <is>
          <t>u5</t>
        </is>
      </c>
      <c r="R836" s="1" t="inlineStr">
        <is>
          <t>u6</t>
        </is>
      </c>
      <c r="S836" s="1" t="inlineStr">
        <is>
          <t>ub</t>
        </is>
      </c>
      <c r="T836" s="1" t="inlineStr">
        <is>
          <t>scale</t>
        </is>
      </c>
      <c r="U836" s="1" t="inlineStr">
        <is>
          <t>negative</t>
        </is>
      </c>
    </row>
    <row r="837">
      <c r="A837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B837" t="n">
        <v>1</v>
      </c>
      <c r="C837" t="inlineStr">
        <is>
          <t>RER</t>
        </is>
      </c>
      <c r="D837" t="inlineStr">
        <is>
          <t>kilogram</t>
        </is>
      </c>
      <c r="F837" t="inlineStr">
        <is>
          <t>production</t>
        </is>
      </c>
      <c r="G837" t="inlineStr">
        <is>
          <t>municipal solid waste</t>
        </is>
      </c>
      <c r="H837" t="inlineStr"/>
      <c r="I837" t="n">
        <v>1000</v>
      </c>
      <c r="J837" s="14">
        <f>INDEX('allocation keys'!$I$4:$K$29,MATCH('allocated (exergy)'!$B$827,'allocation keys'!$B$4:$B$29,0),MATCH('allocated (exergy)'!$B$831,'allocation keys'!$I$3:$K$3,0))</f>
        <v>0</v>
      </c>
      <c r="K837" t="n">
        <v>0</v>
      </c>
      <c r="M837" s="5" t="n"/>
      <c r="N837" s="5" t="n"/>
      <c r="O837" s="5" t="n"/>
      <c r="P837" s="5" t="n"/>
      <c r="Q837" s="5" t="n"/>
      <c r="R837" s="5" t="n"/>
    </row>
    <row r="838">
      <c r="A838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B838" s="6" t="n">
        <v>0</v>
      </c>
      <c r="C838" t="inlineStr">
        <is>
          <t>RER</t>
        </is>
      </c>
      <c r="D838" t="inlineStr">
        <is>
          <t>kilowatt hour</t>
        </is>
      </c>
      <c r="F838" t="inlineStr">
        <is>
          <t>technosphere</t>
        </is>
      </c>
      <c r="G838" t="inlineStr">
        <is>
          <t>electricity, medium voltage</t>
        </is>
      </c>
      <c r="H838" t="inlineStr"/>
      <c r="I838" t="n">
        <v>1000</v>
      </c>
      <c r="J838" s="11">
        <f>J837</f>
        <v>0</v>
      </c>
      <c r="K838" t="n">
        <v>0</v>
      </c>
      <c r="L838" s="3" t="n"/>
    </row>
    <row r="839">
      <c r="A839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B839" t="n">
        <v>0</v>
      </c>
      <c r="C839" t="inlineStr">
        <is>
          <t>RER</t>
        </is>
      </c>
      <c r="D839" t="inlineStr">
        <is>
          <t>megajoule</t>
        </is>
      </c>
      <c r="F839" t="inlineStr">
        <is>
          <t>technosphere</t>
        </is>
      </c>
      <c r="G839" t="inlineStr">
        <is>
          <t>heat, district or industrial, other than natural gas</t>
        </is>
      </c>
      <c r="H839" t="inlineStr"/>
      <c r="I839" t="n">
        <v>1000</v>
      </c>
      <c r="J839" s="11">
        <f>J837</f>
        <v>0</v>
      </c>
      <c r="K839" t="n">
        <v>0</v>
      </c>
      <c r="L839" s="3" t="n"/>
    </row>
    <row r="840">
      <c r="A840" t="inlineStr">
        <is>
          <t>market for diesel, low-sulfur</t>
        </is>
      </c>
      <c r="B840">
        <f>unallocated!B318/I840*J840</f>
        <v>0</v>
      </c>
      <c r="C840" t="inlineStr">
        <is>
          <t>Europe without Switzerland</t>
        </is>
      </c>
      <c r="D840" t="inlineStr">
        <is>
          <t>kilogram</t>
        </is>
      </c>
      <c r="F840" t="inlineStr">
        <is>
          <t>technosphere</t>
        </is>
      </c>
      <c r="G840" t="inlineStr">
        <is>
          <t>diesel, low-sulfur</t>
        </is>
      </c>
      <c r="H840" t="inlineStr">
        <is>
          <t>Diesel density: 0.85 kg/l</t>
        </is>
      </c>
      <c r="I840" t="n">
        <v>1000</v>
      </c>
      <c r="J840" s="11">
        <f>J837</f>
        <v>0</v>
      </c>
      <c r="K840" t="n">
        <v>0</v>
      </c>
      <c r="L840" s="3" t="n"/>
    </row>
    <row r="841">
      <c r="A841" t="inlineStr">
        <is>
          <t>market for activated carbon, granular</t>
        </is>
      </c>
      <c r="B841">
        <f>unallocated!B319/I841*J841</f>
        <v>0</v>
      </c>
      <c r="C841" t="inlineStr">
        <is>
          <t>GLO</t>
        </is>
      </c>
      <c r="D841" t="inlineStr">
        <is>
          <t>kilogram</t>
        </is>
      </c>
      <c r="F841" t="inlineStr">
        <is>
          <t>technosphere</t>
        </is>
      </c>
      <c r="G841" t="inlineStr">
        <is>
          <t>activated carbon, granular</t>
        </is>
      </c>
      <c r="I841" t="n">
        <v>1000</v>
      </c>
      <c r="J841" s="11">
        <f>J837</f>
        <v>0</v>
      </c>
      <c r="K841" t="n">
        <v>0</v>
      </c>
      <c r="L841" s="3" t="n"/>
    </row>
    <row r="842">
      <c r="A842" t="inlineStr">
        <is>
          <t>market for ammonia, anhydrous, liquid</t>
        </is>
      </c>
      <c r="B842">
        <f>unallocated!B320/I842*J842</f>
        <v>0</v>
      </c>
      <c r="C842" t="inlineStr">
        <is>
          <t>RER</t>
        </is>
      </c>
      <c r="D842" t="inlineStr">
        <is>
          <t>kilogram</t>
        </is>
      </c>
      <c r="F842" t="inlineStr">
        <is>
          <t>technosphere</t>
        </is>
      </c>
      <c r="G842" t="inlineStr">
        <is>
          <t>ammonia, anhydrous, liquid</t>
        </is>
      </c>
      <c r="H842" t="inlineStr">
        <is>
          <t>100% liquid ammonia. In original publication, it is dilluated to 23.5% in water. We discount the original value by 75%.</t>
        </is>
      </c>
      <c r="I842" t="n">
        <v>1000</v>
      </c>
      <c r="J842" s="11">
        <f>J837</f>
        <v>0</v>
      </c>
      <c r="K842" t="n">
        <v>0</v>
      </c>
      <c r="L842" s="3" t="n"/>
    </row>
    <row r="843">
      <c r="A843" t="inlineStr">
        <is>
          <t>market for tap water</t>
        </is>
      </c>
      <c r="B843">
        <f>unallocated!B321/I843*J843</f>
        <v>0</v>
      </c>
      <c r="C843" t="inlineStr">
        <is>
          <t>Europe without Switzerland</t>
        </is>
      </c>
      <c r="D843" t="inlineStr">
        <is>
          <t>kilogram</t>
        </is>
      </c>
      <c r="F843" t="inlineStr">
        <is>
          <t>technosphere</t>
        </is>
      </c>
      <c r="G843" t="inlineStr">
        <is>
          <t>tap water</t>
        </is>
      </c>
      <c r="H843" t="inlineStr">
        <is>
          <t>Used to dilute the ammonia.</t>
        </is>
      </c>
      <c r="I843" t="n">
        <v>1000</v>
      </c>
      <c r="J843" s="11">
        <f>J837</f>
        <v>0</v>
      </c>
      <c r="K843" t="n">
        <v>0</v>
      </c>
      <c r="L843" s="3" t="n"/>
    </row>
    <row r="844">
      <c r="A844" t="inlineStr">
        <is>
          <t>market for calcium carbonate, precipitated</t>
        </is>
      </c>
      <c r="B844">
        <f>unallocated!B322/I844*J844</f>
        <v>0</v>
      </c>
      <c r="C844" t="inlineStr">
        <is>
          <t>RER</t>
        </is>
      </c>
      <c r="D844" t="inlineStr">
        <is>
          <t>kilogram</t>
        </is>
      </c>
      <c r="F844" t="inlineStr">
        <is>
          <t>technosphere</t>
        </is>
      </c>
      <c r="G844" t="inlineStr">
        <is>
          <t>calcium carbonate, precipitated</t>
        </is>
      </c>
      <c r="I844" t="n">
        <v>1000</v>
      </c>
      <c r="J844" s="11">
        <f>J837</f>
        <v>0</v>
      </c>
      <c r="K844" t="n">
        <v>0</v>
      </c>
      <c r="L844" s="3" t="n"/>
    </row>
    <row r="845">
      <c r="A845" t="inlineStr">
        <is>
          <t>market for iron(III) chloride, without water, in 40% solution state</t>
        </is>
      </c>
      <c r="B845">
        <f>unallocated!B323/I845*J845</f>
        <v>0</v>
      </c>
      <c r="C845" t="inlineStr">
        <is>
          <t>GLO</t>
        </is>
      </c>
      <c r="D845" t="inlineStr">
        <is>
          <t>kilogram</t>
        </is>
      </c>
      <c r="F845" t="inlineStr">
        <is>
          <t>technosphere</t>
        </is>
      </c>
      <c r="G845" t="inlineStr">
        <is>
          <t>iron(III) chloride, without water, in 40% solution state</t>
        </is>
      </c>
      <c r="I845" t="n">
        <v>1000</v>
      </c>
      <c r="J845" s="11">
        <f>J837</f>
        <v>0</v>
      </c>
      <c r="K845" t="n">
        <v>0</v>
      </c>
      <c r="L845" s="3" t="n"/>
    </row>
    <row r="846">
      <c r="A846" t="inlineStr">
        <is>
          <t>market for lime, hydrated, packed</t>
        </is>
      </c>
      <c r="B846">
        <f>unallocated!B324/I846*J846</f>
        <v>0</v>
      </c>
      <c r="C846" t="inlineStr">
        <is>
          <t>RER</t>
        </is>
      </c>
      <c r="D846" t="inlineStr">
        <is>
          <t>kilogram</t>
        </is>
      </c>
      <c r="F846" t="inlineStr">
        <is>
          <t>technosphere</t>
        </is>
      </c>
      <c r="G846" t="inlineStr">
        <is>
          <t>lime, hydrated, packed</t>
        </is>
      </c>
      <c r="I846" t="n">
        <v>1000</v>
      </c>
      <c r="J846" s="11">
        <f>J837</f>
        <v>0</v>
      </c>
      <c r="K846" t="n">
        <v>0</v>
      </c>
      <c r="L846" s="3" t="n"/>
    </row>
    <row r="847">
      <c r="A847" t="inlineStr">
        <is>
          <t>market for sodium hydroxide, without water, in 50% solution state</t>
        </is>
      </c>
      <c r="B847">
        <f>unallocated!B325/I847*J847</f>
        <v>0</v>
      </c>
      <c r="C847" t="inlineStr">
        <is>
          <t>RER</t>
        </is>
      </c>
      <c r="D847" t="inlineStr">
        <is>
          <t>kilogram</t>
        </is>
      </c>
      <c r="F847" t="inlineStr">
        <is>
          <t>technosphere</t>
        </is>
      </c>
      <c r="G847" t="inlineStr">
        <is>
          <t>sodium hydroxide, without water, in 50% solution state</t>
        </is>
      </c>
      <c r="H847" t="inlineStr">
        <is>
          <t>50% liquid ammonia. In original publication, it is dilluated to 27% in water. We discount the original value by 50%.</t>
        </is>
      </c>
      <c r="I847" t="n">
        <v>1000</v>
      </c>
      <c r="J847" s="11">
        <f>J837</f>
        <v>0</v>
      </c>
      <c r="K847" t="n">
        <v>0</v>
      </c>
      <c r="L847" s="3" t="n"/>
    </row>
    <row r="848">
      <c r="A848" t="inlineStr">
        <is>
          <t>market for monoethanolamine</t>
        </is>
      </c>
      <c r="B848">
        <f>unallocated!B326/I848*J848</f>
        <v>0</v>
      </c>
      <c r="C848" t="inlineStr">
        <is>
          <t>GLO</t>
        </is>
      </c>
      <c r="D848" t="inlineStr">
        <is>
          <t>kilogram</t>
        </is>
      </c>
      <c r="F848" t="inlineStr">
        <is>
          <t>technosphere</t>
        </is>
      </c>
      <c r="G848" t="inlineStr">
        <is>
          <t>monoethanolamine</t>
        </is>
      </c>
      <c r="I848" t="n">
        <v>1000</v>
      </c>
      <c r="J848" s="11">
        <f>J837</f>
        <v>0</v>
      </c>
      <c r="K848" t="n">
        <v>0</v>
      </c>
      <c r="L848" s="3" t="n"/>
    </row>
    <row r="849">
      <c r="A849" t="inlineStr">
        <is>
          <t>municipal waste incineration facility construction</t>
        </is>
      </c>
      <c r="B849">
        <f>unallocated!B327/I849*J849</f>
        <v>0</v>
      </c>
      <c r="C849" t="inlineStr">
        <is>
          <t>CH</t>
        </is>
      </c>
      <c r="D849" t="inlineStr">
        <is>
          <t>unit</t>
        </is>
      </c>
      <c r="F849" t="inlineStr">
        <is>
          <t>technosphere</t>
        </is>
      </c>
      <c r="G849" t="inlineStr">
        <is>
          <t>municipal waste incineration facility</t>
        </is>
      </c>
      <c r="H849" t="inlineStr">
        <is>
          <t>Lifetime: 4'000'000 tons MSWI treated.</t>
        </is>
      </c>
      <c r="I849" t="n">
        <v>1000</v>
      </c>
      <c r="J849" s="11">
        <f>J837</f>
        <v>0</v>
      </c>
      <c r="K849" t="n">
        <v>0</v>
      </c>
      <c r="L849" s="3" t="n"/>
    </row>
    <row r="850">
      <c r="A850" t="inlineStr">
        <is>
          <t>carbon dioxide storage at wood burning power plant 20 MW post, pipeline 200km, storage 1000m</t>
        </is>
      </c>
      <c r="B850">
        <f>unallocated!B328/I850*J850</f>
        <v>0</v>
      </c>
      <c r="C850" t="inlineStr">
        <is>
          <t>RER</t>
        </is>
      </c>
      <c r="D850" t="inlineStr">
        <is>
          <t>kilogram</t>
        </is>
      </c>
      <c r="F850" t="inlineStr">
        <is>
          <t>technosphere</t>
        </is>
      </c>
      <c r="G850" t="inlineStr">
        <is>
          <t>carbon dioxide storage at wood burning power plant 20 MW post, pipeline 200km, storage 1000m</t>
        </is>
      </c>
      <c r="I850" t="n">
        <v>1000</v>
      </c>
      <c r="J850" s="11">
        <f>J837</f>
        <v>0</v>
      </c>
      <c r="K850" t="n">
        <v>0</v>
      </c>
      <c r="L850" s="3" t="n"/>
    </row>
    <row r="851">
      <c r="A851" t="inlineStr">
        <is>
          <t>Water, cooling, unspecified natural origin</t>
        </is>
      </c>
      <c r="B851">
        <f>unallocated!B329/I851*J851</f>
        <v>0</v>
      </c>
      <c r="D851" t="inlineStr">
        <is>
          <t>cubic meter</t>
        </is>
      </c>
      <c r="E851" t="inlineStr">
        <is>
          <t>natural resource::in water</t>
        </is>
      </c>
      <c r="F851" t="inlineStr">
        <is>
          <t>biosphere</t>
        </is>
      </c>
      <c r="I851" t="n">
        <v>1000</v>
      </c>
      <c r="J851" s="11">
        <f>J837</f>
        <v>0</v>
      </c>
      <c r="K851" t="n">
        <v>0</v>
      </c>
      <c r="L851" s="3" t="n"/>
    </row>
    <row r="852">
      <c r="A852" t="inlineStr">
        <is>
          <t>Sulfur dioxide</t>
        </is>
      </c>
      <c r="B852">
        <f>unallocated!B330/I852*J852</f>
        <v>0</v>
      </c>
      <c r="D852" t="inlineStr">
        <is>
          <t>kilogram</t>
        </is>
      </c>
      <c r="E852" t="inlineStr">
        <is>
          <t>air::urban air close to ground</t>
        </is>
      </c>
      <c r="F852" t="inlineStr">
        <is>
          <t>biosphere</t>
        </is>
      </c>
      <c r="I852" t="n">
        <v>1000</v>
      </c>
      <c r="J852" s="11">
        <f>J837</f>
        <v>0</v>
      </c>
      <c r="K852" t="n">
        <v>0</v>
      </c>
      <c r="L852" s="3" t="n"/>
    </row>
    <row r="853">
      <c r="A853" t="inlineStr">
        <is>
          <t>Hydrochloric acid</t>
        </is>
      </c>
      <c r="B853">
        <f>unallocated!B331/I853*J853</f>
        <v>0</v>
      </c>
      <c r="D853" t="inlineStr">
        <is>
          <t>kilogram</t>
        </is>
      </c>
      <c r="E853" t="inlineStr">
        <is>
          <t>air</t>
        </is>
      </c>
      <c r="F853" t="inlineStr">
        <is>
          <t>biosphere</t>
        </is>
      </c>
      <c r="I853" t="n">
        <v>1000</v>
      </c>
      <c r="J853" s="11">
        <f>J837</f>
        <v>0</v>
      </c>
      <c r="K853" t="n">
        <v>0</v>
      </c>
      <c r="L853" s="3" t="n"/>
    </row>
    <row r="854">
      <c r="A854" t="inlineStr">
        <is>
          <t>Nitrogen oxides</t>
        </is>
      </c>
      <c r="B854">
        <f>unallocated!B332/I854*J854</f>
        <v>0</v>
      </c>
      <c r="D854" t="inlineStr">
        <is>
          <t>kilogram</t>
        </is>
      </c>
      <c r="E854" t="inlineStr">
        <is>
          <t>air::urban air close to ground</t>
        </is>
      </c>
      <c r="F854" t="inlineStr">
        <is>
          <t>biosphere</t>
        </is>
      </c>
      <c r="I854" t="n">
        <v>1000</v>
      </c>
      <c r="J854" s="11">
        <f>J837</f>
        <v>0</v>
      </c>
      <c r="K854" t="n">
        <v>0</v>
      </c>
      <c r="L854" s="3" t="n"/>
    </row>
    <row r="855">
      <c r="A855" t="inlineStr">
        <is>
          <t>Ammonia</t>
        </is>
      </c>
      <c r="B855">
        <f>unallocated!B333/I855*J855</f>
        <v>0</v>
      </c>
      <c r="D855" t="inlineStr">
        <is>
          <t>kilogram</t>
        </is>
      </c>
      <c r="E855" t="inlineStr">
        <is>
          <t>air::urban air close to ground</t>
        </is>
      </c>
      <c r="F855" t="inlineStr">
        <is>
          <t>biosphere</t>
        </is>
      </c>
      <c r="I855" t="n">
        <v>1000</v>
      </c>
      <c r="J855" s="11">
        <f>J837</f>
        <v>0</v>
      </c>
      <c r="K855" t="n">
        <v>0</v>
      </c>
      <c r="L855" s="3" t="n"/>
    </row>
    <row r="856">
      <c r="A856" t="inlineStr">
        <is>
          <t>Particulate Matter, &lt; 2.5 um</t>
        </is>
      </c>
      <c r="B856">
        <f>unallocated!B334/I856*J856</f>
        <v>0</v>
      </c>
      <c r="D856" t="inlineStr">
        <is>
          <t>kilogram</t>
        </is>
      </c>
      <c r="E856" t="inlineStr">
        <is>
          <t>air::urban air close to ground</t>
        </is>
      </c>
      <c r="F856" t="inlineStr">
        <is>
          <t>biosphere</t>
        </is>
      </c>
      <c r="I856" t="n">
        <v>1000</v>
      </c>
      <c r="J856" s="11">
        <f>J837</f>
        <v>0</v>
      </c>
      <c r="K856" t="n">
        <v>0</v>
      </c>
      <c r="L856" s="3" t="n"/>
    </row>
    <row r="857">
      <c r="A857" t="inlineStr">
        <is>
          <t>Mercury II</t>
        </is>
      </c>
      <c r="B857">
        <f>unallocated!B335/I857*J857</f>
        <v>0</v>
      </c>
      <c r="D857" t="inlineStr">
        <is>
          <t>kilogram</t>
        </is>
      </c>
      <c r="E857" t="inlineStr">
        <is>
          <t>air::urban air close to ground</t>
        </is>
      </c>
      <c r="F857" t="inlineStr">
        <is>
          <t>biosphere</t>
        </is>
      </c>
      <c r="I857" t="n">
        <v>1000</v>
      </c>
      <c r="J857" s="11">
        <f>J837</f>
        <v>0</v>
      </c>
      <c r="K857" t="n">
        <v>0</v>
      </c>
      <c r="L857" s="3" t="n"/>
    </row>
    <row r="858">
      <c r="A858" t="inlineStr">
        <is>
          <t>Lead II</t>
        </is>
      </c>
      <c r="B858">
        <f>unallocated!B336/I858*J858</f>
        <v>0</v>
      </c>
      <c r="D858" t="inlineStr">
        <is>
          <t>kilogram</t>
        </is>
      </c>
      <c r="E858" t="inlineStr">
        <is>
          <t>air::urban air close to ground</t>
        </is>
      </c>
      <c r="F858" t="inlineStr">
        <is>
          <t>biosphere</t>
        </is>
      </c>
      <c r="I858" t="n">
        <v>1000</v>
      </c>
      <c r="J858" s="11">
        <f>J837</f>
        <v>0</v>
      </c>
      <c r="K858" t="n">
        <v>0</v>
      </c>
      <c r="L858" s="3" t="n"/>
    </row>
    <row r="859">
      <c r="A859" t="inlineStr">
        <is>
          <t>Cadmium II</t>
        </is>
      </c>
      <c r="B859">
        <f>unallocated!B337/I859*J859</f>
        <v>0</v>
      </c>
      <c r="D859" t="inlineStr">
        <is>
          <t>kilogram</t>
        </is>
      </c>
      <c r="E859" t="inlineStr">
        <is>
          <t>air::urban air close to ground</t>
        </is>
      </c>
      <c r="F859" t="inlineStr">
        <is>
          <t>biosphere</t>
        </is>
      </c>
      <c r="I859" t="n">
        <v>1000</v>
      </c>
      <c r="J859" s="11">
        <f>J837</f>
        <v>0</v>
      </c>
      <c r="K859" t="n">
        <v>0</v>
      </c>
      <c r="L859" s="3" t="n"/>
    </row>
    <row r="860">
      <c r="A860" t="inlineStr">
        <is>
          <t>Arsenic ion</t>
        </is>
      </c>
      <c r="B860">
        <f>unallocated!B338/I860*J860</f>
        <v>0</v>
      </c>
      <c r="D860" t="inlineStr">
        <is>
          <t>kilogram</t>
        </is>
      </c>
      <c r="E860" t="inlineStr">
        <is>
          <t>air::urban air close to ground</t>
        </is>
      </c>
      <c r="F860" t="inlineStr">
        <is>
          <t>biosphere</t>
        </is>
      </c>
      <c r="I860" t="n">
        <v>1000</v>
      </c>
      <c r="J860" s="11">
        <f>J837</f>
        <v>0</v>
      </c>
      <c r="K860" t="n">
        <v>0</v>
      </c>
      <c r="L860" s="3" t="n"/>
    </row>
    <row r="861">
      <c r="A861" t="inlineStr">
        <is>
          <t>Dioxins, measured as 2,3,7,8-tetrachlorodibenzo-p-dioxin</t>
        </is>
      </c>
      <c r="B861">
        <f>unallocated!B339/I861*J861</f>
        <v>0</v>
      </c>
      <c r="D861" t="inlineStr">
        <is>
          <t>kilogram</t>
        </is>
      </c>
      <c r="E861" t="inlineStr">
        <is>
          <t>air::urban air close to ground</t>
        </is>
      </c>
      <c r="F861" t="inlineStr">
        <is>
          <t>biosphere</t>
        </is>
      </c>
      <c r="I861" t="n">
        <v>1000</v>
      </c>
      <c r="J861" s="11">
        <f>J837</f>
        <v>0</v>
      </c>
      <c r="K861" t="n">
        <v>0</v>
      </c>
      <c r="L861" s="3" t="n"/>
    </row>
    <row r="862">
      <c r="A862" t="inlineStr">
        <is>
          <t>Carbon dioxide, fossil</t>
        </is>
      </c>
      <c r="B862">
        <f>unallocated!B340/I862*J862</f>
        <v>0</v>
      </c>
      <c r="D862" t="inlineStr">
        <is>
          <t>kilogram</t>
        </is>
      </c>
      <c r="E862" t="inlineStr">
        <is>
          <t>air::urban air close to ground</t>
        </is>
      </c>
      <c r="F862" t="inlineStr">
        <is>
          <t>biosphere</t>
        </is>
      </c>
      <c r="I862" t="n">
        <v>1000</v>
      </c>
      <c r="J862" s="11">
        <f>J837</f>
        <v>0</v>
      </c>
      <c r="K862" t="n">
        <v>0</v>
      </c>
      <c r="L862" s="3" t="n"/>
    </row>
    <row r="863">
      <c r="A863" t="inlineStr">
        <is>
          <t>Carbon dioxide, non-fossil</t>
        </is>
      </c>
      <c r="B863">
        <f>unallocated!B341/I863*J863</f>
        <v>0</v>
      </c>
      <c r="D863" t="inlineStr">
        <is>
          <t>kilogram</t>
        </is>
      </c>
      <c r="E863" t="inlineStr">
        <is>
          <t>air::urban air close to ground</t>
        </is>
      </c>
      <c r="F863" t="inlineStr">
        <is>
          <t>biosphere</t>
        </is>
      </c>
      <c r="I863" t="n">
        <v>1000</v>
      </c>
      <c r="J863" s="14">
        <f>J837</f>
        <v>0</v>
      </c>
      <c r="K863" t="n">
        <v>0</v>
      </c>
      <c r="L863" s="3" t="n"/>
    </row>
    <row r="864">
      <c r="A864" t="inlineStr">
        <is>
          <t>Carbon dioxide, in air</t>
        </is>
      </c>
      <c r="B864">
        <f>unallocated!B342/I864*J864</f>
        <v>0</v>
      </c>
      <c r="D864" t="inlineStr">
        <is>
          <t>kilogram</t>
        </is>
      </c>
      <c r="E864" t="inlineStr">
        <is>
          <t>natural resource::in air</t>
        </is>
      </c>
      <c r="F864" t="inlineStr">
        <is>
          <t>biosphere</t>
        </is>
      </c>
      <c r="H864" t="inlineStr">
        <is>
          <t>To reflect the permanent storage of non-fossil CO.</t>
        </is>
      </c>
      <c r="I864" t="n">
        <v>1000</v>
      </c>
      <c r="J864" s="14">
        <f>J837</f>
        <v>0</v>
      </c>
      <c r="K864" t="n">
        <v>0</v>
      </c>
      <c r="L864" s="3" t="n"/>
    </row>
    <row r="865"/>
    <row r="866">
      <c r="A866" s="1" t="inlineStr">
        <is>
          <t>Activity</t>
        </is>
      </c>
      <c r="B866" s="1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</row>
    <row r="867">
      <c r="A867" t="inlineStr">
        <is>
          <t>location</t>
        </is>
      </c>
      <c r="B867" t="inlineStr">
        <is>
          <t>RER</t>
        </is>
      </c>
    </row>
    <row r="868">
      <c r="A868" t="inlineStr">
        <is>
          <t>production amount</t>
        </is>
      </c>
      <c r="B868" t="n">
        <v>1</v>
      </c>
    </row>
    <row r="869">
      <c r="A869" s="2" t="inlineStr">
        <is>
          <t>source</t>
        </is>
      </c>
      <c r="B869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870">
      <c r="A870" t="inlineStr">
        <is>
          <t>reference product</t>
        </is>
      </c>
      <c r="B870" t="inlineStr">
        <is>
          <t>electricity, medium voltage</t>
        </is>
      </c>
    </row>
    <row r="871">
      <c r="A871" t="inlineStr">
        <is>
          <t>type</t>
        </is>
      </c>
      <c r="B871" t="inlineStr">
        <is>
          <t>process</t>
        </is>
      </c>
    </row>
    <row r="872">
      <c r="A872" t="inlineStr">
        <is>
          <t>unit</t>
        </is>
      </c>
      <c r="B872" t="inlineStr">
        <is>
          <t>kilowatt hour</t>
        </is>
      </c>
    </row>
    <row r="873">
      <c r="A873" t="inlineStr">
        <is>
          <t>comment</t>
        </is>
      </c>
      <c r="B873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874">
      <c r="A874" s="1" t="inlineStr">
        <is>
          <t>Exchanges</t>
        </is>
      </c>
    </row>
    <row r="875">
      <c r="A875" s="7" t="inlineStr">
        <is>
          <t>name</t>
        </is>
      </c>
      <c r="B875" s="7" t="inlineStr">
        <is>
          <t>amount</t>
        </is>
      </c>
      <c r="C875" s="7" t="inlineStr">
        <is>
          <t>location</t>
        </is>
      </c>
      <c r="D875" s="7" t="inlineStr">
        <is>
          <t>unit</t>
        </is>
      </c>
      <c r="E875" s="7" t="inlineStr">
        <is>
          <t>categories</t>
        </is>
      </c>
      <c r="F875" s="7" t="inlineStr">
        <is>
          <t>type</t>
        </is>
      </c>
      <c r="G875" s="7" t="inlineStr">
        <is>
          <t>reference product</t>
        </is>
      </c>
      <c r="H875" s="7" t="inlineStr">
        <is>
          <t>comment</t>
        </is>
      </c>
      <c r="I875" s="7" t="inlineStr">
        <is>
          <t>normalization</t>
        </is>
      </c>
      <c r="J875" s="7" t="inlineStr">
        <is>
          <t>allocation</t>
        </is>
      </c>
      <c r="K875" s="7" t="inlineStr">
        <is>
          <t>uncertainty type</t>
        </is>
      </c>
      <c r="L875" s="7" t="inlineStr">
        <is>
          <t>loc</t>
        </is>
      </c>
      <c r="M875" s="1" t="inlineStr">
        <is>
          <t>u1</t>
        </is>
      </c>
      <c r="N875" s="1" t="inlineStr">
        <is>
          <t>u2</t>
        </is>
      </c>
      <c r="O875" s="1" t="inlineStr">
        <is>
          <t>u3</t>
        </is>
      </c>
      <c r="P875" s="1" t="inlineStr">
        <is>
          <t>u4</t>
        </is>
      </c>
      <c r="Q875" s="1" t="inlineStr">
        <is>
          <t>u5</t>
        </is>
      </c>
      <c r="R875" s="1" t="inlineStr">
        <is>
          <t>u6</t>
        </is>
      </c>
      <c r="S875" s="1" t="inlineStr">
        <is>
          <t>ub</t>
        </is>
      </c>
      <c r="T875" s="1" t="inlineStr">
        <is>
          <t>scale</t>
        </is>
      </c>
      <c r="U875" s="1" t="inlineStr">
        <is>
          <t>negative</t>
        </is>
      </c>
    </row>
    <row r="876">
      <c r="A876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B876" t="n">
        <v>0</v>
      </c>
      <c r="C876" t="inlineStr">
        <is>
          <t>RER</t>
        </is>
      </c>
      <c r="D876" t="inlineStr">
        <is>
          <t>kilogram</t>
        </is>
      </c>
      <c r="F876" t="inlineStr">
        <is>
          <t>technosphere</t>
        </is>
      </c>
      <c r="G876" t="inlineStr">
        <is>
          <t>municipal solid waste</t>
        </is>
      </c>
      <c r="H876" t="inlineStr"/>
      <c r="I876" s="6" t="n">
        <v>473</v>
      </c>
      <c r="J876" s="14">
        <f>INDEX('allocation keys'!$I$4:$K$29,MATCH('allocated (exergy)'!$B$866,'allocation keys'!$B$4:$B$29,0),MATCH('allocated (exergy)'!$B$870,'allocation keys'!$I$3:$K$3,0))</f>
        <v>0.61244374642142341</v>
      </c>
      <c r="K876" t="n">
        <v>0</v>
      </c>
      <c r="M876" s="5" t="n"/>
      <c r="N876" s="5" t="n"/>
      <c r="O876" s="5" t="n"/>
      <c r="P876" s="5" t="n"/>
      <c r="Q876" s="5" t="n"/>
      <c r="R876" s="5" t="n"/>
    </row>
    <row r="877">
      <c r="A877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B877" s="6" t="n">
        <v>1</v>
      </c>
      <c r="C877" t="inlineStr">
        <is>
          <t>RER</t>
        </is>
      </c>
      <c r="D877" t="inlineStr">
        <is>
          <t>kilowatt hour</t>
        </is>
      </c>
      <c r="F877" t="inlineStr">
        <is>
          <t>production</t>
        </is>
      </c>
      <c r="G877" t="inlineStr">
        <is>
          <t>electricity, medium voltage</t>
        </is>
      </c>
      <c r="H877" t="inlineStr"/>
      <c r="I877" s="6" t="n">
        <v>473</v>
      </c>
      <c r="J877" s="11">
        <f>J876</f>
        <v>0.61244374642142341</v>
      </c>
      <c r="K877" t="n">
        <v>0</v>
      </c>
      <c r="L877" s="3" t="n"/>
    </row>
    <row r="878">
      <c r="A878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B878" t="n">
        <v>0</v>
      </c>
      <c r="C878" t="inlineStr">
        <is>
          <t>RER</t>
        </is>
      </c>
      <c r="D878" t="inlineStr">
        <is>
          <t>megajoule</t>
        </is>
      </c>
      <c r="F878" t="inlineStr">
        <is>
          <t>technosphere</t>
        </is>
      </c>
      <c r="G878" t="inlineStr">
        <is>
          <t>heat, district or industrial, other than natural gas</t>
        </is>
      </c>
      <c r="H878" t="inlineStr"/>
      <c r="I878" s="6" t="n">
        <v>473</v>
      </c>
      <c r="J878" s="11">
        <f>J876</f>
        <v>0.61244374642142341</v>
      </c>
      <c r="K878" t="n">
        <v>0</v>
      </c>
      <c r="L878" s="3" t="n"/>
    </row>
    <row r="879">
      <c r="A879" t="inlineStr">
        <is>
          <t>market for diesel, low-sulfur</t>
        </is>
      </c>
      <c r="B879">
        <f>unallocated!B318/I879*J879</f>
        <v>1.1005860136537209E-4</v>
      </c>
      <c r="C879" t="inlineStr">
        <is>
          <t>Europe without Switzerland</t>
        </is>
      </c>
      <c r="D879" t="inlineStr">
        <is>
          <t>kilogram</t>
        </is>
      </c>
      <c r="F879" t="inlineStr">
        <is>
          <t>technosphere</t>
        </is>
      </c>
      <c r="G879" t="inlineStr">
        <is>
          <t>diesel, low-sulfur</t>
        </is>
      </c>
      <c r="H879" t="inlineStr">
        <is>
          <t>Diesel density: 0.85 kg/l</t>
        </is>
      </c>
      <c r="I879" s="6" t="n">
        <v>473</v>
      </c>
      <c r="J879" s="11">
        <f>J876</f>
        <v>0.61244374642142341</v>
      </c>
      <c r="K879" t="n">
        <v>2</v>
      </c>
      <c r="L879" s="3">
        <f>LN(B879)</f>
        <v>-9.1144975943420636</v>
      </c>
      <c r="M879" t="n">
        <v>1</v>
      </c>
      <c r="N879" t="n">
        <v>1</v>
      </c>
      <c r="O879" t="n">
        <v>1</v>
      </c>
      <c r="P879" t="n">
        <v>1.02</v>
      </c>
      <c r="Q879" t="n">
        <v>1.2</v>
      </c>
      <c r="R879" t="n">
        <v>1</v>
      </c>
      <c r="S879" t="n">
        <v>1.05</v>
      </c>
      <c r="T879">
        <f>LN(SQRT(EXP(
SQRT(
+POWER(LN(M879),2)
+POWER(LN(N879),2)
+POWER(LN(O879),2)
+POWER(LN(P879),2)
+POWER(LN(Q879),2)
+POWER(LN(R879),2)
+POWER(LN(S879),2)
)
)))</f>
        <v>9.4886477223156879E-2</v>
      </c>
    </row>
    <row r="880">
      <c r="A880" t="inlineStr">
        <is>
          <t>market for activated carbon, granular</t>
        </is>
      </c>
      <c r="B880">
        <f>unallocated!B319/I880*J880</f>
        <v>5.1792282995469208E-4</v>
      </c>
      <c r="C880" t="inlineStr">
        <is>
          <t>GLO</t>
        </is>
      </c>
      <c r="D880" t="inlineStr">
        <is>
          <t>kilogram</t>
        </is>
      </c>
      <c r="F880" t="inlineStr">
        <is>
          <t>technosphere</t>
        </is>
      </c>
      <c r="G880" t="inlineStr">
        <is>
          <t>activated carbon, granular</t>
        </is>
      </c>
      <c r="I880" s="6" t="n">
        <v>473</v>
      </c>
      <c r="J880" s="11">
        <f>J876</f>
        <v>0.61244374642142341</v>
      </c>
      <c r="K880" t="n">
        <v>2</v>
      </c>
      <c r="L880" s="3">
        <f>LN(B880)</f>
        <v>-7.5656843037243986</v>
      </c>
      <c r="M880" t="n">
        <v>1</v>
      </c>
      <c r="N880" t="n">
        <v>1</v>
      </c>
      <c r="O880" t="n">
        <v>1</v>
      </c>
      <c r="P880" t="n">
        <v>1.02</v>
      </c>
      <c r="Q880" t="n">
        <v>1.2</v>
      </c>
      <c r="R880" t="n">
        <v>1</v>
      </c>
      <c r="S880" t="n">
        <v>1.05</v>
      </c>
      <c r="T880">
        <f>LN(SQRT(EXP(
SQRT(
+POWER(LN(M880),2)
+POWER(LN(N880),2)
+POWER(LN(O880),2)
+POWER(LN(P880),2)
+POWER(LN(Q880),2)
+POWER(LN(R880),2)
+POWER(LN(S880),2)
)
)))</f>
        <v>9.4886477223156879E-2</v>
      </c>
    </row>
    <row r="881">
      <c r="A881" t="inlineStr">
        <is>
          <t>market for ammonia, anhydrous, liquid</t>
        </is>
      </c>
      <c r="B881">
        <f>unallocated!B320/I881*J881</f>
        <v>1.2689109333889955E-3</v>
      </c>
      <c r="C881" t="inlineStr">
        <is>
          <t>RER</t>
        </is>
      </c>
      <c r="D881" t="inlineStr">
        <is>
          <t>kilogram</t>
        </is>
      </c>
      <c r="F881" t="inlineStr">
        <is>
          <t>technosphere</t>
        </is>
      </c>
      <c r="G881" t="inlineStr">
        <is>
          <t>ammonia, anhydrous, liquid</t>
        </is>
      </c>
      <c r="H881" t="inlineStr">
        <is>
          <t>100% liquid ammonia. In original publication, it is dilluated to 23.5% in water. We discount the original value by 75%.</t>
        </is>
      </c>
      <c r="I881" s="6" t="n">
        <v>473</v>
      </c>
      <c r="J881" s="11">
        <f>J876</f>
        <v>0.61244374642142341</v>
      </c>
      <c r="K881" t="n">
        <v>2</v>
      </c>
      <c r="L881" s="3">
        <f>LN(B881)</f>
        <v>-6.669596279167763</v>
      </c>
      <c r="M881" t="n">
        <v>1</v>
      </c>
      <c r="N881" t="n">
        <v>1</v>
      </c>
      <c r="O881" t="n">
        <v>1</v>
      </c>
      <c r="P881" t="n">
        <v>1.02</v>
      </c>
      <c r="Q881" t="n">
        <v>1.2</v>
      </c>
      <c r="R881" t="n">
        <v>1</v>
      </c>
      <c r="S881" t="n">
        <v>1.05</v>
      </c>
      <c r="T881">
        <f>LN(SQRT(EXP(
SQRT(
+POWER(LN(M881),2)
+POWER(LN(N881),2)
+POWER(LN(O881),2)
+POWER(LN(P881),2)
+POWER(LN(Q881),2)
+POWER(LN(R881),2)
+POWER(LN(S881),2)
)
)))</f>
        <v>9.4886477223156879E-2</v>
      </c>
    </row>
    <row r="882">
      <c r="A882" t="inlineStr">
        <is>
          <t>market for tap water</t>
        </is>
      </c>
      <c r="B882">
        <f>unallocated!B321/I882*J882</f>
        <v>3.9103173661579251E-3</v>
      </c>
      <c r="C882" t="inlineStr">
        <is>
          <t>Europe without Switzerland</t>
        </is>
      </c>
      <c r="D882" t="inlineStr">
        <is>
          <t>kilogram</t>
        </is>
      </c>
      <c r="F882" t="inlineStr">
        <is>
          <t>technosphere</t>
        </is>
      </c>
      <c r="G882" t="inlineStr">
        <is>
          <t>tap water</t>
        </is>
      </c>
      <c r="H882" t="inlineStr">
        <is>
          <t>Used to dilute the ammonia.</t>
        </is>
      </c>
      <c r="I882" s="6" t="n">
        <v>473</v>
      </c>
      <c r="J882" s="11">
        <f>J876</f>
        <v>0.61244374642142341</v>
      </c>
      <c r="K882" t="n">
        <v>2</v>
      </c>
      <c r="L882" s="3">
        <f>LN(B882)</f>
        <v>-5.5441367404634656</v>
      </c>
      <c r="M882" t="n">
        <v>1</v>
      </c>
      <c r="N882" t="n">
        <v>1</v>
      </c>
      <c r="O882" t="n">
        <v>1</v>
      </c>
      <c r="P882" t="n">
        <v>1.02</v>
      </c>
      <c r="Q882" t="n">
        <v>1.2</v>
      </c>
      <c r="R882" t="n">
        <v>1</v>
      </c>
      <c r="S882" t="n">
        <v>1.05</v>
      </c>
      <c r="T882">
        <f>LN(SQRT(EXP(
SQRT(
+POWER(LN(M882),2)
+POWER(LN(N882),2)
+POWER(LN(O882),2)
+POWER(LN(P882),2)
+POWER(LN(Q882),2)
+POWER(LN(R882),2)
+POWER(LN(S882),2)
)
)))</f>
        <v>9.4886477223156879E-2</v>
      </c>
    </row>
    <row r="883">
      <c r="A883" t="inlineStr">
        <is>
          <t>market for calcium carbonate, precipitated</t>
        </is>
      </c>
      <c r="B883">
        <f>unallocated!B322/I883*J883</f>
        <v>9.0636495242071118E-3</v>
      </c>
      <c r="C883" t="inlineStr">
        <is>
          <t>RER</t>
        </is>
      </c>
      <c r="D883" t="inlineStr">
        <is>
          <t>kilogram</t>
        </is>
      </c>
      <c r="F883" t="inlineStr">
        <is>
          <t>technosphere</t>
        </is>
      </c>
      <c r="G883" t="inlineStr">
        <is>
          <t>calcium carbonate, precipitated</t>
        </is>
      </c>
      <c r="I883" s="6" t="n">
        <v>473</v>
      </c>
      <c r="J883" s="11">
        <f>J876</f>
        <v>0.61244374642142341</v>
      </c>
      <c r="K883" t="n">
        <v>0</v>
      </c>
      <c r="L883" s="3" t="n"/>
    </row>
    <row r="884">
      <c r="A884" t="inlineStr">
        <is>
          <t>market for iron(III) chloride, without water, in 40% solution state</t>
        </is>
      </c>
      <c r="B884">
        <f>unallocated!B323/I884*J884</f>
        <v>6.474035374433651E-5</v>
      </c>
      <c r="C884" t="inlineStr">
        <is>
          <t>GLO</t>
        </is>
      </c>
      <c r="D884" t="inlineStr">
        <is>
          <t>kilogram</t>
        </is>
      </c>
      <c r="F884" t="inlineStr">
        <is>
          <t>technosphere</t>
        </is>
      </c>
      <c r="G884" t="inlineStr">
        <is>
          <t>iron(III) chloride, without water, in 40% solution state</t>
        </is>
      </c>
      <c r="I884" s="6" t="n">
        <v>473</v>
      </c>
      <c r="J884" s="11">
        <f>J876</f>
        <v>0.61244374642142341</v>
      </c>
      <c r="K884" t="n">
        <v>0</v>
      </c>
      <c r="L884" s="3" t="n"/>
    </row>
    <row r="885">
      <c r="A885" t="inlineStr">
        <is>
          <t>market for lime, hydrated, packed</t>
        </is>
      </c>
      <c r="B885">
        <f>unallocated!B324/I885*J885</f>
        <v>0</v>
      </c>
      <c r="C885" t="inlineStr">
        <is>
          <t>RER</t>
        </is>
      </c>
      <c r="D885" t="inlineStr">
        <is>
          <t>kilogram</t>
        </is>
      </c>
      <c r="F885" t="inlineStr">
        <is>
          <t>technosphere</t>
        </is>
      </c>
      <c r="G885" t="inlineStr">
        <is>
          <t>lime, hydrated, packed</t>
        </is>
      </c>
      <c r="I885" s="6" t="n">
        <v>473</v>
      </c>
      <c r="J885" s="11">
        <f>J876</f>
        <v>0.61244374642142341</v>
      </c>
      <c r="K885" t="n">
        <v>0</v>
      </c>
      <c r="L885" s="3" t="n"/>
    </row>
    <row r="886">
      <c r="A886" t="inlineStr">
        <is>
          <t>market for sodium hydroxide, without water, in 50% solution state</t>
        </is>
      </c>
      <c r="B886">
        <f>unallocated!B325/I886*J886</f>
        <v>6.4740353744336516E-4</v>
      </c>
      <c r="C886" t="inlineStr">
        <is>
          <t>RER</t>
        </is>
      </c>
      <c r="D886" t="inlineStr">
        <is>
          <t>kilogram</t>
        </is>
      </c>
      <c r="F886" t="inlineStr">
        <is>
          <t>technosphere</t>
        </is>
      </c>
      <c r="G886" t="inlineStr">
        <is>
          <t>sodium hydroxide, without water, in 50% solution state</t>
        </is>
      </c>
      <c r="H886" t="inlineStr">
        <is>
          <t>50% liquid ammonia. In original publication, it is dilluated to 27% in water. We discount the original value by 50%.</t>
        </is>
      </c>
      <c r="I886" s="6" t="n">
        <v>473</v>
      </c>
      <c r="J886" s="11">
        <f>J876</f>
        <v>0.61244374642142341</v>
      </c>
      <c r="K886" t="n">
        <v>0</v>
      </c>
      <c r="L886" s="3" t="n"/>
    </row>
    <row r="887">
      <c r="A887" t="inlineStr">
        <is>
          <t>market for monoethanolamine</t>
        </is>
      </c>
      <c r="B887">
        <f>unallocated!B326/I887*J887</f>
        <v>5.1792282995469213E-3</v>
      </c>
      <c r="C887" t="inlineStr">
        <is>
          <t>GLO</t>
        </is>
      </c>
      <c r="D887" t="inlineStr">
        <is>
          <t>kilogram</t>
        </is>
      </c>
      <c r="F887" t="inlineStr">
        <is>
          <t>technosphere</t>
        </is>
      </c>
      <c r="G887" t="inlineStr">
        <is>
          <t>monoethanolamine</t>
        </is>
      </c>
      <c r="I887" s="6" t="n">
        <v>473</v>
      </c>
      <c r="J887" s="11">
        <f>J876</f>
        <v>0.61244374642142341</v>
      </c>
      <c r="K887" t="n">
        <v>0</v>
      </c>
      <c r="L887" s="3" t="n"/>
    </row>
    <row r="888">
      <c r="A888" t="inlineStr">
        <is>
          <t>municipal waste incineration facility construction</t>
        </is>
      </c>
      <c r="B888">
        <f>unallocated!B327/I888*J888</f>
        <v>3.2370176872168253E-10</v>
      </c>
      <c r="C888" t="inlineStr">
        <is>
          <t>CH</t>
        </is>
      </c>
      <c r="D888" t="inlineStr">
        <is>
          <t>unit</t>
        </is>
      </c>
      <c r="F888" t="inlineStr">
        <is>
          <t>technosphere</t>
        </is>
      </c>
      <c r="G888" t="inlineStr">
        <is>
          <t>municipal waste incineration facility</t>
        </is>
      </c>
      <c r="H888" t="inlineStr">
        <is>
          <t>Lifetime: 4'000'000 tons MSWI treated.</t>
        </is>
      </c>
      <c r="I888" s="6" t="n">
        <v>473</v>
      </c>
      <c r="J888" s="11">
        <f>J876</f>
        <v>0.61244374642142341</v>
      </c>
      <c r="K888" t="n">
        <v>2</v>
      </c>
      <c r="L888" s="3">
        <f>LN(B888)</f>
        <v>-21.851198490934408</v>
      </c>
      <c r="M888" t="n">
        <v>1</v>
      </c>
      <c r="N888" t="n">
        <v>1</v>
      </c>
      <c r="O888" t="n">
        <v>1</v>
      </c>
      <c r="P888" t="n">
        <v>1.02</v>
      </c>
      <c r="Q888" t="n">
        <v>1.2</v>
      </c>
      <c r="R888" t="n">
        <v>1</v>
      </c>
      <c r="S888" t="n">
        <v>3</v>
      </c>
      <c r="T888">
        <f>LN(SQRT(EXP(
SQRT(
+POWER(LN(M888),2)
+POWER(LN(N888),2)
+POWER(LN(O888),2)
+POWER(LN(P888),2)
+POWER(LN(Q888),2)
+POWER(LN(R888),2)
+POWER(LN(S888),2)
)
)))</f>
        <v>0.5569071410325479</v>
      </c>
    </row>
    <row r="889">
      <c r="A889" t="inlineStr">
        <is>
          <t>carbon dioxide storage at wood burning power plant 20 MW post, pipeline 200km, storage 1000m</t>
        </is>
      </c>
      <c r="B889">
        <f>unallocated!B328/I889*J889</f>
        <v>1.065626222631779</v>
      </c>
      <c r="C889" t="inlineStr">
        <is>
          <t>RER</t>
        </is>
      </c>
      <c r="D889" t="inlineStr">
        <is>
          <t>kilogram</t>
        </is>
      </c>
      <c r="F889" t="inlineStr">
        <is>
          <t>technosphere</t>
        </is>
      </c>
      <c r="G889" t="inlineStr">
        <is>
          <t>carbon dioxide storage at wood burning power plant 20 MW post, pipeline 200km, storage 1000m</t>
        </is>
      </c>
      <c r="I889" s="6" t="n">
        <v>473</v>
      </c>
      <c r="J889" s="11">
        <f>J876</f>
        <v>0.61244374642142341</v>
      </c>
      <c r="K889" t="n">
        <v>2</v>
      </c>
      <c r="L889" s="3">
        <f>LN(B889)</f>
        <v>6.3562628826826173E-2</v>
      </c>
      <c r="M889" t="n">
        <v>1</v>
      </c>
      <c r="N889" t="n">
        <v>1</v>
      </c>
      <c r="O889" t="n">
        <v>1</v>
      </c>
      <c r="P889" t="n">
        <v>1.02</v>
      </c>
      <c r="Q889" t="n">
        <v>1.2</v>
      </c>
      <c r="R889" t="n">
        <v>1</v>
      </c>
      <c r="S889" t="n">
        <v>3</v>
      </c>
      <c r="T889">
        <f>LN(SQRT(EXP(
SQRT(
+POWER(LN(M889),2)
+POWER(LN(N889),2)
+POWER(LN(O889),2)
+POWER(LN(P889),2)
+POWER(LN(Q889),2)
+POWER(LN(R889),2)
+POWER(LN(S889),2)
)
)))</f>
        <v>0.5569071410325479</v>
      </c>
    </row>
    <row r="890">
      <c r="A890" t="inlineStr">
        <is>
          <t>Water, cooling, unspecified natural origin</t>
        </is>
      </c>
      <c r="B890">
        <f>unallocated!B329/I890*J890</f>
        <v>0</v>
      </c>
      <c r="D890" t="inlineStr">
        <is>
          <t>cubic meter</t>
        </is>
      </c>
      <c r="E890" t="inlineStr">
        <is>
          <t>natural resource::in water</t>
        </is>
      </c>
      <c r="F890" t="inlineStr">
        <is>
          <t>biosphere</t>
        </is>
      </c>
      <c r="I890" s="6" t="n">
        <v>473</v>
      </c>
      <c r="J890" s="11">
        <f>J876</f>
        <v>0.61244374642142341</v>
      </c>
      <c r="K890" t="n">
        <v>0</v>
      </c>
      <c r="L890" s="3" t="n"/>
    </row>
    <row r="891">
      <c r="A891" t="inlineStr">
        <is>
          <t>Sulfur dioxide</t>
        </is>
      </c>
      <c r="B891">
        <f>unallocated!B330/I891*J891</f>
        <v>7.7688424493203828E-6</v>
      </c>
      <c r="D891" t="inlineStr">
        <is>
          <t>kilogram</t>
        </is>
      </c>
      <c r="E891" t="inlineStr">
        <is>
          <t>air::urban air close to ground</t>
        </is>
      </c>
      <c r="F891" t="inlineStr">
        <is>
          <t>biosphere</t>
        </is>
      </c>
      <c r="I891" s="6" t="n">
        <v>473</v>
      </c>
      <c r="J891" s="11">
        <f>J876</f>
        <v>0.61244374642142341</v>
      </c>
      <c r="K891" t="n">
        <v>2</v>
      </c>
      <c r="L891" s="3">
        <f>LN(B891)</f>
        <v>-11.765389381604326</v>
      </c>
      <c r="M891" t="n">
        <v>1</v>
      </c>
      <c r="N891" t="n">
        <v>1</v>
      </c>
      <c r="O891" t="n">
        <v>1</v>
      </c>
      <c r="P891" t="n">
        <v>1.02</v>
      </c>
      <c r="Q891" t="n">
        <v>1.2</v>
      </c>
      <c r="R891" t="n">
        <v>1</v>
      </c>
      <c r="S891" t="n">
        <v>1.05</v>
      </c>
      <c r="T891">
        <f>LN(SQRT(EXP(
SQRT(
+POWER(LN(M891),2)
+POWER(LN(N891),2)
+POWER(LN(O891),2)
+POWER(LN(P891),2)
+POWER(LN(Q891),2)
+POWER(LN(R891),2)
+POWER(LN(S891),2)
)
)))</f>
        <v>9.4886477223156879E-2</v>
      </c>
    </row>
    <row r="892">
      <c r="A892" t="inlineStr">
        <is>
          <t>Hydrochloric acid</t>
        </is>
      </c>
      <c r="B892">
        <f>unallocated!B331/I892*J892</f>
        <v>3.8844212246601914E-6</v>
      </c>
      <c r="D892" t="inlineStr">
        <is>
          <t>kilogram</t>
        </is>
      </c>
      <c r="E892" t="inlineStr">
        <is>
          <t>air</t>
        </is>
      </c>
      <c r="F892" t="inlineStr">
        <is>
          <t>biosphere</t>
        </is>
      </c>
      <c r="I892" s="6" t="n">
        <v>473</v>
      </c>
      <c r="J892" s="11">
        <f>J876</f>
        <v>0.61244374642142341</v>
      </c>
      <c r="K892" t="n">
        <v>2</v>
      </c>
      <c r="L892" s="3">
        <f>LN(B892)</f>
        <v>-12.458536562164271</v>
      </c>
      <c r="M892" t="n">
        <v>1</v>
      </c>
      <c r="N892" t="n">
        <v>1</v>
      </c>
      <c r="O892" t="n">
        <v>1</v>
      </c>
      <c r="P892" t="n">
        <v>1.02</v>
      </c>
      <c r="Q892" t="n">
        <v>1.2</v>
      </c>
      <c r="R892" t="n">
        <v>1</v>
      </c>
      <c r="S892" t="n">
        <v>1.5</v>
      </c>
      <c r="T892">
        <f>LN(SQRT(EXP(
SQRT(
+POWER(LN(M892),2)
+POWER(LN(N892),2)
+POWER(LN(O892),2)
+POWER(LN(P892),2)
+POWER(LN(Q892),2)
+POWER(LN(R892),2)
+POWER(LN(S892),2)
)
)))</f>
        <v>0.22250575723605889</v>
      </c>
    </row>
    <row r="893">
      <c r="A893" t="inlineStr">
        <is>
          <t>Nitrogen oxides</t>
        </is>
      </c>
      <c r="B893">
        <f>unallocated!B332/I893*J893</f>
        <v>8.7658438969831639E-4</v>
      </c>
      <c r="D893" t="inlineStr">
        <is>
          <t>kilogram</t>
        </is>
      </c>
      <c r="E893" t="inlineStr">
        <is>
          <t>air::urban air close to ground</t>
        </is>
      </c>
      <c r="F893" t="inlineStr">
        <is>
          <t>biosphere</t>
        </is>
      </c>
      <c r="I893" s="6" t="n">
        <v>473</v>
      </c>
      <c r="J893" s="11">
        <f>J876</f>
        <v>0.61244374642142341</v>
      </c>
      <c r="K893" t="n">
        <v>2</v>
      </c>
      <c r="L893" s="3">
        <f>LN(B893)</f>
        <v>-7.0394775779201053</v>
      </c>
      <c r="M893" t="n">
        <v>1</v>
      </c>
      <c r="N893" t="n">
        <v>1</v>
      </c>
      <c r="O893" t="n">
        <v>1</v>
      </c>
      <c r="P893" t="n">
        <v>1.02</v>
      </c>
      <c r="Q893" t="n">
        <v>1.2</v>
      </c>
      <c r="R893" t="n">
        <v>1</v>
      </c>
      <c r="S893" t="n">
        <v>1.5</v>
      </c>
      <c r="T893">
        <f>LN(SQRT(EXP(
SQRT(
+POWER(LN(M893),2)
+POWER(LN(N893),2)
+POWER(LN(O893),2)
+POWER(LN(P893),2)
+POWER(LN(Q893),2)
+POWER(LN(R893),2)
+POWER(LN(S893),2)
)
)))</f>
        <v>0.22250575723605889</v>
      </c>
    </row>
    <row r="894">
      <c r="A894" t="inlineStr">
        <is>
          <t>Ammonia</t>
        </is>
      </c>
      <c r="B894">
        <f>unallocated!B333/I894*J894</f>
        <v>2.5896141497734608E-5</v>
      </c>
      <c r="D894" t="inlineStr">
        <is>
          <t>kilogram</t>
        </is>
      </c>
      <c r="E894" t="inlineStr">
        <is>
          <t>air::urban air close to ground</t>
        </is>
      </c>
      <c r="F894" t="inlineStr">
        <is>
          <t>biosphere</t>
        </is>
      </c>
      <c r="I894" s="6" t="n">
        <v>473</v>
      </c>
      <c r="J894" s="11">
        <f>J876</f>
        <v>0.61244374642142341</v>
      </c>
      <c r="K894" t="n">
        <v>2</v>
      </c>
      <c r="L894" s="3">
        <f>LN(B894)</f>
        <v>-10.56141657727839</v>
      </c>
      <c r="M894" t="n">
        <v>1</v>
      </c>
      <c r="N894" t="n">
        <v>1</v>
      </c>
      <c r="O894" t="n">
        <v>1</v>
      </c>
      <c r="P894" t="n">
        <v>1.02</v>
      </c>
      <c r="Q894" t="n">
        <v>1.2</v>
      </c>
      <c r="R894" t="n">
        <v>1</v>
      </c>
      <c r="S894" t="n">
        <v>1.5</v>
      </c>
      <c r="T894">
        <f>LN(SQRT(EXP(
SQRT(
+POWER(LN(M894),2)
+POWER(LN(N894),2)
+POWER(LN(O894),2)
+POWER(LN(P894),2)
+POWER(LN(Q894),2)
+POWER(LN(R894),2)
+POWER(LN(S894),2)
)
)))</f>
        <v>0.22250575723605889</v>
      </c>
    </row>
    <row r="895">
      <c r="A895" t="inlineStr">
        <is>
          <t>Particulate Matter, &lt; 2.5 um</t>
        </is>
      </c>
      <c r="B895">
        <f>unallocated!B334/I895*J895</f>
        <v>7.7688424493203828E-6</v>
      </c>
      <c r="D895" t="inlineStr">
        <is>
          <t>kilogram</t>
        </is>
      </c>
      <c r="E895" t="inlineStr">
        <is>
          <t>air::urban air close to ground</t>
        </is>
      </c>
      <c r="F895" t="inlineStr">
        <is>
          <t>biosphere</t>
        </is>
      </c>
      <c r="I895" s="6" t="n">
        <v>473</v>
      </c>
      <c r="J895" s="11">
        <f>J876</f>
        <v>0.61244374642142341</v>
      </c>
      <c r="K895" t="n">
        <v>2</v>
      </c>
      <c r="L895" s="3">
        <f>LN(B895)</f>
        <v>-11.765389381604326</v>
      </c>
      <c r="M895" t="n">
        <v>1</v>
      </c>
      <c r="N895" t="n">
        <v>1</v>
      </c>
      <c r="O895" t="n">
        <v>1</v>
      </c>
      <c r="P895" t="n">
        <v>1.02</v>
      </c>
      <c r="Q895" t="n">
        <v>1.2</v>
      </c>
      <c r="R895" t="n">
        <v>1</v>
      </c>
      <c r="S895" t="n">
        <v>3</v>
      </c>
      <c r="T895">
        <f>LN(SQRT(EXP(
SQRT(
+POWER(LN(M895),2)
+POWER(LN(N895),2)
+POWER(LN(O895),2)
+POWER(LN(P895),2)
+POWER(LN(Q895),2)
+POWER(LN(R895),2)
+POWER(LN(S895),2)
)
)))</f>
        <v>0.5569071410325479</v>
      </c>
    </row>
    <row r="896">
      <c r="A896" t="inlineStr">
        <is>
          <t>Mercury II</t>
        </is>
      </c>
      <c r="B896">
        <f>unallocated!B335/I896*J896</f>
        <v>7.768842449320382E-9</v>
      </c>
      <c r="D896" t="inlineStr">
        <is>
          <t>kilogram</t>
        </is>
      </c>
      <c r="E896" t="inlineStr">
        <is>
          <t>air::urban air close to ground</t>
        </is>
      </c>
      <c r="F896" t="inlineStr">
        <is>
          <t>biosphere</t>
        </is>
      </c>
      <c r="I896" s="6" t="n">
        <v>473</v>
      </c>
      <c r="J896" s="11">
        <f>J876</f>
        <v>0.61244374642142341</v>
      </c>
      <c r="K896" t="n">
        <v>2</v>
      </c>
      <c r="L896" s="3">
        <f>LN(B896)</f>
        <v>-18.673144660586463</v>
      </c>
      <c r="M896" t="n">
        <v>1</v>
      </c>
      <c r="N896" t="n">
        <v>1</v>
      </c>
      <c r="O896" t="n">
        <v>1</v>
      </c>
      <c r="P896" t="n">
        <v>1.02</v>
      </c>
      <c r="Q896" t="n">
        <v>1.2</v>
      </c>
      <c r="R896" t="n">
        <v>1</v>
      </c>
      <c r="S896" t="n">
        <v>5</v>
      </c>
      <c r="T896">
        <f>LN(SQRT(EXP(
SQRT(
+POWER(LN(M896),2)
+POWER(LN(N896),2)
+POWER(LN(O896),2)
+POWER(LN(P896),2)
+POWER(LN(Q896),2)
+POWER(LN(R896),2)
+POWER(LN(S896),2)
)
)))</f>
        <v>0.80992649174166365</v>
      </c>
    </row>
    <row r="897">
      <c r="A897" t="inlineStr">
        <is>
          <t>Lead II</t>
        </is>
      </c>
      <c r="B897">
        <f>unallocated!B336/I897*J897</f>
        <v>7.768842449320382E-9</v>
      </c>
      <c r="D897" t="inlineStr">
        <is>
          <t>kilogram</t>
        </is>
      </c>
      <c r="E897" t="inlineStr">
        <is>
          <t>air::urban air close to ground</t>
        </is>
      </c>
      <c r="F897" t="inlineStr">
        <is>
          <t>biosphere</t>
        </is>
      </c>
      <c r="I897" s="6" t="n">
        <v>473</v>
      </c>
      <c r="J897" s="11">
        <f>J876</f>
        <v>0.61244374642142341</v>
      </c>
      <c r="K897" t="n">
        <v>2</v>
      </c>
      <c r="L897" s="3">
        <f>LN(B897)</f>
        <v>-18.673144660586463</v>
      </c>
      <c r="M897" t="n">
        <v>1</v>
      </c>
      <c r="N897" t="n">
        <v>1</v>
      </c>
      <c r="O897" t="n">
        <v>1</v>
      </c>
      <c r="P897" t="n">
        <v>1.02</v>
      </c>
      <c r="Q897" t="n">
        <v>1.2</v>
      </c>
      <c r="R897" t="n">
        <v>1</v>
      </c>
      <c r="S897" t="n">
        <v>5</v>
      </c>
      <c r="T897">
        <f>LN(SQRT(EXP(
SQRT(
+POWER(LN(M897),2)
+POWER(LN(N897),2)
+POWER(LN(O897),2)
+POWER(LN(P897),2)
+POWER(LN(Q897),2)
+POWER(LN(R897),2)
+POWER(LN(S897),2)
)
)))</f>
        <v>0.80992649174166365</v>
      </c>
    </row>
    <row r="898">
      <c r="A898" t="inlineStr">
        <is>
          <t>Cadmium II</t>
        </is>
      </c>
      <c r="B898">
        <f>unallocated!B337/I898*J898</f>
        <v>3.884421224660191E-9</v>
      </c>
      <c r="D898" t="inlineStr">
        <is>
          <t>kilogram</t>
        </is>
      </c>
      <c r="E898" t="inlineStr">
        <is>
          <t>air::urban air close to ground</t>
        </is>
      </c>
      <c r="F898" t="inlineStr">
        <is>
          <t>biosphere</t>
        </is>
      </c>
      <c r="I898" s="6" t="n">
        <v>473</v>
      </c>
      <c r="J898" s="11">
        <f>J876</f>
        <v>0.61244374642142341</v>
      </c>
      <c r="K898" t="n">
        <v>2</v>
      </c>
      <c r="L898" s="3">
        <f>LN(B898)</f>
        <v>-19.366291841146406</v>
      </c>
      <c r="M898" t="n">
        <v>1</v>
      </c>
      <c r="N898" t="n">
        <v>1</v>
      </c>
      <c r="O898" t="n">
        <v>1</v>
      </c>
      <c r="P898" t="n">
        <v>1.02</v>
      </c>
      <c r="Q898" t="n">
        <v>1.2</v>
      </c>
      <c r="R898" t="n">
        <v>1</v>
      </c>
      <c r="S898" t="n">
        <v>5</v>
      </c>
      <c r="T898">
        <f>LN(SQRT(EXP(
SQRT(
+POWER(LN(M898),2)
+POWER(LN(N898),2)
+POWER(LN(O898),2)
+POWER(LN(P898),2)
+POWER(LN(Q898),2)
+POWER(LN(R898),2)
+POWER(LN(S898),2)
)
)))</f>
        <v>0.80992649174166365</v>
      </c>
    </row>
    <row r="899">
      <c r="A899" t="inlineStr">
        <is>
          <t>Arsenic ion</t>
        </is>
      </c>
      <c r="B899">
        <f>unallocated!B338/I899*J899</f>
        <v>3.884421224660191E-9</v>
      </c>
      <c r="D899" t="inlineStr">
        <is>
          <t>kilogram</t>
        </is>
      </c>
      <c r="E899" t="inlineStr">
        <is>
          <t>air::urban air close to ground</t>
        </is>
      </c>
      <c r="F899" t="inlineStr">
        <is>
          <t>biosphere</t>
        </is>
      </c>
      <c r="I899" s="6" t="n">
        <v>473</v>
      </c>
      <c r="J899" s="11">
        <f>J876</f>
        <v>0.61244374642142341</v>
      </c>
      <c r="K899" t="n">
        <v>2</v>
      </c>
      <c r="L899" s="3">
        <f>LN(B899)</f>
        <v>-19.366291841146406</v>
      </c>
      <c r="M899" t="n">
        <v>1</v>
      </c>
      <c r="N899" t="n">
        <v>1</v>
      </c>
      <c r="O899" t="n">
        <v>1</v>
      </c>
      <c r="P899" t="n">
        <v>1.02</v>
      </c>
      <c r="Q899" t="n">
        <v>1.2</v>
      </c>
      <c r="R899" t="n">
        <v>1</v>
      </c>
      <c r="S899" t="n">
        <v>5</v>
      </c>
      <c r="T899">
        <f>LN(SQRT(EXP(
SQRT(
+POWER(LN(M899),2)
+POWER(LN(N899),2)
+POWER(LN(O899),2)
+POWER(LN(P899),2)
+POWER(LN(Q899),2)
+POWER(LN(R899),2)
+POWER(LN(S899),2)
)
)))</f>
        <v>0.80992649174166365</v>
      </c>
    </row>
    <row r="900">
      <c r="A900" t="inlineStr">
        <is>
          <t>Dioxins, measured as 2,3,7,8-tetrachlorodibenzo-p-dioxin</t>
        </is>
      </c>
      <c r="B900">
        <f>unallocated!B339/I900*J900</f>
        <v>1.4242877823754034E-13</v>
      </c>
      <c r="D900" t="inlineStr">
        <is>
          <t>kilogram</t>
        </is>
      </c>
      <c r="E900" t="inlineStr">
        <is>
          <t>air::urban air close to ground</t>
        </is>
      </c>
      <c r="F900" t="inlineStr">
        <is>
          <t>biosphere</t>
        </is>
      </c>
      <c r="I900" s="6" t="n">
        <v>473</v>
      </c>
      <c r="J900" s="11">
        <f>J876</f>
        <v>0.61244374642142341</v>
      </c>
      <c r="K900" t="n">
        <v>2</v>
      </c>
      <c r="L900" s="3">
        <f>LN(B900)</f>
        <v>-29.579934321986375</v>
      </c>
      <c r="M900" t="n">
        <v>1</v>
      </c>
      <c r="N900" t="n">
        <v>1</v>
      </c>
      <c r="O900" t="n">
        <v>1</v>
      </c>
      <c r="P900" t="n">
        <v>1.02</v>
      </c>
      <c r="Q900" t="n">
        <v>1.2</v>
      </c>
      <c r="R900" t="n">
        <v>1</v>
      </c>
      <c r="S900" t="n">
        <v>5</v>
      </c>
      <c r="T900">
        <f>LN(SQRT(EXP(
SQRT(
+POWER(LN(M900),2)
+POWER(LN(N900),2)
+POWER(LN(O900),2)
+POWER(LN(P900),2)
+POWER(LN(Q900),2)
+POWER(LN(R900),2)
+POWER(LN(S900),2)
)
)))</f>
        <v>0.80992649174166365</v>
      </c>
    </row>
    <row r="901">
      <c r="A901" t="inlineStr">
        <is>
          <t>Carbon dioxide, fossil</t>
        </is>
      </c>
      <c r="B901">
        <f>unallocated!B340/I901*J901</f>
        <v>7.2509196193656894E-2</v>
      </c>
      <c r="D901" t="inlineStr">
        <is>
          <t>kilogram</t>
        </is>
      </c>
      <c r="E901" t="inlineStr">
        <is>
          <t>air::urban air close to ground</t>
        </is>
      </c>
      <c r="F901" t="inlineStr">
        <is>
          <t>biosphere</t>
        </is>
      </c>
      <c r="I901" s="6" t="n">
        <v>473</v>
      </c>
      <c r="J901" s="11">
        <f>J876</f>
        <v>0.61244374642142341</v>
      </c>
      <c r="K901" t="n">
        <v>2</v>
      </c>
      <c r="L901" s="3">
        <f>LN(B901)</f>
        <v>-2.6240418811150943</v>
      </c>
      <c r="M901" t="n">
        <v>1</v>
      </c>
      <c r="N901" t="n">
        <v>1</v>
      </c>
      <c r="O901" t="n">
        <v>1</v>
      </c>
      <c r="P901" t="n">
        <v>1.02</v>
      </c>
      <c r="Q901" t="n">
        <v>1.2</v>
      </c>
      <c r="R901" t="n">
        <v>1</v>
      </c>
      <c r="S901" t="n">
        <v>1.05</v>
      </c>
      <c r="T901">
        <f>LN(SQRT(EXP(
SQRT(
+POWER(LN(M901),2)
+POWER(LN(N901),2)
+POWER(LN(O901),2)
+POWER(LN(P901),2)
+POWER(LN(Q901),2)
+POWER(LN(R901),2)
+POWER(LN(S901),2)
)
)))</f>
        <v>9.4886477223156879E-2</v>
      </c>
    </row>
    <row r="902">
      <c r="A902" t="inlineStr">
        <is>
          <t>Carbon dioxide, non-fossil</t>
        </is>
      </c>
      <c r="B902">
        <f>unallocated!B341/I902*J902</f>
        <v>0.11523782966491899</v>
      </c>
      <c r="D902" t="inlineStr">
        <is>
          <t>kilogram</t>
        </is>
      </c>
      <c r="E902" t="inlineStr">
        <is>
          <t>air::urban air close to ground</t>
        </is>
      </c>
      <c r="F902" t="inlineStr">
        <is>
          <t>biosphere</t>
        </is>
      </c>
      <c r="I902" s="6" t="n">
        <v>473</v>
      </c>
      <c r="J902" s="14">
        <f>J876</f>
        <v>0.61244374642142341</v>
      </c>
      <c r="K902" t="n">
        <v>2</v>
      </c>
      <c r="L902" s="3">
        <f>LN(B902)</f>
        <v>-2.1607572021181038</v>
      </c>
      <c r="M902" t="n">
        <v>1</v>
      </c>
      <c r="N902" t="n">
        <v>1</v>
      </c>
      <c r="O902" t="n">
        <v>1</v>
      </c>
      <c r="P902" t="n">
        <v>1.02</v>
      </c>
      <c r="Q902" t="n">
        <v>1.2</v>
      </c>
      <c r="R902" t="n">
        <v>1</v>
      </c>
      <c r="S902" t="n">
        <v>1.05</v>
      </c>
      <c r="T902">
        <f>LN(SQRT(EXP(
SQRT(
+POWER(LN(M902),2)
+POWER(LN(N902),2)
+POWER(LN(O902),2)
+POWER(LN(P902),2)
+POWER(LN(Q902),2)
+POWER(LN(R902),2)
+POWER(LN(S902),2)
)
)))</f>
        <v>9.4886477223156879E-2</v>
      </c>
    </row>
    <row r="903">
      <c r="A903" t="inlineStr">
        <is>
          <t>Carbon dioxide, in air</t>
        </is>
      </c>
      <c r="B903">
        <f>unallocated!B342/I903*J903</f>
        <v>0.65387757281779879</v>
      </c>
      <c r="D903" t="inlineStr">
        <is>
          <t>kilogram</t>
        </is>
      </c>
      <c r="E903" t="inlineStr">
        <is>
          <t>natural resource::in air</t>
        </is>
      </c>
      <c r="F903" t="inlineStr">
        <is>
          <t>biosphere</t>
        </is>
      </c>
      <c r="H903" t="inlineStr">
        <is>
          <t>To reflect the permanent storage of non-fossil CO.</t>
        </is>
      </c>
      <c r="I903" s="6" t="n">
        <v>473</v>
      </c>
      <c r="J903" s="14">
        <f>J876</f>
        <v>0.61244374642142341</v>
      </c>
      <c r="K903" t="n">
        <v>2</v>
      </c>
      <c r="L903" s="3">
        <f>LN(B903)</f>
        <v>-0.42483514257488375</v>
      </c>
      <c r="M903" t="n">
        <v>1</v>
      </c>
      <c r="N903" t="n">
        <v>1</v>
      </c>
      <c r="O903" t="n">
        <v>1</v>
      </c>
      <c r="P903" t="n">
        <v>1.02</v>
      </c>
      <c r="Q903" t="n">
        <v>1.2</v>
      </c>
      <c r="R903" t="n">
        <v>1</v>
      </c>
      <c r="S903" t="n">
        <v>1.05</v>
      </c>
      <c r="T903">
        <f>LN(SQRT(EXP(
SQRT(
+POWER(LN(M903),2)
+POWER(LN(N903),2)
+POWER(LN(O903),2)
+POWER(LN(P903),2)
+POWER(LN(Q903),2)
+POWER(LN(R903),2)
+POWER(LN(S903),2)
)
)))</f>
        <v>9.4886477223156879E-2</v>
      </c>
    </row>
    <row r="904"/>
    <row r="905">
      <c r="A905" s="1" t="inlineStr">
        <is>
          <t>Activity</t>
        </is>
      </c>
      <c r="B905" s="1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</row>
    <row r="906">
      <c r="A906" t="inlineStr">
        <is>
          <t>location</t>
        </is>
      </c>
      <c r="B906" t="inlineStr">
        <is>
          <t>RER</t>
        </is>
      </c>
    </row>
    <row r="907">
      <c r="A907" t="inlineStr">
        <is>
          <t>production amount</t>
        </is>
      </c>
      <c r="B907" t="n">
        <v>1</v>
      </c>
    </row>
    <row r="908">
      <c r="A908" s="2" t="inlineStr">
        <is>
          <t>source</t>
        </is>
      </c>
      <c r="B908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909">
      <c r="A909" t="inlineStr">
        <is>
          <t>reference product</t>
        </is>
      </c>
      <c r="B909" t="inlineStr">
        <is>
          <t>heat, district or industrial, other than natural gas</t>
        </is>
      </c>
    </row>
    <row r="910">
      <c r="A910" t="inlineStr">
        <is>
          <t>type</t>
        </is>
      </c>
      <c r="B910" t="inlineStr">
        <is>
          <t>process</t>
        </is>
      </c>
    </row>
    <row r="911">
      <c r="A911" t="inlineStr">
        <is>
          <t>unit</t>
        </is>
      </c>
      <c r="B911" t="inlineStr">
        <is>
          <t>megajoule</t>
        </is>
      </c>
    </row>
    <row r="912">
      <c r="A912" t="inlineStr">
        <is>
          <t>comment</t>
        </is>
      </c>
      <c r="B912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913">
      <c r="A913" s="1" t="inlineStr">
        <is>
          <t>Exchanges</t>
        </is>
      </c>
    </row>
    <row r="914">
      <c r="A914" s="7" t="inlineStr">
        <is>
          <t>name</t>
        </is>
      </c>
      <c r="B914" s="7" t="inlineStr">
        <is>
          <t>amount</t>
        </is>
      </c>
      <c r="C914" s="7" t="inlineStr">
        <is>
          <t>location</t>
        </is>
      </c>
      <c r="D914" s="7" t="inlineStr">
        <is>
          <t>unit</t>
        </is>
      </c>
      <c r="E914" s="7" t="inlineStr">
        <is>
          <t>categories</t>
        </is>
      </c>
      <c r="F914" s="7" t="inlineStr">
        <is>
          <t>type</t>
        </is>
      </c>
      <c r="G914" s="7" t="inlineStr">
        <is>
          <t>reference product</t>
        </is>
      </c>
      <c r="H914" s="7" t="inlineStr">
        <is>
          <t>comment</t>
        </is>
      </c>
      <c r="I914" s="7" t="inlineStr">
        <is>
          <t>normalization</t>
        </is>
      </c>
      <c r="J914" s="7" t="inlineStr">
        <is>
          <t>allocation</t>
        </is>
      </c>
      <c r="K914" s="7" t="inlineStr">
        <is>
          <t>uncertainty type</t>
        </is>
      </c>
      <c r="L914" s="7" t="inlineStr">
        <is>
          <t>loc</t>
        </is>
      </c>
      <c r="M914" s="1" t="inlineStr">
        <is>
          <t>u1</t>
        </is>
      </c>
      <c r="N914" s="1" t="inlineStr">
        <is>
          <t>u2</t>
        </is>
      </c>
      <c r="O914" s="1" t="inlineStr">
        <is>
          <t>u3</t>
        </is>
      </c>
      <c r="P914" s="1" t="inlineStr">
        <is>
          <t>u4</t>
        </is>
      </c>
      <c r="Q914" s="1" t="inlineStr">
        <is>
          <t>u5</t>
        </is>
      </c>
      <c r="R914" s="1" t="inlineStr">
        <is>
          <t>u6</t>
        </is>
      </c>
      <c r="S914" s="1" t="inlineStr">
        <is>
          <t>ub</t>
        </is>
      </c>
      <c r="T914" s="1" t="inlineStr">
        <is>
          <t>scale</t>
        </is>
      </c>
      <c r="U914" s="1" t="inlineStr">
        <is>
          <t>negative</t>
        </is>
      </c>
    </row>
    <row r="915">
      <c r="A915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B915" t="n">
        <v>0</v>
      </c>
      <c r="C915" t="inlineStr">
        <is>
          <t>RER</t>
        </is>
      </c>
      <c r="D915" t="inlineStr">
        <is>
          <t>kilogram</t>
        </is>
      </c>
      <c r="F915" t="inlineStr">
        <is>
          <t>technosphere</t>
        </is>
      </c>
      <c r="G915" t="inlineStr">
        <is>
          <t>municipal solid waste</t>
        </is>
      </c>
      <c r="H915" t="inlineStr"/>
      <c r="I915" t="n">
        <v>8510</v>
      </c>
      <c r="J915" s="14">
        <f>INDEX('allocation keys'!$I$4:$K$29,MATCH('allocated (exergy)'!$B$905,'allocation keys'!$B$4:$B$29,0),MATCH('allocated (exergy)'!$B$909,'allocation keys'!$I$3:$K$3,0))</f>
        <v>0.38755625357857665</v>
      </c>
      <c r="K915" t="n">
        <v>0</v>
      </c>
      <c r="M915" s="5" t="n"/>
      <c r="N915" s="5" t="n"/>
      <c r="O915" s="5" t="n"/>
      <c r="P915" s="5" t="n"/>
      <c r="Q915" s="5" t="n"/>
      <c r="R915" s="5" t="n"/>
    </row>
    <row r="916">
      <c r="A916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B916" s="6" t="n">
        <v>0</v>
      </c>
      <c r="C916" t="inlineStr">
        <is>
          <t>RER</t>
        </is>
      </c>
      <c r="D916" t="inlineStr">
        <is>
          <t>kilowatt hour</t>
        </is>
      </c>
      <c r="F916" t="inlineStr">
        <is>
          <t>technosphere</t>
        </is>
      </c>
      <c r="G916" t="inlineStr">
        <is>
          <t>electricity, medium voltage</t>
        </is>
      </c>
      <c r="H916" t="inlineStr"/>
      <c r="I916" t="n">
        <v>8510</v>
      </c>
      <c r="J916" s="11">
        <f>J915</f>
        <v>0.38755625357857665</v>
      </c>
      <c r="K916" t="n">
        <v>0</v>
      </c>
      <c r="L916" s="3" t="n"/>
    </row>
    <row r="917">
      <c r="A917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B917" t="n">
        <v>1</v>
      </c>
      <c r="C917" t="inlineStr">
        <is>
          <t>RER</t>
        </is>
      </c>
      <c r="D917" t="inlineStr">
        <is>
          <t>megajoule</t>
        </is>
      </c>
      <c r="F917" t="inlineStr">
        <is>
          <t>production</t>
        </is>
      </c>
      <c r="G917" t="inlineStr">
        <is>
          <t>heat, district or industrial, other than natural gas</t>
        </is>
      </c>
      <c r="H917" t="inlineStr"/>
      <c r="I917" t="n">
        <v>8510</v>
      </c>
      <c r="J917" s="11">
        <f>J915</f>
        <v>0.38755625357857665</v>
      </c>
      <c r="K917" t="n">
        <v>0</v>
      </c>
      <c r="L917" s="3" t="n"/>
    </row>
    <row r="918">
      <c r="A918" t="inlineStr">
        <is>
          <t>market for diesel, low-sulfur</t>
        </is>
      </c>
      <c r="B918">
        <f>unallocated!B318/I918*J918</f>
        <v>3.8710084082466525E-6</v>
      </c>
      <c r="C918" t="inlineStr">
        <is>
          <t>Europe without Switzerland</t>
        </is>
      </c>
      <c r="D918" t="inlineStr">
        <is>
          <t>kilogram</t>
        </is>
      </c>
      <c r="F918" t="inlineStr">
        <is>
          <t>technosphere</t>
        </is>
      </c>
      <c r="G918" t="inlineStr">
        <is>
          <t>diesel, low-sulfur</t>
        </is>
      </c>
      <c r="H918" t="inlineStr">
        <is>
          <t>Diesel density: 0.85 kg/l</t>
        </is>
      </c>
      <c r="I918" t="n">
        <v>8510</v>
      </c>
      <c r="J918" s="11">
        <f>J915</f>
        <v>0.38755625357857665</v>
      </c>
      <c r="K918" t="n">
        <v>2</v>
      </c>
      <c r="L918" s="3">
        <f>LN(B918)</f>
        <v>-12.461995514258838</v>
      </c>
      <c r="M918" t="n">
        <v>1</v>
      </c>
      <c r="N918" t="n">
        <v>1</v>
      </c>
      <c r="O918" t="n">
        <v>1</v>
      </c>
      <c r="P918" t="n">
        <v>1.02</v>
      </c>
      <c r="Q918" t="n">
        <v>1.2</v>
      </c>
      <c r="R918" t="n">
        <v>1</v>
      </c>
      <c r="S918" t="n">
        <v>1.05</v>
      </c>
      <c r="T918">
        <f>LN(SQRT(EXP(
SQRT(
+POWER(LN(M918),2)
+POWER(LN(N918),2)
+POWER(LN(O918),2)
+POWER(LN(P918),2)
+POWER(LN(Q918),2)
+POWER(LN(R918),2)
+POWER(LN(S918),2)
)
)))</f>
        <v>9.4886477223156879E-2</v>
      </c>
    </row>
    <row r="919">
      <c r="A919" t="inlineStr">
        <is>
          <t>market for activated carbon, granular</t>
        </is>
      </c>
      <c r="B919">
        <f>unallocated!B319/I919*J919</f>
        <v>1.8216510156454837E-5</v>
      </c>
      <c r="C919" t="inlineStr">
        <is>
          <t>GLO</t>
        </is>
      </c>
      <c r="D919" t="inlineStr">
        <is>
          <t>kilogram</t>
        </is>
      </c>
      <c r="F919" t="inlineStr">
        <is>
          <t>technosphere</t>
        </is>
      </c>
      <c r="G919" t="inlineStr">
        <is>
          <t>activated carbon, granular</t>
        </is>
      </c>
      <c r="I919" t="n">
        <v>8510</v>
      </c>
      <c r="J919" s="11">
        <f>J915</f>
        <v>0.38755625357857665</v>
      </c>
      <c r="K919" t="n">
        <v>2</v>
      </c>
      <c r="L919" s="3">
        <f>LN(B919)</f>
        <v>-10.913182223641172</v>
      </c>
      <c r="M919" t="n">
        <v>1</v>
      </c>
      <c r="N919" t="n">
        <v>1</v>
      </c>
      <c r="O919" t="n">
        <v>1</v>
      </c>
      <c r="P919" t="n">
        <v>1.02</v>
      </c>
      <c r="Q919" t="n">
        <v>1.2</v>
      </c>
      <c r="R919" t="n">
        <v>1</v>
      </c>
      <c r="S919" t="n">
        <v>1.05</v>
      </c>
      <c r="T919">
        <f>LN(SQRT(EXP(
SQRT(
+POWER(LN(M919),2)
+POWER(LN(N919),2)
+POWER(LN(O919),2)
+POWER(LN(P919),2)
+POWER(LN(Q919),2)
+POWER(LN(R919),2)
+POWER(LN(S919),2)
)
)))</f>
        <v>9.4886477223156879E-2</v>
      </c>
    </row>
    <row r="920">
      <c r="A920" t="inlineStr">
        <is>
          <t>market for ammonia, anhydrous, liquid</t>
        </is>
      </c>
      <c r="B920">
        <f>unallocated!B320/I920*J920</f>
        <v>4.4630449883314349E-5</v>
      </c>
      <c r="C920" t="inlineStr">
        <is>
          <t>RER</t>
        </is>
      </c>
      <c r="D920" t="inlineStr">
        <is>
          <t>kilogram</t>
        </is>
      </c>
      <c r="F920" t="inlineStr">
        <is>
          <t>technosphere</t>
        </is>
      </c>
      <c r="G920" t="inlineStr">
        <is>
          <t>ammonia, anhydrous, liquid</t>
        </is>
      </c>
      <c r="H920" t="inlineStr">
        <is>
          <t>100% liquid ammonia. In original publication, it is dilluated to 23.5% in water. We discount the original value by 75%.</t>
        </is>
      </c>
      <c r="I920" t="n">
        <v>8510</v>
      </c>
      <c r="J920" s="11">
        <f>J915</f>
        <v>0.38755625357857665</v>
      </c>
      <c r="K920" t="n">
        <v>2</v>
      </c>
      <c r="L920" s="3">
        <f>LN(B920)</f>
        <v>-10.017094199084536</v>
      </c>
      <c r="M920" t="n">
        <v>1</v>
      </c>
      <c r="N920" t="n">
        <v>1</v>
      </c>
      <c r="O920" t="n">
        <v>1</v>
      </c>
      <c r="P920" t="n">
        <v>1.02</v>
      </c>
      <c r="Q920" t="n">
        <v>1.2</v>
      </c>
      <c r="R920" t="n">
        <v>1</v>
      </c>
      <c r="S920" t="n">
        <v>1.05</v>
      </c>
      <c r="T920">
        <f>LN(SQRT(EXP(
SQRT(
+POWER(LN(M920),2)
+POWER(LN(N920),2)
+POWER(LN(O920),2)
+POWER(LN(P920),2)
+POWER(LN(Q920),2)
+POWER(LN(R920),2)
+POWER(LN(S920),2)
)
)))</f>
        <v>9.4886477223156879E-2</v>
      </c>
    </row>
    <row r="921">
      <c r="A921" t="inlineStr">
        <is>
          <t>market for tap water</t>
        </is>
      </c>
      <c r="B921">
        <f>unallocated!B321/I921*J921</f>
        <v>1.3753465168123402E-4</v>
      </c>
      <c r="C921" t="inlineStr">
        <is>
          <t>Europe without Switzerland</t>
        </is>
      </c>
      <c r="D921" t="inlineStr">
        <is>
          <t>kilogram</t>
        </is>
      </c>
      <c r="F921" t="inlineStr">
        <is>
          <t>technosphere</t>
        </is>
      </c>
      <c r="G921" t="inlineStr">
        <is>
          <t>tap water</t>
        </is>
      </c>
      <c r="H921" t="inlineStr">
        <is>
          <t>Used to dilute the ammonia.</t>
        </is>
      </c>
      <c r="I921" t="n">
        <v>8510</v>
      </c>
      <c r="J921" s="11">
        <f>J915</f>
        <v>0.38755625357857665</v>
      </c>
      <c r="K921" t="n">
        <v>2</v>
      </c>
      <c r="L921" s="3">
        <f>LN(B921)</f>
        <v>-8.8916346603802392</v>
      </c>
      <c r="M921" t="n">
        <v>1</v>
      </c>
      <c r="N921" t="n">
        <v>1</v>
      </c>
      <c r="O921" t="n">
        <v>1</v>
      </c>
      <c r="P921" t="n">
        <v>1.02</v>
      </c>
      <c r="Q921" t="n">
        <v>1.2</v>
      </c>
      <c r="R921" t="n">
        <v>1</v>
      </c>
      <c r="S921" t="n">
        <v>1.05</v>
      </c>
      <c r="T921">
        <f>LN(SQRT(EXP(
SQRT(
+POWER(LN(M921),2)
+POWER(LN(N921),2)
+POWER(LN(O921),2)
+POWER(LN(P921),2)
+POWER(LN(Q921),2)
+POWER(LN(R921),2)
+POWER(LN(S921),2)
)
)))</f>
        <v>9.4886477223156879E-2</v>
      </c>
    </row>
    <row r="922">
      <c r="A922" t="inlineStr">
        <is>
          <t>market for calcium carbonate, precipitated</t>
        </is>
      </c>
      <c r="B922">
        <f>unallocated!B322/I922*J922</f>
        <v>3.1878892773795961E-4</v>
      </c>
      <c r="C922" t="inlineStr">
        <is>
          <t>RER</t>
        </is>
      </c>
      <c r="D922" t="inlineStr">
        <is>
          <t>kilogram</t>
        </is>
      </c>
      <c r="F922" t="inlineStr">
        <is>
          <t>technosphere</t>
        </is>
      </c>
      <c r="G922" t="inlineStr">
        <is>
          <t>calcium carbonate, precipitated</t>
        </is>
      </c>
      <c r="I922" t="n">
        <v>8510</v>
      </c>
      <c r="J922" s="11">
        <f>J915</f>
        <v>0.38755625357857665</v>
      </c>
      <c r="K922" t="n">
        <v>0</v>
      </c>
      <c r="L922" s="3" t="n"/>
    </row>
    <row r="923">
      <c r="A923" t="inlineStr">
        <is>
          <t>market for iron(III) chloride, without water, in 40% solution state</t>
        </is>
      </c>
      <c r="B923">
        <f>unallocated!B323/I923*J923</f>
        <v>2.2770637695568546E-6</v>
      </c>
      <c r="C923" t="inlineStr">
        <is>
          <t>GLO</t>
        </is>
      </c>
      <c r="D923" t="inlineStr">
        <is>
          <t>kilogram</t>
        </is>
      </c>
      <c r="F923" t="inlineStr">
        <is>
          <t>technosphere</t>
        </is>
      </c>
      <c r="G923" t="inlineStr">
        <is>
          <t>iron(III) chloride, without water, in 40% solution state</t>
        </is>
      </c>
      <c r="I923" t="n">
        <v>8510</v>
      </c>
      <c r="J923" s="11">
        <f>J915</f>
        <v>0.38755625357857665</v>
      </c>
      <c r="K923" t="n">
        <v>0</v>
      </c>
      <c r="L923" s="3" t="n"/>
    </row>
    <row r="924">
      <c r="A924" t="inlineStr">
        <is>
          <t>market for lime, hydrated, packed</t>
        </is>
      </c>
      <c r="B924">
        <f>unallocated!B324/I924*J924</f>
        <v>0</v>
      </c>
      <c r="C924" t="inlineStr">
        <is>
          <t>RER</t>
        </is>
      </c>
      <c r="D924" t="inlineStr">
        <is>
          <t>kilogram</t>
        </is>
      </c>
      <c r="F924" t="inlineStr">
        <is>
          <t>technosphere</t>
        </is>
      </c>
      <c r="G924" t="inlineStr">
        <is>
          <t>lime, hydrated, packed</t>
        </is>
      </c>
      <c r="I924" t="n">
        <v>8510</v>
      </c>
      <c r="J924" s="11">
        <f>J915</f>
        <v>0.38755625357857665</v>
      </c>
      <c r="K924" t="n">
        <v>0</v>
      </c>
      <c r="L924" s="3" t="n"/>
    </row>
    <row r="925">
      <c r="A925" t="inlineStr">
        <is>
          <t>market for sodium hydroxide, without water, in 50% solution state</t>
        </is>
      </c>
      <c r="B925">
        <f>unallocated!B325/I925*J925</f>
        <v>2.2770637695568545E-5</v>
      </c>
      <c r="C925" t="inlineStr">
        <is>
          <t>RER</t>
        </is>
      </c>
      <c r="D925" t="inlineStr">
        <is>
          <t>kilogram</t>
        </is>
      </c>
      <c r="F925" t="inlineStr">
        <is>
          <t>technosphere</t>
        </is>
      </c>
      <c r="G925" t="inlineStr">
        <is>
          <t>sodium hydroxide, without water, in 50% solution state</t>
        </is>
      </c>
      <c r="H925" t="inlineStr">
        <is>
          <t>50% liquid ammonia. In original publication, it is dilluated to 27% in water. We discount the original value by 50%.</t>
        </is>
      </c>
      <c r="I925" t="n">
        <v>8510</v>
      </c>
      <c r="J925" s="11">
        <f>J915</f>
        <v>0.38755625357857665</v>
      </c>
      <c r="K925" t="n">
        <v>0</v>
      </c>
      <c r="L925" s="3" t="n"/>
    </row>
    <row r="926">
      <c r="A926" t="inlineStr">
        <is>
          <t>market for monoethanolamine</t>
        </is>
      </c>
      <c r="B926">
        <f>unallocated!B326/I926*J926</f>
        <v>1.8216510156454836E-4</v>
      </c>
      <c r="C926" t="inlineStr">
        <is>
          <t>GLO</t>
        </is>
      </c>
      <c r="D926" t="inlineStr">
        <is>
          <t>kilogram</t>
        </is>
      </c>
      <c r="F926" t="inlineStr">
        <is>
          <t>technosphere</t>
        </is>
      </c>
      <c r="G926" t="inlineStr">
        <is>
          <t>monoethanolamine</t>
        </is>
      </c>
      <c r="I926" t="n">
        <v>8510</v>
      </c>
      <c r="J926" s="11">
        <f>J915</f>
        <v>0.38755625357857665</v>
      </c>
      <c r="K926" t="n">
        <v>0</v>
      </c>
      <c r="L926" s="3" t="n"/>
    </row>
    <row r="927">
      <c r="A927" t="inlineStr">
        <is>
          <t>municipal waste incineration facility construction</t>
        </is>
      </c>
      <c r="B927">
        <f>unallocated!B327/I927*J927</f>
        <v>1.1385318847784273E-11</v>
      </c>
      <c r="C927" t="inlineStr">
        <is>
          <t>CH</t>
        </is>
      </c>
      <c r="D927" t="inlineStr">
        <is>
          <t>unit</t>
        </is>
      </c>
      <c r="F927" t="inlineStr">
        <is>
          <t>technosphere</t>
        </is>
      </c>
      <c r="G927" t="inlineStr">
        <is>
          <t>municipal waste incineration facility</t>
        </is>
      </c>
      <c r="H927" t="inlineStr">
        <is>
          <t>Lifetime: 4'000'000 tons MSWI treated.</t>
        </is>
      </c>
      <c r="I927" t="n">
        <v>8510</v>
      </c>
      <c r="J927" s="11">
        <f>J915</f>
        <v>0.38755625357857665</v>
      </c>
      <c r="K927" t="n">
        <v>2</v>
      </c>
      <c r="L927" s="3">
        <f>LN(B927)</f>
        <v>-25.198696410851181</v>
      </c>
      <c r="M927" t="n">
        <v>1</v>
      </c>
      <c r="N927" t="n">
        <v>1</v>
      </c>
      <c r="O927" t="n">
        <v>1</v>
      </c>
      <c r="P927" t="n">
        <v>1.02</v>
      </c>
      <c r="Q927" t="n">
        <v>1.2</v>
      </c>
      <c r="R927" t="n">
        <v>1</v>
      </c>
      <c r="S927" t="n">
        <v>3</v>
      </c>
      <c r="T927">
        <f>LN(SQRT(EXP(
SQRT(
+POWER(LN(M927),2)
+POWER(LN(N927),2)
+POWER(LN(O927),2)
+POWER(LN(P927),2)
+POWER(LN(Q927),2)
+POWER(LN(R927),2)
+POWER(LN(S927),2)
)
)))</f>
        <v>0.5569071410325479</v>
      </c>
    </row>
    <row r="928">
      <c r="A928" t="inlineStr">
        <is>
          <t>carbon dioxide storage at wood burning power plant 20 MW post, pipeline 200km, storage 1000m</t>
        </is>
      </c>
      <c r="B928">
        <f>unallocated!B328/I928*J928</f>
        <v>3.748046964690583E-2</v>
      </c>
      <c r="C928" t="inlineStr">
        <is>
          <t>RER</t>
        </is>
      </c>
      <c r="D928" t="inlineStr">
        <is>
          <t>kilogram</t>
        </is>
      </c>
      <c r="F928" t="inlineStr">
        <is>
          <t>technosphere</t>
        </is>
      </c>
      <c r="G928" t="inlineStr">
        <is>
          <t>carbon dioxide storage at wood burning power plant 20 MW post, pipeline 200km, storage 1000m</t>
        </is>
      </c>
      <c r="I928" t="n">
        <v>8510</v>
      </c>
      <c r="J928" s="11">
        <f>J915</f>
        <v>0.38755625357857665</v>
      </c>
      <c r="K928" t="n">
        <v>2</v>
      </c>
      <c r="L928" s="3">
        <f>LN(B928)</f>
        <v>-3.2839352910899473</v>
      </c>
      <c r="M928" t="n">
        <v>1</v>
      </c>
      <c r="N928" t="n">
        <v>1</v>
      </c>
      <c r="O928" t="n">
        <v>1</v>
      </c>
      <c r="P928" t="n">
        <v>1.02</v>
      </c>
      <c r="Q928" t="n">
        <v>1.2</v>
      </c>
      <c r="R928" t="n">
        <v>1</v>
      </c>
      <c r="S928" t="n">
        <v>3</v>
      </c>
      <c r="T928">
        <f>LN(SQRT(EXP(
SQRT(
+POWER(LN(M928),2)
+POWER(LN(N928),2)
+POWER(LN(O928),2)
+POWER(LN(P928),2)
+POWER(LN(Q928),2)
+POWER(LN(R928),2)
+POWER(LN(S928),2)
)
)))</f>
        <v>0.5569071410325479</v>
      </c>
    </row>
    <row r="929">
      <c r="A929" t="inlineStr">
        <is>
          <t>Water, cooling, unspecified natural origin</t>
        </is>
      </c>
      <c r="B929">
        <f>unallocated!B329/I929*J929</f>
        <v>0</v>
      </c>
      <c r="D929" t="inlineStr">
        <is>
          <t>cubic meter</t>
        </is>
      </c>
      <c r="E929" t="inlineStr">
        <is>
          <t>natural resource::in water</t>
        </is>
      </c>
      <c r="F929" t="inlineStr">
        <is>
          <t>biosphere</t>
        </is>
      </c>
      <c r="I929" t="n">
        <v>8510</v>
      </c>
      <c r="J929" s="11">
        <f>J915</f>
        <v>0.38755625357857665</v>
      </c>
      <c r="K929" t="n">
        <v>0</v>
      </c>
      <c r="L929" s="3" t="n"/>
    </row>
    <row r="930">
      <c r="A930" t="inlineStr">
        <is>
          <t>Sulfur dioxide</t>
        </is>
      </c>
      <c r="B930">
        <f>unallocated!B330/I930*J930</f>
        <v>2.7324765234682256E-7</v>
      </c>
      <c r="D930" t="inlineStr">
        <is>
          <t>kilogram</t>
        </is>
      </c>
      <c r="E930" t="inlineStr">
        <is>
          <t>air::urban air close to ground</t>
        </is>
      </c>
      <c r="F930" t="inlineStr">
        <is>
          <t>biosphere</t>
        </is>
      </c>
      <c r="I930" t="n">
        <v>8510</v>
      </c>
      <c r="J930" s="11">
        <f>J915</f>
        <v>0.38755625357857665</v>
      </c>
      <c r="K930" t="n">
        <v>2</v>
      </c>
      <c r="L930" s="3">
        <f>LN(B930)</f>
        <v>-15.112887301521098</v>
      </c>
      <c r="M930" t="n">
        <v>1</v>
      </c>
      <c r="N930" t="n">
        <v>1</v>
      </c>
      <c r="O930" t="n">
        <v>1</v>
      </c>
      <c r="P930" t="n">
        <v>1.02</v>
      </c>
      <c r="Q930" t="n">
        <v>1.2</v>
      </c>
      <c r="R930" t="n">
        <v>1</v>
      </c>
      <c r="S930" t="n">
        <v>1.05</v>
      </c>
      <c r="T930">
        <f>LN(SQRT(EXP(
SQRT(
+POWER(LN(M930),2)
+POWER(LN(N930),2)
+POWER(LN(O930),2)
+POWER(LN(P930),2)
+POWER(LN(Q930),2)
+POWER(LN(R930),2)
+POWER(LN(S930),2)
)
)))</f>
        <v>9.4886477223156879E-2</v>
      </c>
    </row>
    <row r="931">
      <c r="A931" t="inlineStr">
        <is>
          <t>Hydrochloric acid</t>
        </is>
      </c>
      <c r="B931">
        <f>unallocated!B331/I931*J931</f>
        <v>1.3662382617341128E-7</v>
      </c>
      <c r="D931" t="inlineStr">
        <is>
          <t>kilogram</t>
        </is>
      </c>
      <c r="E931" t="inlineStr">
        <is>
          <t>air</t>
        </is>
      </c>
      <c r="F931" t="inlineStr">
        <is>
          <t>biosphere</t>
        </is>
      </c>
      <c r="I931" t="n">
        <v>8510</v>
      </c>
      <c r="J931" s="11">
        <f>J915</f>
        <v>0.38755625357857665</v>
      </c>
      <c r="K931" t="n">
        <v>2</v>
      </c>
      <c r="L931" s="3">
        <f>LN(B931)</f>
        <v>-15.806034482081044</v>
      </c>
      <c r="M931" t="n">
        <v>1</v>
      </c>
      <c r="N931" t="n">
        <v>1</v>
      </c>
      <c r="O931" t="n">
        <v>1</v>
      </c>
      <c r="P931" t="n">
        <v>1.02</v>
      </c>
      <c r="Q931" t="n">
        <v>1.2</v>
      </c>
      <c r="R931" t="n">
        <v>1</v>
      </c>
      <c r="S931" t="n">
        <v>1.5</v>
      </c>
      <c r="T931">
        <f>LN(SQRT(EXP(
SQRT(
+POWER(LN(M931),2)
+POWER(LN(N931),2)
+POWER(LN(O931),2)
+POWER(LN(P931),2)
+POWER(LN(Q931),2)
+POWER(LN(R931),2)
+POWER(LN(S931),2)
)
)))</f>
        <v>0.22250575723605889</v>
      </c>
    </row>
    <row r="932">
      <c r="A932" t="inlineStr">
        <is>
          <t>Nitrogen oxides</t>
        </is>
      </c>
      <c r="B932">
        <f>unallocated!B332/I932*J932</f>
        <v>3.083144343979981E-5</v>
      </c>
      <c r="D932" t="inlineStr">
        <is>
          <t>kilogram</t>
        </is>
      </c>
      <c r="E932" t="inlineStr">
        <is>
          <t>air::urban air close to ground</t>
        </is>
      </c>
      <c r="F932" t="inlineStr">
        <is>
          <t>biosphere</t>
        </is>
      </c>
      <c r="I932" t="n">
        <v>8510</v>
      </c>
      <c r="J932" s="11">
        <f>J915</f>
        <v>0.38755625357857665</v>
      </c>
      <c r="K932" t="n">
        <v>2</v>
      </c>
      <c r="L932" s="3">
        <f>LN(B932)</f>
        <v>-10.386975497836879</v>
      </c>
      <c r="M932" t="n">
        <v>1</v>
      </c>
      <c r="N932" t="n">
        <v>1</v>
      </c>
      <c r="O932" t="n">
        <v>1</v>
      </c>
      <c r="P932" t="n">
        <v>1.02</v>
      </c>
      <c r="Q932" t="n">
        <v>1.2</v>
      </c>
      <c r="R932" t="n">
        <v>1</v>
      </c>
      <c r="S932" t="n">
        <v>1.5</v>
      </c>
      <c r="T932">
        <f>LN(SQRT(EXP(
SQRT(
+POWER(LN(M932),2)
+POWER(LN(N932),2)
+POWER(LN(O932),2)
+POWER(LN(P932),2)
+POWER(LN(Q932),2)
+POWER(LN(R932),2)
+POWER(LN(S932),2)
)
)))</f>
        <v>0.22250575723605889</v>
      </c>
    </row>
    <row r="933">
      <c r="A933" t="inlineStr">
        <is>
          <t>Ammonia</t>
        </is>
      </c>
      <c r="B933">
        <f>unallocated!B333/I933*J933</f>
        <v>9.1082550782274186E-7</v>
      </c>
      <c r="D933" t="inlineStr">
        <is>
          <t>kilogram</t>
        </is>
      </c>
      <c r="E933" t="inlineStr">
        <is>
          <t>air::urban air close to ground</t>
        </is>
      </c>
      <c r="F933" t="inlineStr">
        <is>
          <t>biosphere</t>
        </is>
      </c>
      <c r="I933" t="n">
        <v>8510</v>
      </c>
      <c r="J933" s="11">
        <f>J915</f>
        <v>0.38755625357857665</v>
      </c>
      <c r="K933" t="n">
        <v>2</v>
      </c>
      <c r="L933" s="3">
        <f>LN(B933)</f>
        <v>-13.908914497195163</v>
      </c>
      <c r="M933" t="n">
        <v>1</v>
      </c>
      <c r="N933" t="n">
        <v>1</v>
      </c>
      <c r="O933" t="n">
        <v>1</v>
      </c>
      <c r="P933" t="n">
        <v>1.02</v>
      </c>
      <c r="Q933" t="n">
        <v>1.2</v>
      </c>
      <c r="R933" t="n">
        <v>1</v>
      </c>
      <c r="S933" t="n">
        <v>1.5</v>
      </c>
      <c r="T933">
        <f>LN(SQRT(EXP(
SQRT(
+POWER(LN(M933),2)
+POWER(LN(N933),2)
+POWER(LN(O933),2)
+POWER(LN(P933),2)
+POWER(LN(Q933),2)
+POWER(LN(R933),2)
+POWER(LN(S933),2)
)
)))</f>
        <v>0.22250575723605889</v>
      </c>
    </row>
    <row r="934">
      <c r="A934" t="inlineStr">
        <is>
          <t>Particulate Matter, &lt; 2.5 um</t>
        </is>
      </c>
      <c r="B934">
        <f>unallocated!B334/I934*J934</f>
        <v>2.7324765234682256E-7</v>
      </c>
      <c r="D934" t="inlineStr">
        <is>
          <t>kilogram</t>
        </is>
      </c>
      <c r="E934" t="inlineStr">
        <is>
          <t>air::urban air close to ground</t>
        </is>
      </c>
      <c r="F934" t="inlineStr">
        <is>
          <t>biosphere</t>
        </is>
      </c>
      <c r="I934" t="n">
        <v>8510</v>
      </c>
      <c r="J934" s="11">
        <f>J915</f>
        <v>0.38755625357857665</v>
      </c>
      <c r="K934" t="n">
        <v>2</v>
      </c>
      <c r="L934" s="3">
        <f>LN(B934)</f>
        <v>-15.112887301521098</v>
      </c>
      <c r="M934" t="n">
        <v>1</v>
      </c>
      <c r="N934" t="n">
        <v>1</v>
      </c>
      <c r="O934" t="n">
        <v>1</v>
      </c>
      <c r="P934" t="n">
        <v>1.02</v>
      </c>
      <c r="Q934" t="n">
        <v>1.2</v>
      </c>
      <c r="R934" t="n">
        <v>1</v>
      </c>
      <c r="S934" t="n">
        <v>3</v>
      </c>
      <c r="T934">
        <f>LN(SQRT(EXP(
SQRT(
+POWER(LN(M934),2)
+POWER(LN(N934),2)
+POWER(LN(O934),2)
+POWER(LN(P934),2)
+POWER(LN(Q934),2)
+POWER(LN(R934),2)
+POWER(LN(S934),2)
)
)))</f>
        <v>0.5569071410325479</v>
      </c>
    </row>
    <row r="935">
      <c r="A935" t="inlineStr">
        <is>
          <t>Mercury II</t>
        </is>
      </c>
      <c r="B935">
        <f>unallocated!B335/I935*J935</f>
        <v>2.7324765234682254E-10</v>
      </c>
      <c r="D935" t="inlineStr">
        <is>
          <t>kilogram</t>
        </is>
      </c>
      <c r="E935" t="inlineStr">
        <is>
          <t>air::urban air close to ground</t>
        </is>
      </c>
      <c r="F935" t="inlineStr">
        <is>
          <t>biosphere</t>
        </is>
      </c>
      <c r="I935" t="n">
        <v>8510</v>
      </c>
      <c r="J935" s="11">
        <f>J915</f>
        <v>0.38755625357857665</v>
      </c>
      <c r="K935" t="n">
        <v>2</v>
      </c>
      <c r="L935" s="3">
        <f>LN(B935)</f>
        <v>-22.020642580503235</v>
      </c>
      <c r="M935" t="n">
        <v>1</v>
      </c>
      <c r="N935" t="n">
        <v>1</v>
      </c>
      <c r="O935" t="n">
        <v>1</v>
      </c>
      <c r="P935" t="n">
        <v>1.02</v>
      </c>
      <c r="Q935" t="n">
        <v>1.2</v>
      </c>
      <c r="R935" t="n">
        <v>1</v>
      </c>
      <c r="S935" t="n">
        <v>5</v>
      </c>
      <c r="T935">
        <f>LN(SQRT(EXP(
SQRT(
+POWER(LN(M935),2)
+POWER(LN(N935),2)
+POWER(LN(O935),2)
+POWER(LN(P935),2)
+POWER(LN(Q935),2)
+POWER(LN(R935),2)
+POWER(LN(S935),2)
)
)))</f>
        <v>0.80992649174166365</v>
      </c>
    </row>
    <row r="936">
      <c r="A936" t="inlineStr">
        <is>
          <t>Lead II</t>
        </is>
      </c>
      <c r="B936">
        <f>unallocated!B336/I936*J936</f>
        <v>2.7324765234682254E-10</v>
      </c>
      <c r="D936" t="inlineStr">
        <is>
          <t>kilogram</t>
        </is>
      </c>
      <c r="E936" t="inlineStr">
        <is>
          <t>air::urban air close to ground</t>
        </is>
      </c>
      <c r="F936" t="inlineStr">
        <is>
          <t>biosphere</t>
        </is>
      </c>
      <c r="I936" t="n">
        <v>8510</v>
      </c>
      <c r="J936" s="11">
        <f>J915</f>
        <v>0.38755625357857665</v>
      </c>
      <c r="K936" t="n">
        <v>2</v>
      </c>
      <c r="L936" s="3">
        <f>LN(B936)</f>
        <v>-22.020642580503235</v>
      </c>
      <c r="M936" t="n">
        <v>1</v>
      </c>
      <c r="N936" t="n">
        <v>1</v>
      </c>
      <c r="O936" t="n">
        <v>1</v>
      </c>
      <c r="P936" t="n">
        <v>1.02</v>
      </c>
      <c r="Q936" t="n">
        <v>1.2</v>
      </c>
      <c r="R936" t="n">
        <v>1</v>
      </c>
      <c r="S936" t="n">
        <v>5</v>
      </c>
      <c r="T936">
        <f>LN(SQRT(EXP(
SQRT(
+POWER(LN(M936),2)
+POWER(LN(N936),2)
+POWER(LN(O936),2)
+POWER(LN(P936),2)
+POWER(LN(Q936),2)
+POWER(LN(R936),2)
+POWER(LN(S936),2)
)
)))</f>
        <v>0.80992649174166365</v>
      </c>
    </row>
    <row r="937">
      <c r="A937" t="inlineStr">
        <is>
          <t>Cadmium II</t>
        </is>
      </c>
      <c r="B937">
        <f>unallocated!B337/I937*J937</f>
        <v>1.3662382617341127E-10</v>
      </c>
      <c r="D937" t="inlineStr">
        <is>
          <t>kilogram</t>
        </is>
      </c>
      <c r="E937" t="inlineStr">
        <is>
          <t>air::urban air close to ground</t>
        </is>
      </c>
      <c r="F937" t="inlineStr">
        <is>
          <t>biosphere</t>
        </is>
      </c>
      <c r="I937" t="n">
        <v>8510</v>
      </c>
      <c r="J937" s="11">
        <f>J915</f>
        <v>0.38755625357857665</v>
      </c>
      <c r="K937" t="n">
        <v>2</v>
      </c>
      <c r="L937" s="3">
        <f>LN(B937)</f>
        <v>-22.713789761063182</v>
      </c>
      <c r="M937" t="n">
        <v>1</v>
      </c>
      <c r="N937" t="n">
        <v>1</v>
      </c>
      <c r="O937" t="n">
        <v>1</v>
      </c>
      <c r="P937" t="n">
        <v>1.02</v>
      </c>
      <c r="Q937" t="n">
        <v>1.2</v>
      </c>
      <c r="R937" t="n">
        <v>1</v>
      </c>
      <c r="S937" t="n">
        <v>5</v>
      </c>
      <c r="T937">
        <f>LN(SQRT(EXP(
SQRT(
+POWER(LN(M937),2)
+POWER(LN(N937),2)
+POWER(LN(O937),2)
+POWER(LN(P937),2)
+POWER(LN(Q937),2)
+POWER(LN(R937),2)
+POWER(LN(S937),2)
)
)))</f>
        <v>0.80992649174166365</v>
      </c>
    </row>
    <row r="938">
      <c r="A938" t="inlineStr">
        <is>
          <t>Arsenic ion</t>
        </is>
      </c>
      <c r="B938">
        <f>unallocated!B338/I938*J938</f>
        <v>1.3662382617341127E-10</v>
      </c>
      <c r="D938" t="inlineStr">
        <is>
          <t>kilogram</t>
        </is>
      </c>
      <c r="E938" t="inlineStr">
        <is>
          <t>air::urban air close to ground</t>
        </is>
      </c>
      <c r="F938" t="inlineStr">
        <is>
          <t>biosphere</t>
        </is>
      </c>
      <c r="I938" t="n">
        <v>8510</v>
      </c>
      <c r="J938" s="11">
        <f>J915</f>
        <v>0.38755625357857665</v>
      </c>
      <c r="K938" t="n">
        <v>2</v>
      </c>
      <c r="L938" s="3">
        <f>LN(B938)</f>
        <v>-22.713789761063182</v>
      </c>
      <c r="M938" t="n">
        <v>1</v>
      </c>
      <c r="N938" t="n">
        <v>1</v>
      </c>
      <c r="O938" t="n">
        <v>1</v>
      </c>
      <c r="P938" t="n">
        <v>1.02</v>
      </c>
      <c r="Q938" t="n">
        <v>1.2</v>
      </c>
      <c r="R938" t="n">
        <v>1</v>
      </c>
      <c r="S938" t="n">
        <v>5</v>
      </c>
      <c r="T938">
        <f>LN(SQRT(EXP(
SQRT(
+POWER(LN(M938),2)
+POWER(LN(N938),2)
+POWER(LN(O938),2)
+POWER(LN(P938),2)
+POWER(LN(Q938),2)
+POWER(LN(R938),2)
+POWER(LN(S938),2)
)
)))</f>
        <v>0.80992649174166365</v>
      </c>
    </row>
    <row r="939">
      <c r="A939" t="inlineStr">
        <is>
          <t>Dioxins, measured as 2,3,7,8-tetrachlorodibenzo-p-dioxin</t>
        </is>
      </c>
      <c r="B939">
        <f>unallocated!B339/I939*J939</f>
        <v>5.0095402930250809E-15</v>
      </c>
      <c r="D939" t="inlineStr">
        <is>
          <t>kilogram</t>
        </is>
      </c>
      <c r="E939" t="inlineStr">
        <is>
          <t>air::urban air close to ground</t>
        </is>
      </c>
      <c r="F939" t="inlineStr">
        <is>
          <t>biosphere</t>
        </is>
      </c>
      <c r="I939" t="n">
        <v>8510</v>
      </c>
      <c r="J939" s="11">
        <f>J915</f>
        <v>0.38755625357857665</v>
      </c>
      <c r="K939" t="n">
        <v>2</v>
      </c>
      <c r="L939" s="3">
        <f>LN(B939)</f>
        <v>-32.927432241903148</v>
      </c>
      <c r="M939" t="n">
        <v>1</v>
      </c>
      <c r="N939" t="n">
        <v>1</v>
      </c>
      <c r="O939" t="n">
        <v>1</v>
      </c>
      <c r="P939" t="n">
        <v>1.02</v>
      </c>
      <c r="Q939" t="n">
        <v>1.2</v>
      </c>
      <c r="R939" t="n">
        <v>1</v>
      </c>
      <c r="S939" t="n">
        <v>5</v>
      </c>
      <c r="T939">
        <f>LN(SQRT(EXP(
SQRT(
+POWER(LN(M939),2)
+POWER(LN(N939),2)
+POWER(LN(O939),2)
+POWER(LN(P939),2)
+POWER(LN(Q939),2)
+POWER(LN(R939),2)
+POWER(LN(S939),2)
)
)))</f>
        <v>0.80992649174166365</v>
      </c>
    </row>
    <row r="940">
      <c r="A940" t="inlineStr">
        <is>
          <t>Carbon dioxide, fossil</t>
        </is>
      </c>
      <c r="B940">
        <f>unallocated!B340/I940*J940</f>
        <v>2.5503114219036769E-3</v>
      </c>
      <c r="D940" t="inlineStr">
        <is>
          <t>kilogram</t>
        </is>
      </c>
      <c r="E940" t="inlineStr">
        <is>
          <t>air::urban air close to ground</t>
        </is>
      </c>
      <c r="F940" t="inlineStr">
        <is>
          <t>biosphere</t>
        </is>
      </c>
      <c r="I940" t="n">
        <v>8510</v>
      </c>
      <c r="J940" s="11">
        <f>J915</f>
        <v>0.38755625357857665</v>
      </c>
      <c r="K940" t="n">
        <v>2</v>
      </c>
      <c r="L940" s="3">
        <f>LN(B940)</f>
        <v>-5.9715398010318683</v>
      </c>
      <c r="M940" t="n">
        <v>1</v>
      </c>
      <c r="N940" t="n">
        <v>1</v>
      </c>
      <c r="O940" t="n">
        <v>1</v>
      </c>
      <c r="P940" t="n">
        <v>1.02</v>
      </c>
      <c r="Q940" t="n">
        <v>1.2</v>
      </c>
      <c r="R940" t="n">
        <v>1</v>
      </c>
      <c r="S940" t="n">
        <v>1.05</v>
      </c>
      <c r="T940">
        <f>LN(SQRT(EXP(
SQRT(
+POWER(LN(M940),2)
+POWER(LN(N940),2)
+POWER(LN(O940),2)
+POWER(LN(P940),2)
+POWER(LN(Q940),2)
+POWER(LN(R940),2)
+POWER(LN(S940),2)
)
)))</f>
        <v>9.4886477223156879E-2</v>
      </c>
    </row>
    <row r="941">
      <c r="A941" t="inlineStr">
        <is>
          <t>Carbon dioxide, non-fossil</t>
        </is>
      </c>
      <c r="B941">
        <f>unallocated!B341/I941*J941</f>
        <v>4.0531735098112013E-3</v>
      </c>
      <c r="D941" t="inlineStr">
        <is>
          <t>kilogram</t>
        </is>
      </c>
      <c r="E941" t="inlineStr">
        <is>
          <t>air::urban air close to ground</t>
        </is>
      </c>
      <c r="F941" t="inlineStr">
        <is>
          <t>biosphere</t>
        </is>
      </c>
      <c r="I941" t="n">
        <v>8510</v>
      </c>
      <c r="J941" s="14">
        <f>J915</f>
        <v>0.38755625357857665</v>
      </c>
      <c r="K941" t="n">
        <v>2</v>
      </c>
      <c r="L941" s="3">
        <f>LN(B941)</f>
        <v>-5.5082551220348774</v>
      </c>
      <c r="M941" t="n">
        <v>1</v>
      </c>
      <c r="N941" t="n">
        <v>1</v>
      </c>
      <c r="O941" t="n">
        <v>1</v>
      </c>
      <c r="P941" t="n">
        <v>1.02</v>
      </c>
      <c r="Q941" t="n">
        <v>1.2</v>
      </c>
      <c r="R941" t="n">
        <v>1</v>
      </c>
      <c r="S941" t="n">
        <v>1.05</v>
      </c>
      <c r="T941">
        <f>LN(SQRT(EXP(
SQRT(
+POWER(LN(M941),2)
+POWER(LN(N941),2)
+POWER(LN(O941),2)
+POWER(LN(P941),2)
+POWER(LN(Q941),2)
+POWER(LN(R941),2)
+POWER(LN(S941),2)
)
)))</f>
        <v>9.4886477223156879E-2</v>
      </c>
    </row>
    <row r="942">
      <c r="A942" t="inlineStr">
        <is>
          <t>Carbon dioxide, in air</t>
        </is>
      </c>
      <c r="B942">
        <f>unallocated!B342/I942*J942</f>
        <v>2.299834407252423E-2</v>
      </c>
      <c r="D942" t="inlineStr">
        <is>
          <t>kilogram</t>
        </is>
      </c>
      <c r="E942" t="inlineStr">
        <is>
          <t>natural resource::in air</t>
        </is>
      </c>
      <c r="F942" t="inlineStr">
        <is>
          <t>biosphere</t>
        </is>
      </c>
      <c r="H942" t="inlineStr">
        <is>
          <t>To reflect the permanent storage of non-fossil CO.</t>
        </is>
      </c>
      <c r="I942" t="n">
        <v>8510</v>
      </c>
      <c r="J942" s="14">
        <f>J915</f>
        <v>0.38755625357857665</v>
      </c>
      <c r="K942" t="n">
        <v>2</v>
      </c>
      <c r="L942" s="3">
        <f>LN(B942)</f>
        <v>-3.7723330624916573</v>
      </c>
      <c r="M942" t="n">
        <v>1</v>
      </c>
      <c r="N942" t="n">
        <v>1</v>
      </c>
      <c r="O942" t="n">
        <v>1</v>
      </c>
      <c r="P942" t="n">
        <v>1.02</v>
      </c>
      <c r="Q942" t="n">
        <v>1.2</v>
      </c>
      <c r="R942" t="n">
        <v>1</v>
      </c>
      <c r="S942" t="n">
        <v>1.05</v>
      </c>
      <c r="T942">
        <f>LN(SQRT(EXP(
SQRT(
+POWER(LN(M942),2)
+POWER(LN(N942),2)
+POWER(LN(O942),2)
+POWER(LN(P942),2)
+POWER(LN(Q942),2)
+POWER(LN(R942),2)
+POWER(LN(S942),2)
)
)))</f>
        <v>9.4886477223156879E-2</v>
      </c>
    </row>
  </sheetData>
  <autoFilter ref="A1:U942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42"/>
  <sheetViews>
    <sheetView topLeftCell="A784" workbookViewId="0">
      <selection activeCell="C815" sqref="C815"/>
    </sheetView>
  </sheetViews>
  <sheetFormatPr baseColWidth="10" defaultRowHeight="16"/>
  <cols>
    <col width="79.6640625" customWidth="1" min="1" max="1"/>
    <col width="12.1640625" bestFit="1" customWidth="1" min="2" max="2"/>
  </cols>
  <sheetData>
    <row r="1">
      <c r="A1" s="1" t="inlineStr">
        <is>
          <t>Activity</t>
        </is>
      </c>
      <c r="B1" s="1" t="inlineStr">
        <is>
          <t>municipal waste incineration, at incineration plant, with semi-dry air pollution control, without flue gas condensation, with electricity recovery only, economic allocation</t>
        </is>
      </c>
    </row>
    <row r="2">
      <c r="A2" t="inlineStr">
        <is>
          <t>location</t>
        </is>
      </c>
      <c r="B2" t="inlineStr">
        <is>
          <t>RER</t>
        </is>
      </c>
    </row>
    <row r="3">
      <c r="A3" t="inlineStr">
        <is>
          <t>production amount</t>
        </is>
      </c>
      <c r="B3" t="n">
        <v>1</v>
      </c>
    </row>
    <row r="4">
      <c r="A4" s="2" t="inlineStr">
        <is>
          <t>source</t>
        </is>
      </c>
      <c r="B4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5">
      <c r="A5" t="inlineStr">
        <is>
          <t>reference product</t>
        </is>
      </c>
      <c r="B5" t="inlineStr">
        <is>
          <t>municipal solid waste</t>
        </is>
      </c>
    </row>
    <row r="6">
      <c r="A6" t="inlineStr">
        <is>
          <t>type</t>
        </is>
      </c>
      <c r="B6" t="inlineStr">
        <is>
          <t>process</t>
        </is>
      </c>
    </row>
    <row r="7">
      <c r="A7" t="inlineStr">
        <is>
          <t>unit</t>
        </is>
      </c>
      <c r="B7" t="inlineStr">
        <is>
          <t>kilogram</t>
        </is>
      </c>
    </row>
    <row r="8">
      <c r="A8" t="inlineStr">
        <is>
          <t>comment</t>
        </is>
      </c>
      <c r="B8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No. Electricity production per ton MSWI incinerated: 739 kWh.</t>
        </is>
      </c>
    </row>
    <row r="9">
      <c r="A9" s="1" t="inlineStr">
        <is>
          <t>Exchanges</t>
        </is>
      </c>
    </row>
    <row r="10">
      <c r="A10" s="7" t="inlineStr">
        <is>
          <t>name</t>
        </is>
      </c>
      <c r="B10" s="7" t="inlineStr">
        <is>
          <t>amount</t>
        </is>
      </c>
      <c r="C10" s="7" t="inlineStr">
        <is>
          <t>location</t>
        </is>
      </c>
      <c r="D10" s="7" t="inlineStr">
        <is>
          <t>unit</t>
        </is>
      </c>
      <c r="E10" s="7" t="inlineStr">
        <is>
          <t>categories</t>
        </is>
      </c>
      <c r="F10" s="7" t="inlineStr">
        <is>
          <t>type</t>
        </is>
      </c>
      <c r="G10" s="7" t="inlineStr">
        <is>
          <t>reference product</t>
        </is>
      </c>
      <c r="H10" s="7" t="inlineStr">
        <is>
          <t>comment</t>
        </is>
      </c>
      <c r="I10" s="7" t="inlineStr">
        <is>
          <t>normalization</t>
        </is>
      </c>
      <c r="J10" s="7" t="inlineStr">
        <is>
          <t>allocation</t>
        </is>
      </c>
      <c r="K10" s="7" t="inlineStr">
        <is>
          <t>uncertainty type</t>
        </is>
      </c>
      <c r="L10" s="7" t="inlineStr">
        <is>
          <t>loc</t>
        </is>
      </c>
      <c r="M10" s="1" t="inlineStr">
        <is>
          <t>u1</t>
        </is>
      </c>
      <c r="N10" s="1" t="inlineStr">
        <is>
          <t>u2</t>
        </is>
      </c>
      <c r="O10" s="1" t="inlineStr">
        <is>
          <t>u3</t>
        </is>
      </c>
      <c r="P10" s="1" t="inlineStr">
        <is>
          <t>u4</t>
        </is>
      </c>
      <c r="Q10" s="1" t="inlineStr">
        <is>
          <t>u5</t>
        </is>
      </c>
      <c r="R10" s="1" t="inlineStr">
        <is>
          <t>u6</t>
        </is>
      </c>
      <c r="S10" s="1" t="inlineStr">
        <is>
          <t>ub</t>
        </is>
      </c>
      <c r="T10" s="1" t="inlineStr">
        <is>
          <t>scale</t>
        </is>
      </c>
      <c r="U10" s="1" t="inlineStr">
        <is>
          <t>negative</t>
        </is>
      </c>
    </row>
    <row r="11">
      <c r="A11" t="inlineStr">
        <is>
          <t>municipal waste incineration, at incineration plant, with semi-dry air pollution control, without flue gas condensation, with electricity recovery only, economic allocation</t>
        </is>
      </c>
      <c r="B11" t="n">
        <v>1</v>
      </c>
      <c r="C11" t="inlineStr">
        <is>
          <t>RER</t>
        </is>
      </c>
      <c r="D11" t="inlineStr">
        <is>
          <t>kilogram</t>
        </is>
      </c>
      <c r="F11" t="inlineStr">
        <is>
          <t>production</t>
        </is>
      </c>
      <c r="G11" t="inlineStr">
        <is>
          <t>municipal solid waste</t>
        </is>
      </c>
      <c r="H11" t="inlineStr"/>
      <c r="I11" t="n">
        <v>1000</v>
      </c>
      <c r="J11" s="14">
        <f>INDEX('allocation keys'!$L$4:$N$30,MATCH('allocated (economic)'!$B$1,'allocation keys'!$B$4:$B$28,0),MATCH('allocated (economic)'!$B$5,'allocation keys'!$L$3:$N$3,0))</f>
        <v>0.62657908034360787</v>
      </c>
      <c r="K11" t="n">
        <v>0</v>
      </c>
      <c r="M11" s="5" t="n"/>
      <c r="N11" s="5" t="n"/>
      <c r="O11" s="5" t="n"/>
      <c r="P11" s="5" t="n"/>
      <c r="Q11" s="5" t="n"/>
      <c r="R11" s="5" t="n"/>
    </row>
    <row r="12">
      <c r="A12" t="inlineStr">
        <is>
          <t>municipal waste incineration, at incineration plant, with semi-dry air pollution control, without flue gas condensation, with electricity recovery only, economic allocation</t>
        </is>
      </c>
      <c r="B12" t="n">
        <v>0</v>
      </c>
      <c r="C12" t="inlineStr">
        <is>
          <t>RER</t>
        </is>
      </c>
      <c r="D12" t="inlineStr">
        <is>
          <t>kilowatt hour</t>
        </is>
      </c>
      <c r="F12" t="inlineStr">
        <is>
          <t>technosphere</t>
        </is>
      </c>
      <c r="G12" t="inlineStr">
        <is>
          <t>electricity, medium voltage</t>
        </is>
      </c>
      <c r="H12" t="inlineStr"/>
      <c r="I12" t="n">
        <v>1000</v>
      </c>
      <c r="J12" s="11">
        <f>J11</f>
        <v>0.62657908034360787</v>
      </c>
      <c r="K12" t="n">
        <v>0</v>
      </c>
      <c r="L12" s="3" t="n"/>
    </row>
    <row r="13">
      <c r="A13" t="inlineStr">
        <is>
          <t>market for diesel, low-sulfur</t>
        </is>
      </c>
      <c r="B13">
        <f>unallocated!B16/'allocated (economic)'!I13*'allocated (economic)'!J13</f>
        <v>5.3259221829206675E-5</v>
      </c>
      <c r="C13" t="inlineStr">
        <is>
          <t>Europe without Switzerland</t>
        </is>
      </c>
      <c r="D13" t="inlineStr">
        <is>
          <t>kilogram</t>
        </is>
      </c>
      <c r="F13" t="inlineStr">
        <is>
          <t>technosphere</t>
        </is>
      </c>
      <c r="G13" t="inlineStr">
        <is>
          <t>diesel, low-sulfur</t>
        </is>
      </c>
      <c r="H13" t="inlineStr">
        <is>
          <t>Diesel density: 0.85 kg/l</t>
        </is>
      </c>
      <c r="I13" t="n">
        <v>1000</v>
      </c>
      <c r="J13" s="11">
        <f>J11</f>
        <v>0.62657908034360787</v>
      </c>
      <c r="K13" t="n">
        <v>0</v>
      </c>
      <c r="L13" s="3" t="n"/>
    </row>
    <row r="14">
      <c r="A14" t="inlineStr">
        <is>
          <t>market for activated carbon, granular</t>
        </is>
      </c>
      <c r="B14">
        <f>unallocated!B17/'allocated (economic)'!I14*'allocated (economic)'!J14</f>
        <v>2.5063163213744316E-4</v>
      </c>
      <c r="C14" t="inlineStr">
        <is>
          <t>GLO</t>
        </is>
      </c>
      <c r="D14" t="inlineStr">
        <is>
          <t>kilogram</t>
        </is>
      </c>
      <c r="F14" t="inlineStr">
        <is>
          <t>technosphere</t>
        </is>
      </c>
      <c r="G14" t="inlineStr">
        <is>
          <t>activated carbon, granular</t>
        </is>
      </c>
      <c r="I14" t="n">
        <v>1000</v>
      </c>
      <c r="J14" s="11">
        <f>J11</f>
        <v>0.62657908034360787</v>
      </c>
      <c r="K14" t="n">
        <v>0</v>
      </c>
      <c r="L14" s="3" t="n"/>
    </row>
    <row r="15">
      <c r="A15" t="inlineStr">
        <is>
          <t>market for ammonia, anhydrous, liquid</t>
        </is>
      </c>
      <c r="B15">
        <f>unallocated!B18/'allocated (economic)'!I15*'allocated (economic)'!J15</f>
        <v>6.1404749873673566E-4</v>
      </c>
      <c r="C15" t="inlineStr">
        <is>
          <t>RER</t>
        </is>
      </c>
      <c r="D15" t="inlineStr">
        <is>
          <t>kilogram</t>
        </is>
      </c>
      <c r="F15" t="inlineStr">
        <is>
          <t>technosphere</t>
        </is>
      </c>
      <c r="G15" t="inlineStr">
        <is>
          <t>ammonia, anhydrous, liquid</t>
        </is>
      </c>
      <c r="H15" t="inlineStr">
        <is>
          <t>100% liquid ammonia. In original publication, it is dilluated to 23.5% in water. We discount the original value by 75%.</t>
        </is>
      </c>
      <c r="I15" t="n">
        <v>1000</v>
      </c>
      <c r="J15" s="11">
        <f>J11</f>
        <v>0.62657908034360787</v>
      </c>
      <c r="K15" t="n">
        <v>0</v>
      </c>
      <c r="L15" s="3" t="n"/>
    </row>
    <row r="16">
      <c r="A16" t="inlineStr">
        <is>
          <t>market for tap water</t>
        </is>
      </c>
      <c r="B16">
        <f>unallocated!B19/'allocated (economic)'!I16*'allocated (economic)'!J16</f>
        <v>1.8922688226376959E-3</v>
      </c>
      <c r="C16" t="inlineStr">
        <is>
          <t>Europe without Switzerland</t>
        </is>
      </c>
      <c r="D16" t="inlineStr">
        <is>
          <t>kilogram</t>
        </is>
      </c>
      <c r="F16" t="inlineStr">
        <is>
          <t>technosphere</t>
        </is>
      </c>
      <c r="G16" t="inlineStr">
        <is>
          <t>tap water</t>
        </is>
      </c>
      <c r="H16" t="inlineStr">
        <is>
          <t>Used to dilute the ammonia.</t>
        </is>
      </c>
      <c r="I16" t="n">
        <v>1000</v>
      </c>
      <c r="J16" s="11">
        <f>J11</f>
        <v>0.62657908034360787</v>
      </c>
      <c r="K16" t="n">
        <v>0</v>
      </c>
      <c r="L16" s="3" t="n"/>
    </row>
    <row r="17">
      <c r="A17" t="inlineStr">
        <is>
          <t>market for calcium carbonate, precipitated</t>
        </is>
      </c>
      <c r="B17">
        <f>unallocated!B20/'allocated (economic)'!I17*'allocated (economic)'!J17</f>
        <v>0</v>
      </c>
      <c r="C17" t="inlineStr">
        <is>
          <t>RER</t>
        </is>
      </c>
      <c r="D17" t="inlineStr">
        <is>
          <t>kilogram</t>
        </is>
      </c>
      <c r="F17" t="inlineStr">
        <is>
          <t>technosphere</t>
        </is>
      </c>
      <c r="G17" t="inlineStr">
        <is>
          <t>calcium carbonate, precipitated</t>
        </is>
      </c>
      <c r="I17" t="n">
        <v>1000</v>
      </c>
      <c r="J17" s="11">
        <f>J11</f>
        <v>0.62657908034360787</v>
      </c>
      <c r="K17" t="n">
        <v>0</v>
      </c>
      <c r="L17" s="3" t="n"/>
    </row>
    <row r="18">
      <c r="A18" t="inlineStr">
        <is>
          <t>market for iron(III) chloride, without water, in 40% solution state</t>
        </is>
      </c>
      <c r="B18">
        <f>unallocated!B21/'allocated (economic)'!I18*'allocated (economic)'!J18</f>
        <v>0</v>
      </c>
      <c r="C18" t="inlineStr">
        <is>
          <t>GLO</t>
        </is>
      </c>
      <c r="D18" t="inlineStr">
        <is>
          <t>kilogram</t>
        </is>
      </c>
      <c r="F18" t="inlineStr">
        <is>
          <t>technosphere</t>
        </is>
      </c>
      <c r="G18" t="inlineStr">
        <is>
          <t>iron(III) chloride, without water, in 40% solution state</t>
        </is>
      </c>
      <c r="I18" t="n">
        <v>1000</v>
      </c>
      <c r="J18" s="11">
        <f>J11</f>
        <v>0.62657908034360787</v>
      </c>
      <c r="K18" t="n">
        <v>0</v>
      </c>
      <c r="L18" s="3" t="n"/>
    </row>
    <row r="19">
      <c r="A19" t="inlineStr">
        <is>
          <t>market for lime, hydrated, packed</t>
        </is>
      </c>
      <c r="B19">
        <f>unallocated!B22/'allocated (economic)'!I19*'allocated (economic)'!J19</f>
        <v>6.8923698837796863E-3</v>
      </c>
      <c r="C19" t="inlineStr">
        <is>
          <t>RER</t>
        </is>
      </c>
      <c r="D19" t="inlineStr">
        <is>
          <t>kilogram</t>
        </is>
      </c>
      <c r="F19" t="inlineStr">
        <is>
          <t>technosphere</t>
        </is>
      </c>
      <c r="G19" t="inlineStr">
        <is>
          <t>lime, hydrated, packed</t>
        </is>
      </c>
      <c r="I19" t="n">
        <v>1000</v>
      </c>
      <c r="J19" s="11">
        <f>J11</f>
        <v>0.62657908034360787</v>
      </c>
      <c r="K19" t="n">
        <v>0</v>
      </c>
      <c r="L19" s="3" t="n"/>
    </row>
    <row r="20">
      <c r="A20" t="inlineStr">
        <is>
          <t>market for sodium hydroxide, without water, in 50% solution state</t>
        </is>
      </c>
      <c r="B20">
        <f>unallocated!B23/'allocated (economic)'!I20*'allocated (economic)'!J20</f>
        <v>0</v>
      </c>
      <c r="C20" t="inlineStr">
        <is>
          <t>RER</t>
        </is>
      </c>
      <c r="D20" t="inlineStr">
        <is>
          <t>kilogram</t>
        </is>
      </c>
      <c r="F20" t="inlineStr">
        <is>
          <t>technosphere</t>
        </is>
      </c>
      <c r="G20" t="inlineStr">
        <is>
          <t>sodium hydroxide, without water, in 50% solution state</t>
        </is>
      </c>
      <c r="H20" t="inlineStr">
        <is>
          <t>50% liquid ammonia. In original publication, it is dilluated to 27% in water. We discount the original value by 50%.</t>
        </is>
      </c>
      <c r="I20" t="n">
        <v>1000</v>
      </c>
      <c r="J20" s="11">
        <f>J11</f>
        <v>0.62657908034360787</v>
      </c>
      <c r="K20" t="n">
        <v>0</v>
      </c>
      <c r="L20" s="3" t="n"/>
    </row>
    <row r="21">
      <c r="A21" t="inlineStr">
        <is>
          <t>market for monoethanolamine</t>
        </is>
      </c>
      <c r="B21">
        <f>unallocated!B24/'allocated (economic)'!I21*'allocated (economic)'!J21</f>
        <v>0</v>
      </c>
      <c r="C21" t="inlineStr">
        <is>
          <t>GLO</t>
        </is>
      </c>
      <c r="D21" t="inlineStr">
        <is>
          <t>kilogram</t>
        </is>
      </c>
      <c r="F21" t="inlineStr">
        <is>
          <t>technosphere</t>
        </is>
      </c>
      <c r="G21" t="inlineStr">
        <is>
          <t>monoethanolamine</t>
        </is>
      </c>
      <c r="I21" t="n">
        <v>1000</v>
      </c>
      <c r="J21" s="11">
        <f>J11</f>
        <v>0.62657908034360787</v>
      </c>
      <c r="K21" t="n">
        <v>0</v>
      </c>
      <c r="L21" s="3" t="n"/>
    </row>
    <row r="22">
      <c r="A22" t="inlineStr">
        <is>
          <t>municipal waste incineration facility construction</t>
        </is>
      </c>
      <c r="B22">
        <f>unallocated!B25/'allocated (economic)'!I22*'allocated (economic)'!J22</f>
        <v>1.5664477008590195E-10</v>
      </c>
      <c r="C22" t="inlineStr">
        <is>
          <t>CH</t>
        </is>
      </c>
      <c r="D22" t="inlineStr">
        <is>
          <t>unit</t>
        </is>
      </c>
      <c r="F22" t="inlineStr">
        <is>
          <t>technosphere</t>
        </is>
      </c>
      <c r="G22" t="inlineStr">
        <is>
          <t>municipal waste incineration facility</t>
        </is>
      </c>
      <c r="H22" t="inlineStr">
        <is>
          <t>Lifetime: 4'000'000 tons MSWI treated.</t>
        </is>
      </c>
      <c r="I22" t="n">
        <v>1000</v>
      </c>
      <c r="J22" s="11">
        <f>J11</f>
        <v>0.62657908034360787</v>
      </c>
      <c r="K22" t="n">
        <v>0</v>
      </c>
      <c r="L22" s="3" t="n"/>
    </row>
    <row r="23">
      <c r="A23" t="inlineStr">
        <is>
          <t>Water, cooling, unspecified natural origin</t>
        </is>
      </c>
      <c r="B23">
        <f>unallocated!B26/'allocated (economic)'!I23*'allocated (economic)'!J23</f>
        <v>9.3986862051541171E-5</v>
      </c>
      <c r="D23" t="inlineStr">
        <is>
          <t>cubic meter</t>
        </is>
      </c>
      <c r="E23" t="inlineStr">
        <is>
          <t>natural resource::in water</t>
        </is>
      </c>
      <c r="F23" t="inlineStr">
        <is>
          <t>biosphere</t>
        </is>
      </c>
      <c r="I23" t="n">
        <v>1000</v>
      </c>
      <c r="J23" s="11">
        <f>J11</f>
        <v>0.62657908034360787</v>
      </c>
      <c r="K23" t="n">
        <v>0</v>
      </c>
      <c r="L23" s="3" t="n"/>
    </row>
    <row r="24">
      <c r="A24" t="inlineStr">
        <is>
          <t>Sulfur dioxide</t>
        </is>
      </c>
      <c r="B24">
        <f>unallocated!B27/'allocated (economic)'!I24*'allocated (economic)'!J24</f>
        <v>7.080343607882769E-5</v>
      </c>
      <c r="D24" t="inlineStr">
        <is>
          <t>kilogram</t>
        </is>
      </c>
      <c r="E24" t="inlineStr">
        <is>
          <t>air::urban air close to ground</t>
        </is>
      </c>
      <c r="F24" t="inlineStr">
        <is>
          <t>biosphere</t>
        </is>
      </c>
      <c r="I24" t="n">
        <v>1000</v>
      </c>
      <c r="J24" s="11">
        <f>J11</f>
        <v>0.62657908034360787</v>
      </c>
      <c r="K24" t="n">
        <v>0</v>
      </c>
      <c r="L24" s="3" t="n"/>
    </row>
    <row r="25">
      <c r="A25" t="inlineStr">
        <is>
          <t>Hydrochloric acid</t>
        </is>
      </c>
      <c r="B25">
        <f>unallocated!B28/'allocated (economic)'!I25*'allocated (economic)'!J25</f>
        <v>1.7544214249621022E-5</v>
      </c>
      <c r="D25" t="inlineStr">
        <is>
          <t>kilogram</t>
        </is>
      </c>
      <c r="E25" t="inlineStr">
        <is>
          <t>air</t>
        </is>
      </c>
      <c r="F25" t="inlineStr">
        <is>
          <t>biosphere</t>
        </is>
      </c>
      <c r="I25" t="n">
        <v>1000</v>
      </c>
      <c r="J25" s="11">
        <f>J11</f>
        <v>0.62657908034360787</v>
      </c>
      <c r="K25" t="n">
        <v>0</v>
      </c>
      <c r="L25" s="3" t="n"/>
    </row>
    <row r="26">
      <c r="A26" t="inlineStr">
        <is>
          <t>Nitrogen oxides</t>
        </is>
      </c>
      <c r="B26">
        <f>unallocated!B29/'allocated (economic)'!I26*'allocated (economic)'!J26</f>
        <v>4.2419403739262261E-4</v>
      </c>
      <c r="D26" t="inlineStr">
        <is>
          <t>kilogram</t>
        </is>
      </c>
      <c r="E26" t="inlineStr">
        <is>
          <t>air::urban air close to ground</t>
        </is>
      </c>
      <c r="F26" t="inlineStr">
        <is>
          <t>biosphere</t>
        </is>
      </c>
      <c r="I26" t="n">
        <v>1000</v>
      </c>
      <c r="J26" s="11">
        <f>J11</f>
        <v>0.62657908034360787</v>
      </c>
      <c r="K26" t="n">
        <v>0</v>
      </c>
      <c r="L26" s="3" t="n"/>
    </row>
    <row r="27">
      <c r="A27" t="inlineStr">
        <is>
          <t>Ammonia</t>
        </is>
      </c>
      <c r="B27">
        <f>unallocated!B30/'allocated (economic)'!I27*'allocated (economic)'!J27</f>
        <v>2.8196058615462353E-5</v>
      </c>
      <c r="D27" t="inlineStr">
        <is>
          <t>kilogram</t>
        </is>
      </c>
      <c r="E27" t="inlineStr">
        <is>
          <t>air::urban air close to ground</t>
        </is>
      </c>
      <c r="F27" t="inlineStr">
        <is>
          <t>biosphere</t>
        </is>
      </c>
      <c r="I27" t="n">
        <v>1000</v>
      </c>
      <c r="J27" s="11">
        <f>J11</f>
        <v>0.62657908034360787</v>
      </c>
      <c r="K27" t="n">
        <v>0</v>
      </c>
      <c r="L27" s="3" t="n"/>
    </row>
    <row r="28">
      <c r="A28" t="inlineStr">
        <is>
          <t>Particulate Matter, &lt; 2.5 um</t>
        </is>
      </c>
      <c r="B28">
        <f>unallocated!B31/'allocated (economic)'!I28*'allocated (economic)'!J28</f>
        <v>3.7594744820616472E-6</v>
      </c>
      <c r="D28" t="inlineStr">
        <is>
          <t>kilogram</t>
        </is>
      </c>
      <c r="E28" t="inlineStr">
        <is>
          <t>air::urban air close to ground</t>
        </is>
      </c>
      <c r="F28" t="inlineStr">
        <is>
          <t>biosphere</t>
        </is>
      </c>
      <c r="I28" t="n">
        <v>1000</v>
      </c>
      <c r="J28" s="11">
        <f>J11</f>
        <v>0.62657908034360787</v>
      </c>
      <c r="K28" t="n">
        <v>0</v>
      </c>
      <c r="L28" s="3" t="n"/>
    </row>
    <row r="29">
      <c r="A29" t="inlineStr">
        <is>
          <t>Mercury II</t>
        </is>
      </c>
      <c r="B29">
        <f>unallocated!B32/'allocated (economic)'!I29*'allocated (economic)'!J29</f>
        <v>1.4411318847902982E-8</v>
      </c>
      <c r="D29" t="inlineStr">
        <is>
          <t>kilogram</t>
        </is>
      </c>
      <c r="E29" t="inlineStr">
        <is>
          <t>air::urban air close to ground</t>
        </is>
      </c>
      <c r="F29" t="inlineStr">
        <is>
          <t>biosphere</t>
        </is>
      </c>
      <c r="I29" t="n">
        <v>1000</v>
      </c>
      <c r="J29" s="11">
        <f>J11</f>
        <v>0.62657908034360787</v>
      </c>
      <c r="K29" t="n">
        <v>0</v>
      </c>
      <c r="L29" s="3" t="n"/>
    </row>
    <row r="30">
      <c r="A30" t="inlineStr">
        <is>
          <t>Lead II</t>
        </is>
      </c>
      <c r="B30">
        <f>unallocated!B33/'allocated (economic)'!I30*'allocated (economic)'!J30</f>
        <v>3.508842849924204E-8</v>
      </c>
      <c r="D30" t="inlineStr">
        <is>
          <t>kilogram</t>
        </is>
      </c>
      <c r="E30" t="inlineStr">
        <is>
          <t>air::urban air close to ground</t>
        </is>
      </c>
      <c r="F30" t="inlineStr">
        <is>
          <t>biosphere</t>
        </is>
      </c>
      <c r="I30" t="n">
        <v>1000</v>
      </c>
      <c r="J30" s="11">
        <f>J11</f>
        <v>0.62657908034360787</v>
      </c>
      <c r="K30" t="n">
        <v>0</v>
      </c>
      <c r="L30" s="3" t="n"/>
    </row>
    <row r="31">
      <c r="A31" t="inlineStr">
        <is>
          <t>Cadmium II</t>
        </is>
      </c>
      <c r="B31">
        <f>unallocated!B34/'allocated (economic)'!I31*'allocated (economic)'!J31</f>
        <v>1.754421424962102E-8</v>
      </c>
      <c r="D31" t="inlineStr">
        <is>
          <t>kilogram</t>
        </is>
      </c>
      <c r="E31" t="inlineStr">
        <is>
          <t>air::urban air close to ground</t>
        </is>
      </c>
      <c r="F31" t="inlineStr">
        <is>
          <t>biosphere</t>
        </is>
      </c>
      <c r="I31" t="n">
        <v>1000</v>
      </c>
      <c r="J31" s="11">
        <f>J11</f>
        <v>0.62657908034360787</v>
      </c>
      <c r="K31" t="n">
        <v>0</v>
      </c>
      <c r="L31" s="3" t="n"/>
    </row>
    <row r="32">
      <c r="A32" t="inlineStr">
        <is>
          <t>Arsenic ion</t>
        </is>
      </c>
      <c r="B32">
        <f>unallocated!B35/'allocated (economic)'!I32*'allocated (economic)'!J32</f>
        <v>3.7594744820616469E-9</v>
      </c>
      <c r="D32" t="inlineStr">
        <is>
          <t>kilogram</t>
        </is>
      </c>
      <c r="E32" t="inlineStr">
        <is>
          <t>air::urban air close to ground</t>
        </is>
      </c>
      <c r="F32" t="inlineStr">
        <is>
          <t>biosphere</t>
        </is>
      </c>
      <c r="I32" t="n">
        <v>1000</v>
      </c>
      <c r="J32" s="11">
        <f>J11</f>
        <v>0.62657908034360787</v>
      </c>
      <c r="K32" t="n">
        <v>0</v>
      </c>
      <c r="L32" s="3" t="n"/>
    </row>
    <row r="33">
      <c r="A33" t="inlineStr">
        <is>
          <t>Dioxins, measured as 2,3,7,8-tetrachlorodibenzo-p-dioxin</t>
        </is>
      </c>
      <c r="B33">
        <f>unallocated!B36/'allocated (economic)'!I33*'allocated (economic)'!J33</f>
        <v>6.8923698837796877E-14</v>
      </c>
      <c r="D33" t="inlineStr">
        <is>
          <t>kilogram</t>
        </is>
      </c>
      <c r="E33" t="inlineStr">
        <is>
          <t>air::urban air close to ground</t>
        </is>
      </c>
      <c r="F33" t="inlineStr">
        <is>
          <t>biosphere</t>
        </is>
      </c>
      <c r="I33" t="n">
        <v>1000</v>
      </c>
      <c r="J33" s="11">
        <f>J11</f>
        <v>0.62657908034360787</v>
      </c>
      <c r="K33" t="n">
        <v>0</v>
      </c>
      <c r="L33" s="3" t="n"/>
    </row>
    <row r="34">
      <c r="A34" t="inlineStr">
        <is>
          <t>Carbon dioxide, fossil</t>
        </is>
      </c>
      <c r="B34">
        <f>unallocated!B37/'allocated (economic)'!I34*'allocated (economic)'!J34</f>
        <v>0.23434057604850936</v>
      </c>
      <c r="D34" t="inlineStr">
        <is>
          <t>kilogram</t>
        </is>
      </c>
      <c r="E34" t="inlineStr">
        <is>
          <t>air::urban air close to ground</t>
        </is>
      </c>
      <c r="F34" t="inlineStr">
        <is>
          <t>biosphere</t>
        </is>
      </c>
      <c r="I34" t="n">
        <v>1000</v>
      </c>
      <c r="J34" s="11">
        <f>J11</f>
        <v>0.62657908034360787</v>
      </c>
      <c r="K34" t="n">
        <v>0</v>
      </c>
      <c r="L34" s="3" t="n"/>
    </row>
    <row r="35">
      <c r="A35" t="inlineStr">
        <is>
          <t>Carbon dioxide, non-fossil</t>
        </is>
      </c>
      <c r="B35">
        <f>unallocated!B38/'allocated (economic)'!I35*'allocated (economic)'!J35</f>
        <v>0.37218797372410306</v>
      </c>
      <c r="D35" t="inlineStr">
        <is>
          <t>kilogram</t>
        </is>
      </c>
      <c r="E35" t="inlineStr">
        <is>
          <t>air::urban air close to ground</t>
        </is>
      </c>
      <c r="F35" t="inlineStr">
        <is>
          <t>biosphere</t>
        </is>
      </c>
      <c r="I35" t="n">
        <v>1000</v>
      </c>
      <c r="J35" s="11">
        <f>J11</f>
        <v>0.62657908034360787</v>
      </c>
      <c r="K35" t="n">
        <v>0</v>
      </c>
      <c r="L35" s="3" t="n"/>
    </row>
    <row r="36"/>
    <row r="37">
      <c r="A37" s="1" t="inlineStr">
        <is>
          <t>Activity</t>
        </is>
      </c>
      <c r="B37" s="1" t="inlineStr">
        <is>
          <t>municipal waste incineration, at incineration plant, with semi-dry air pollution control, without flue gas condensation, with electricity recovery only, economic allocation</t>
        </is>
      </c>
    </row>
    <row r="38">
      <c r="A38" t="inlineStr">
        <is>
          <t>location</t>
        </is>
      </c>
      <c r="B38" t="inlineStr">
        <is>
          <t>RER</t>
        </is>
      </c>
    </row>
    <row r="39">
      <c r="A39" t="inlineStr">
        <is>
          <t>production amount</t>
        </is>
      </c>
      <c r="B39" t="n">
        <v>1</v>
      </c>
    </row>
    <row r="40">
      <c r="A40" s="2" t="inlineStr">
        <is>
          <t>source</t>
        </is>
      </c>
      <c r="B4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1">
      <c r="A41" t="inlineStr">
        <is>
          <t>reference product</t>
        </is>
      </c>
      <c r="B41" t="inlineStr">
        <is>
          <t>electricity, medium voltage</t>
        </is>
      </c>
    </row>
    <row r="42">
      <c r="A42" t="inlineStr">
        <is>
          <t>type</t>
        </is>
      </c>
      <c r="B42" t="inlineStr">
        <is>
          <t>process</t>
        </is>
      </c>
    </row>
    <row r="43">
      <c r="A43" t="inlineStr">
        <is>
          <t>unit</t>
        </is>
      </c>
      <c r="B43" t="inlineStr">
        <is>
          <t>kilowatt hour</t>
        </is>
      </c>
    </row>
    <row r="44">
      <c r="A44" t="inlineStr">
        <is>
          <t>comment</t>
        </is>
      </c>
      <c r="B4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No. Electricity production per ton MSWI incinerated: 739 kWh.</t>
        </is>
      </c>
    </row>
    <row r="45">
      <c r="A45" s="1" t="inlineStr">
        <is>
          <t>Exchanges</t>
        </is>
      </c>
    </row>
    <row r="46">
      <c r="A46" s="7" t="inlineStr">
        <is>
          <t>name</t>
        </is>
      </c>
      <c r="B46" s="7" t="inlineStr">
        <is>
          <t>amount</t>
        </is>
      </c>
      <c r="C46" s="7" t="inlineStr">
        <is>
          <t>location</t>
        </is>
      </c>
      <c r="D46" s="7" t="inlineStr">
        <is>
          <t>unit</t>
        </is>
      </c>
      <c r="E46" s="7" t="inlineStr">
        <is>
          <t>categories</t>
        </is>
      </c>
      <c r="F46" s="7" t="inlineStr">
        <is>
          <t>type</t>
        </is>
      </c>
      <c r="G46" s="7" t="inlineStr">
        <is>
          <t>reference product</t>
        </is>
      </c>
      <c r="H46" s="7" t="inlineStr">
        <is>
          <t>comment</t>
        </is>
      </c>
      <c r="I46" s="7" t="inlineStr">
        <is>
          <t>normalization</t>
        </is>
      </c>
      <c r="J46" s="7" t="inlineStr">
        <is>
          <t>allocation</t>
        </is>
      </c>
      <c r="K46" s="7" t="inlineStr">
        <is>
          <t>uncertainty type</t>
        </is>
      </c>
      <c r="L46" s="7" t="inlineStr">
        <is>
          <t>loc</t>
        </is>
      </c>
      <c r="M46" s="1" t="inlineStr">
        <is>
          <t>u1</t>
        </is>
      </c>
      <c r="N46" s="1" t="inlineStr">
        <is>
          <t>u2</t>
        </is>
      </c>
      <c r="O46" s="1" t="inlineStr">
        <is>
          <t>u3</t>
        </is>
      </c>
      <c r="P46" s="1" t="inlineStr">
        <is>
          <t>u4</t>
        </is>
      </c>
      <c r="Q46" s="1" t="inlineStr">
        <is>
          <t>u5</t>
        </is>
      </c>
      <c r="R46" s="1" t="inlineStr">
        <is>
          <t>u6</t>
        </is>
      </c>
      <c r="S46" s="1" t="inlineStr">
        <is>
          <t>ub</t>
        </is>
      </c>
      <c r="T46" s="1" t="inlineStr">
        <is>
          <t>scale</t>
        </is>
      </c>
      <c r="U46" s="1" t="inlineStr">
        <is>
          <t>negative</t>
        </is>
      </c>
    </row>
    <row r="47">
      <c r="A47" t="inlineStr">
        <is>
          <t>municipal waste incineration, at incineration plant, with semi-dry air pollution control, without flue gas condensation, with electricity recovery only, economic allocation</t>
        </is>
      </c>
      <c r="B47" t="n">
        <v>0</v>
      </c>
      <c r="C47" t="inlineStr">
        <is>
          <t>RER</t>
        </is>
      </c>
      <c r="D47" t="inlineStr">
        <is>
          <t>kilogram</t>
        </is>
      </c>
      <c r="F47" t="inlineStr">
        <is>
          <t>technosphere</t>
        </is>
      </c>
      <c r="G47" t="inlineStr">
        <is>
          <t>municipal solid waste</t>
        </is>
      </c>
      <c r="H47" t="inlineStr"/>
      <c r="I47" t="n">
        <v>739</v>
      </c>
      <c r="J47" s="14">
        <f>INDEX('allocation keys'!$L$4:$N$30,MATCH('allocated (economic)'!$B$37,'allocation keys'!$B$4:$B$28,0),MATCH('allocated (economic)'!$B$41,'allocation keys'!$L$3:$N$3,0))</f>
        <v>0.37342091965639213</v>
      </c>
      <c r="K47" t="n">
        <v>0</v>
      </c>
      <c r="M47" s="5" t="n"/>
      <c r="N47" s="5" t="n"/>
      <c r="O47" s="5" t="n"/>
      <c r="P47" s="5" t="n"/>
      <c r="Q47" s="5" t="n"/>
      <c r="R47" s="5" t="n"/>
    </row>
    <row r="48">
      <c r="A48" t="inlineStr">
        <is>
          <t>municipal waste incineration, at incineration plant, with semi-dry air pollution control, without flue gas condensation, with electricity recovery only, economic allocation</t>
        </is>
      </c>
      <c r="B48" t="n">
        <v>1</v>
      </c>
      <c r="C48" t="inlineStr">
        <is>
          <t>RER</t>
        </is>
      </c>
      <c r="D48" t="inlineStr">
        <is>
          <t>kilowatt hour</t>
        </is>
      </c>
      <c r="F48" t="inlineStr">
        <is>
          <t>production</t>
        </is>
      </c>
      <c r="G48" t="inlineStr">
        <is>
          <t>electricity, medium voltage</t>
        </is>
      </c>
      <c r="H48" t="inlineStr"/>
      <c r="I48" t="n">
        <v>739</v>
      </c>
      <c r="J48" s="11">
        <f>J47</f>
        <v>0.37342091965639213</v>
      </c>
      <c r="K48" t="n">
        <v>0</v>
      </c>
      <c r="L48" s="3" t="n"/>
    </row>
    <row r="49">
      <c r="A49" t="inlineStr">
        <is>
          <t>market for diesel, low-sulfur</t>
        </is>
      </c>
      <c r="B49">
        <f>unallocated!B16/'allocated (economic)'!I49*'allocated (economic)'!J49</f>
        <v>4.2950985346134418E-5</v>
      </c>
      <c r="C49" t="inlineStr">
        <is>
          <t>Europe without Switzerland</t>
        </is>
      </c>
      <c r="D49" t="inlineStr">
        <is>
          <t>kilogram</t>
        </is>
      </c>
      <c r="F49" t="inlineStr">
        <is>
          <t>technosphere</t>
        </is>
      </c>
      <c r="G49" t="inlineStr">
        <is>
          <t>diesel, low-sulfur</t>
        </is>
      </c>
      <c r="H49" t="inlineStr">
        <is>
          <t>Diesel density: 0.85 kg/l</t>
        </is>
      </c>
      <c r="I49" t="n">
        <v>739</v>
      </c>
      <c r="J49" s="11">
        <f>J47</f>
        <v>0.37342091965639213</v>
      </c>
      <c r="K49" t="n">
        <v>2</v>
      </c>
      <c r="L49" s="3">
        <f>LN(B49)</f>
        <v>-10.055450968094386</v>
      </c>
      <c r="M49" t="n">
        <v>1</v>
      </c>
      <c r="N49" t="n">
        <v>1</v>
      </c>
      <c r="O49" t="n">
        <v>1</v>
      </c>
      <c r="P49" t="n">
        <v>1.02</v>
      </c>
      <c r="Q49" t="n">
        <v>1.2</v>
      </c>
      <c r="R49" t="n">
        <v>1</v>
      </c>
      <c r="S49" t="n">
        <v>1.05</v>
      </c>
      <c r="T49">
        <f>LN(SQRT(EXP(
SQRT(
+POWER(LN(M49),2)
+POWER(LN(N49),2)
+POWER(LN(O49),2)
+POWER(LN(P49),2)
+POWER(LN(Q49),2)
+POWER(LN(R49),2)
+POWER(LN(S49),2)
)
)))</f>
        <v>9.4886477223156879E-2</v>
      </c>
    </row>
    <row r="50">
      <c r="A50" t="inlineStr">
        <is>
          <t>market for activated carbon, granular</t>
        </is>
      </c>
      <c r="B50">
        <f>unallocated!B17/'allocated (economic)'!I50*'allocated (economic)'!J50</f>
        <v>2.0212228398180902E-4</v>
      </c>
      <c r="C50" t="inlineStr">
        <is>
          <t>GLO</t>
        </is>
      </c>
      <c r="D50" t="inlineStr">
        <is>
          <t>kilogram</t>
        </is>
      </c>
      <c r="F50" t="inlineStr">
        <is>
          <t>technosphere</t>
        </is>
      </c>
      <c r="G50" t="inlineStr">
        <is>
          <t>activated carbon, granular</t>
        </is>
      </c>
      <c r="I50" t="n">
        <v>739</v>
      </c>
      <c r="J50" s="11">
        <f>J47</f>
        <v>0.37342091965639213</v>
      </c>
      <c r="K50" t="n">
        <v>2</v>
      </c>
      <c r="L50" s="3">
        <f>LN(B50)</f>
        <v>-8.5066376774767214</v>
      </c>
      <c r="M50" t="n">
        <v>1</v>
      </c>
      <c r="N50" t="n">
        <v>1</v>
      </c>
      <c r="O50" t="n">
        <v>1</v>
      </c>
      <c r="P50" t="n">
        <v>1.02</v>
      </c>
      <c r="Q50" t="n">
        <v>1.2</v>
      </c>
      <c r="R50" t="n">
        <v>1</v>
      </c>
      <c r="S50" t="n">
        <v>1.05</v>
      </c>
      <c r="T50">
        <f>LN(SQRT(EXP(
SQRT(
+POWER(LN(M50),2)
+POWER(LN(N50),2)
+POWER(LN(O50),2)
+POWER(LN(P50),2)
+POWER(LN(Q50),2)
+POWER(LN(R50),2)
+POWER(LN(S50),2)
)
)))</f>
        <v>9.4886477223156879E-2</v>
      </c>
    </row>
    <row r="51">
      <c r="A51" t="inlineStr">
        <is>
          <t>market for ammonia, anhydrous, liquid</t>
        </is>
      </c>
      <c r="B51">
        <f>unallocated!B18/'allocated (economic)'!I51*'allocated (economic)'!J51</f>
        <v>4.9519959575543195E-4</v>
      </c>
      <c r="C51" t="inlineStr">
        <is>
          <t>RER</t>
        </is>
      </c>
      <c r="D51" t="inlineStr">
        <is>
          <t>kilogram</t>
        </is>
      </c>
      <c r="F51" t="inlineStr">
        <is>
          <t>technosphere</t>
        </is>
      </c>
      <c r="G51" t="inlineStr">
        <is>
          <t>ammonia, anhydrous, liquid</t>
        </is>
      </c>
      <c r="H51" t="inlineStr">
        <is>
          <t>100% liquid ammonia. In original publication, it is dilluated to 23.5% in water. We discount the original value by 75%.</t>
        </is>
      </c>
      <c r="I51" t="n">
        <v>739</v>
      </c>
      <c r="J51" s="11">
        <f>J47</f>
        <v>0.37342091965639213</v>
      </c>
      <c r="K51" t="n">
        <v>2</v>
      </c>
      <c r="L51" s="3">
        <f>LN(B51)</f>
        <v>-7.6105496529200858</v>
      </c>
      <c r="M51" t="n">
        <v>1</v>
      </c>
      <c r="N51" t="n">
        <v>1</v>
      </c>
      <c r="O51" t="n">
        <v>1</v>
      </c>
      <c r="P51" t="n">
        <v>1.02</v>
      </c>
      <c r="Q51" t="n">
        <v>1.2</v>
      </c>
      <c r="R51" t="n">
        <v>1</v>
      </c>
      <c r="S51" t="n">
        <v>1.05</v>
      </c>
      <c r="T51">
        <f>LN(SQRT(EXP(
SQRT(
+POWER(LN(M51),2)
+POWER(LN(N51),2)
+POWER(LN(O51),2)
+POWER(LN(P51),2)
+POWER(LN(Q51),2)
+POWER(LN(R51),2)
+POWER(LN(S51),2)
)
)))</f>
        <v>9.4886477223156879E-2</v>
      </c>
    </row>
    <row r="52">
      <c r="A52" t="inlineStr">
        <is>
          <t>market for tap water</t>
        </is>
      </c>
      <c r="B52">
        <f>unallocated!B19/'allocated (economic)'!I52*'allocated (economic)'!J52</f>
        <v>1.5260232440626579E-3</v>
      </c>
      <c r="C52" t="inlineStr">
        <is>
          <t>Europe without Switzerland</t>
        </is>
      </c>
      <c r="D52" t="inlineStr">
        <is>
          <t>kilogram</t>
        </is>
      </c>
      <c r="F52" t="inlineStr">
        <is>
          <t>technosphere</t>
        </is>
      </c>
      <c r="G52" t="inlineStr">
        <is>
          <t>tap water</t>
        </is>
      </c>
      <c r="H52" t="inlineStr">
        <is>
          <t>Used to dilute the ammonia.</t>
        </is>
      </c>
      <c r="I52" t="n">
        <v>739</v>
      </c>
      <c r="J52" s="11">
        <f>J47</f>
        <v>0.37342091965639213</v>
      </c>
      <c r="K52" t="n">
        <v>2</v>
      </c>
      <c r="L52" s="3">
        <f>LN(B52)</f>
        <v>-6.4850901142157875</v>
      </c>
      <c r="M52" t="n">
        <v>1</v>
      </c>
      <c r="N52" t="n">
        <v>1</v>
      </c>
      <c r="O52" t="n">
        <v>1</v>
      </c>
      <c r="P52" t="n">
        <v>1.02</v>
      </c>
      <c r="Q52" t="n">
        <v>1.2</v>
      </c>
      <c r="R52" t="n">
        <v>1</v>
      </c>
      <c r="S52" t="n">
        <v>1.05</v>
      </c>
      <c r="T52">
        <f>LN(SQRT(EXP(
SQRT(
+POWER(LN(M52),2)
+POWER(LN(N52),2)
+POWER(LN(O52),2)
+POWER(LN(P52),2)
+POWER(LN(Q52),2)
+POWER(LN(R52),2)
+POWER(LN(S52),2)
)
)))</f>
        <v>9.4886477223156879E-2</v>
      </c>
    </row>
    <row r="53">
      <c r="A53" t="inlineStr">
        <is>
          <t>market for calcium carbonate, precipitated</t>
        </is>
      </c>
      <c r="B53">
        <f>unallocated!B20/'allocated (economic)'!I53*'allocated (economic)'!J53</f>
        <v>0</v>
      </c>
      <c r="C53" t="inlineStr">
        <is>
          <t>RER</t>
        </is>
      </c>
      <c r="D53" t="inlineStr">
        <is>
          <t>kilogram</t>
        </is>
      </c>
      <c r="F53" t="inlineStr">
        <is>
          <t>technosphere</t>
        </is>
      </c>
      <c r="G53" t="inlineStr">
        <is>
          <t>calcium carbonate, precipitated</t>
        </is>
      </c>
      <c r="I53" t="n">
        <v>739</v>
      </c>
      <c r="J53" s="11">
        <f>J47</f>
        <v>0.37342091965639213</v>
      </c>
      <c r="K53" t="n">
        <v>0</v>
      </c>
      <c r="L53" s="3" t="n"/>
    </row>
    <row r="54">
      <c r="A54" t="inlineStr">
        <is>
          <t>market for iron(III) chloride, without water, in 40% solution state</t>
        </is>
      </c>
      <c r="B54">
        <f>unallocated!B21/'allocated (economic)'!I54*'allocated (economic)'!J54</f>
        <v>0</v>
      </c>
      <c r="C54" t="inlineStr">
        <is>
          <t>GLO</t>
        </is>
      </c>
      <c r="D54" t="inlineStr">
        <is>
          <t>kilogram</t>
        </is>
      </c>
      <c r="F54" t="inlineStr">
        <is>
          <t>technosphere</t>
        </is>
      </c>
      <c r="G54" t="inlineStr">
        <is>
          <t>iron(III) chloride, without water, in 40% solution state</t>
        </is>
      </c>
      <c r="I54" t="n">
        <v>739</v>
      </c>
      <c r="J54" s="11">
        <f>J47</f>
        <v>0.37342091965639213</v>
      </c>
      <c r="K54" t="n">
        <v>0</v>
      </c>
      <c r="L54" s="3" t="n"/>
    </row>
    <row r="55">
      <c r="A55" t="inlineStr">
        <is>
          <t>market for lime, hydrated, packed</t>
        </is>
      </c>
      <c r="B55">
        <f>unallocated!B22/'allocated (economic)'!I55*'allocated (economic)'!J55</f>
        <v>5.5583628094997475E-3</v>
      </c>
      <c r="C55" t="inlineStr">
        <is>
          <t>RER</t>
        </is>
      </c>
      <c r="D55" t="inlineStr">
        <is>
          <t>kilogram</t>
        </is>
      </c>
      <c r="F55" t="inlineStr">
        <is>
          <t>technosphere</t>
        </is>
      </c>
      <c r="G55" t="inlineStr">
        <is>
          <t>lime, hydrated, packed</t>
        </is>
      </c>
      <c r="I55" t="n">
        <v>739</v>
      </c>
      <c r="J55" s="11">
        <f>J47</f>
        <v>0.37342091965639213</v>
      </c>
      <c r="K55" t="n">
        <v>2</v>
      </c>
      <c r="L55" s="3">
        <f>LN(B55)</f>
        <v>-5.1924516728041947</v>
      </c>
      <c r="M55" t="n">
        <v>1</v>
      </c>
      <c r="N55" t="n">
        <v>1</v>
      </c>
      <c r="O55" t="n">
        <v>1</v>
      </c>
      <c r="P55" t="n">
        <v>1.02</v>
      </c>
      <c r="Q55" t="n">
        <v>1.2</v>
      </c>
      <c r="R55" t="n">
        <v>1</v>
      </c>
      <c r="S55" t="n">
        <v>1.05</v>
      </c>
      <c r="T55">
        <f>LN(SQRT(EXP(
SQRT(
+POWER(LN(M55),2)
+POWER(LN(N55),2)
+POWER(LN(O55),2)
+POWER(LN(P55),2)
+POWER(LN(Q55),2)
+POWER(LN(R55),2)
+POWER(LN(S55),2)
)
)))</f>
        <v>9.4886477223156879E-2</v>
      </c>
    </row>
    <row r="56">
      <c r="A56" t="inlineStr">
        <is>
          <t>market for sodium hydroxide, without water, in 50% solution state</t>
        </is>
      </c>
      <c r="B56">
        <f>unallocated!B23/'allocated (economic)'!I56*'allocated (economic)'!J56</f>
        <v>0</v>
      </c>
      <c r="C56" t="inlineStr">
        <is>
          <t>RER</t>
        </is>
      </c>
      <c r="D56" t="inlineStr">
        <is>
          <t>kilogram</t>
        </is>
      </c>
      <c r="F56" t="inlineStr">
        <is>
          <t>technosphere</t>
        </is>
      </c>
      <c r="G56" t="inlineStr">
        <is>
          <t>sodium hydroxide, without water, in 50% solution state</t>
        </is>
      </c>
      <c r="H56" t="inlineStr">
        <is>
          <t>50% liquid ammonia. In original publication, it is dilluated to 27% in water. We discount the original value by 50%.</t>
        </is>
      </c>
      <c r="I56" t="n">
        <v>739</v>
      </c>
      <c r="J56" s="11">
        <f>J47</f>
        <v>0.37342091965639213</v>
      </c>
      <c r="K56" t="n">
        <v>0</v>
      </c>
      <c r="L56" s="3" t="n"/>
    </row>
    <row r="57">
      <c r="A57" t="inlineStr">
        <is>
          <t>market for monoethanolamine</t>
        </is>
      </c>
      <c r="B57">
        <f>unallocated!B24/'allocated (economic)'!I57*'allocated (economic)'!J57</f>
        <v>0</v>
      </c>
      <c r="C57" t="inlineStr">
        <is>
          <t>GLO</t>
        </is>
      </c>
      <c r="D57" t="inlineStr">
        <is>
          <t>kilogram</t>
        </is>
      </c>
      <c r="F57" t="inlineStr">
        <is>
          <t>technosphere</t>
        </is>
      </c>
      <c r="G57" t="inlineStr">
        <is>
          <t>monoethanolamine</t>
        </is>
      </c>
      <c r="I57" t="n">
        <v>739</v>
      </c>
      <c r="J57" s="11">
        <f>J47</f>
        <v>0.37342091965639213</v>
      </c>
      <c r="K57" t="n">
        <v>0</v>
      </c>
      <c r="L57" s="3" t="n"/>
    </row>
    <row r="58">
      <c r="A58" t="inlineStr">
        <is>
          <t>municipal waste incineration facility construction</t>
        </is>
      </c>
      <c r="B58">
        <f>unallocated!B25/'allocated (economic)'!I58*'allocated (economic)'!J58</f>
        <v>1.2632642748863064E-10</v>
      </c>
      <c r="C58" t="inlineStr">
        <is>
          <t>CH</t>
        </is>
      </c>
      <c r="D58" t="inlineStr">
        <is>
          <t>unit</t>
        </is>
      </c>
      <c r="F58" t="inlineStr">
        <is>
          <t>technosphere</t>
        </is>
      </c>
      <c r="G58" t="inlineStr">
        <is>
          <t>municipal waste incineration facility</t>
        </is>
      </c>
      <c r="H58" t="inlineStr">
        <is>
          <t>Lifetime: 4'000'000 tons MSWI treated.</t>
        </is>
      </c>
      <c r="I58" t="n">
        <v>739</v>
      </c>
      <c r="J58" s="11">
        <f>J47</f>
        <v>0.37342091965639213</v>
      </c>
      <c r="K58" t="n">
        <v>2</v>
      </c>
      <c r="L58" s="3">
        <f>LN(B58)</f>
        <v>-22.79215186468673</v>
      </c>
      <c r="M58" t="n">
        <v>1</v>
      </c>
      <c r="N58" t="n">
        <v>1</v>
      </c>
      <c r="O58" t="n">
        <v>1</v>
      </c>
      <c r="P58" t="n">
        <v>1.02</v>
      </c>
      <c r="Q58" t="n">
        <v>1.2</v>
      </c>
      <c r="R58" t="n">
        <v>1</v>
      </c>
      <c r="S58" t="n">
        <v>3</v>
      </c>
      <c r="T58">
        <f>LN(SQRT(EXP(
SQRT(
+POWER(LN(M58),2)
+POWER(LN(N58),2)
+POWER(LN(O58),2)
+POWER(LN(P58),2)
+POWER(LN(Q58),2)
+POWER(LN(R58),2)
+POWER(LN(S58),2)
)
)))</f>
        <v>0.5569071410325479</v>
      </c>
    </row>
    <row r="59">
      <c r="A59" t="inlineStr">
        <is>
          <t>Water, cooling, unspecified natural origin</t>
        </is>
      </c>
      <c r="B59">
        <f>unallocated!B26/'allocated (economic)'!I59*'allocated (economic)'!J59</f>
        <v>7.5795856493178371E-5</v>
      </c>
      <c r="D59" t="inlineStr">
        <is>
          <t>cubic meter</t>
        </is>
      </c>
      <c r="E59" t="inlineStr">
        <is>
          <t>natural resource::in water</t>
        </is>
      </c>
      <c r="F59" t="inlineStr">
        <is>
          <t>biosphere</t>
        </is>
      </c>
      <c r="I59" t="n">
        <v>739</v>
      </c>
      <c r="J59" s="11">
        <f>J47</f>
        <v>0.37342091965639213</v>
      </c>
      <c r="K59" t="n">
        <v>2</v>
      </c>
      <c r="L59" s="3">
        <f>LN(B59)</f>
        <v>-9.4874669304884467</v>
      </c>
      <c r="M59" t="n">
        <v>1</v>
      </c>
      <c r="N59" t="n">
        <v>1</v>
      </c>
      <c r="O59" t="n">
        <v>1</v>
      </c>
      <c r="P59" t="n">
        <v>1.02</v>
      </c>
      <c r="Q59" t="n">
        <v>1.2</v>
      </c>
      <c r="R59" t="n">
        <v>1</v>
      </c>
      <c r="S59" t="n">
        <v>1.05</v>
      </c>
      <c r="T59">
        <f>LN(SQRT(EXP(
SQRT(
+POWER(LN(M59),2)
+POWER(LN(N59),2)
+POWER(LN(O59),2)
+POWER(LN(P59),2)
+POWER(LN(Q59),2)
+POWER(LN(R59),2)
+POWER(LN(S59),2)
)
)))</f>
        <v>9.4886477223156879E-2</v>
      </c>
    </row>
    <row r="60">
      <c r="A60" t="inlineStr">
        <is>
          <t>Sulfur dioxide</t>
        </is>
      </c>
      <c r="B60">
        <f>unallocated!B27/'allocated (economic)'!I60*'allocated (economic)'!J60</f>
        <v>5.7099545224861045E-5</v>
      </c>
      <c r="D60" t="inlineStr">
        <is>
          <t>kilogram</t>
        </is>
      </c>
      <c r="E60" t="inlineStr">
        <is>
          <t>air::urban air close to ground</t>
        </is>
      </c>
      <c r="F60" t="inlineStr">
        <is>
          <t>biosphere</t>
        </is>
      </c>
      <c r="I60" t="n">
        <v>739</v>
      </c>
      <c r="J60" s="11">
        <f>J47</f>
        <v>0.37342091965639213</v>
      </c>
      <c r="K60" t="n">
        <v>2</v>
      </c>
      <c r="L60" s="3">
        <f>LN(B60)</f>
        <v>-9.7707144058723614</v>
      </c>
      <c r="M60" t="n">
        <v>1</v>
      </c>
      <c r="N60" t="n">
        <v>1</v>
      </c>
      <c r="O60" t="n">
        <v>1</v>
      </c>
      <c r="P60" t="n">
        <v>1.02</v>
      </c>
      <c r="Q60" t="n">
        <v>1.2</v>
      </c>
      <c r="R60" t="n">
        <v>1</v>
      </c>
      <c r="S60" t="n">
        <v>1.05</v>
      </c>
      <c r="T60">
        <f>LN(SQRT(EXP(
SQRT(
+POWER(LN(M60),2)
+POWER(LN(N60),2)
+POWER(LN(O60),2)
+POWER(LN(P60),2)
+POWER(LN(Q60),2)
+POWER(LN(R60),2)
+POWER(LN(S60),2)
)
)))</f>
        <v>9.4886477223156879E-2</v>
      </c>
    </row>
    <row r="61">
      <c r="A61" t="inlineStr">
        <is>
          <t>Hydrochloric acid</t>
        </is>
      </c>
      <c r="B61">
        <f>unallocated!B28/'allocated (economic)'!I61*'allocated (economic)'!J61</f>
        <v>1.4148559878726631E-5</v>
      </c>
      <c r="D61" t="inlineStr">
        <is>
          <t>kilogram</t>
        </is>
      </c>
      <c r="E61" t="inlineStr">
        <is>
          <t>air</t>
        </is>
      </c>
      <c r="F61" t="inlineStr">
        <is>
          <t>biosphere</t>
        </is>
      </c>
      <c r="I61" t="n">
        <v>739</v>
      </c>
      <c r="J61" s="11">
        <f>J47</f>
        <v>0.37342091965639213</v>
      </c>
      <c r="K61" t="n">
        <v>2</v>
      </c>
      <c r="L61" s="3">
        <f>LN(B61)</f>
        <v>-11.165897714409498</v>
      </c>
      <c r="M61" t="n">
        <v>1</v>
      </c>
      <c r="N61" t="n">
        <v>1</v>
      </c>
      <c r="O61" t="n">
        <v>1</v>
      </c>
      <c r="P61" t="n">
        <v>1.02</v>
      </c>
      <c r="Q61" t="n">
        <v>1.2</v>
      </c>
      <c r="R61" t="n">
        <v>1</v>
      </c>
      <c r="S61" t="n">
        <v>1.5</v>
      </c>
      <c r="T61">
        <f>LN(SQRT(EXP(
SQRT(
+POWER(LN(M61),2)
+POWER(LN(N61),2)
+POWER(LN(O61),2)
+POWER(LN(P61),2)
+POWER(LN(Q61),2)
+POWER(LN(R61),2)
+POWER(LN(S61),2)
)
)))</f>
        <v>0.22250575723605889</v>
      </c>
    </row>
    <row r="62">
      <c r="A62" t="inlineStr">
        <is>
          <t>Nitrogen oxides</t>
        </is>
      </c>
      <c r="B62">
        <f>unallocated!B29/'allocated (economic)'!I62*'allocated (economic)'!J62</f>
        <v>3.4209196563921175E-4</v>
      </c>
      <c r="D62" t="inlineStr">
        <is>
          <t>kilogram</t>
        </is>
      </c>
      <c r="E62" t="inlineStr">
        <is>
          <t>air::urban air close to ground</t>
        </is>
      </c>
      <c r="F62" t="inlineStr">
        <is>
          <t>biosphere</t>
        </is>
      </c>
      <c r="I62" t="n">
        <v>739</v>
      </c>
      <c r="J62" s="11">
        <f>J47</f>
        <v>0.37342091965639213</v>
      </c>
      <c r="K62" t="n">
        <v>2</v>
      </c>
      <c r="L62" s="3">
        <f>LN(B62)</f>
        <v>-7.9804309516724281</v>
      </c>
      <c r="M62" t="n">
        <v>1</v>
      </c>
      <c r="N62" t="n">
        <v>1</v>
      </c>
      <c r="O62" t="n">
        <v>1</v>
      </c>
      <c r="P62" t="n">
        <v>1.02</v>
      </c>
      <c r="Q62" t="n">
        <v>1.2</v>
      </c>
      <c r="R62" t="n">
        <v>1</v>
      </c>
      <c r="S62" t="n">
        <v>1.5</v>
      </c>
      <c r="T62">
        <f>LN(SQRT(EXP(
SQRT(
+POWER(LN(M62),2)
+POWER(LN(N62),2)
+POWER(LN(O62),2)
+POWER(LN(P62),2)
+POWER(LN(Q62),2)
+POWER(LN(R62),2)
+POWER(LN(S62),2)
)
)))</f>
        <v>0.22250575723605889</v>
      </c>
    </row>
    <row r="63">
      <c r="A63" t="inlineStr">
        <is>
          <t>Ammonia</t>
        </is>
      </c>
      <c r="B63">
        <f>unallocated!B30/'allocated (economic)'!I63*'allocated (economic)'!J63</f>
        <v>2.2738756947953511E-5</v>
      </c>
      <c r="D63" t="inlineStr">
        <is>
          <t>kilogram</t>
        </is>
      </c>
      <c r="E63" t="inlineStr">
        <is>
          <t>air::urban air close to ground</t>
        </is>
      </c>
      <c r="F63" t="inlineStr">
        <is>
          <t>biosphere</t>
        </is>
      </c>
      <c r="I63" t="n">
        <v>739</v>
      </c>
      <c r="J63" s="11">
        <f>J47</f>
        <v>0.37342091965639213</v>
      </c>
      <c r="K63" t="n">
        <v>2</v>
      </c>
      <c r="L63" s="3">
        <f>LN(B63)</f>
        <v>-10.691439734814383</v>
      </c>
      <c r="M63" t="n">
        <v>1</v>
      </c>
      <c r="N63" t="n">
        <v>1</v>
      </c>
      <c r="O63" t="n">
        <v>1</v>
      </c>
      <c r="P63" t="n">
        <v>1.02</v>
      </c>
      <c r="Q63" t="n">
        <v>1.2</v>
      </c>
      <c r="R63" t="n">
        <v>1</v>
      </c>
      <c r="S63" t="n">
        <v>1.5</v>
      </c>
      <c r="T63">
        <f>LN(SQRT(EXP(
SQRT(
+POWER(LN(M63),2)
+POWER(LN(N63),2)
+POWER(LN(O63),2)
+POWER(LN(P63),2)
+POWER(LN(Q63),2)
+POWER(LN(R63),2)
+POWER(LN(S63),2)
)
)))</f>
        <v>0.22250575723605889</v>
      </c>
    </row>
    <row r="64">
      <c r="A64" t="inlineStr">
        <is>
          <t>Particulate Matter, &lt; 2.5 um</t>
        </is>
      </c>
      <c r="B64">
        <f>unallocated!B31/'allocated (economic)'!I64*'allocated (economic)'!J64</f>
        <v>3.0318342597271352E-6</v>
      </c>
      <c r="D64" t="inlineStr">
        <is>
          <t>kilogram</t>
        </is>
      </c>
      <c r="E64" t="inlineStr">
        <is>
          <t>air::urban air close to ground</t>
        </is>
      </c>
      <c r="F64" t="inlineStr">
        <is>
          <t>biosphere</t>
        </is>
      </c>
      <c r="I64" t="n">
        <v>739</v>
      </c>
      <c r="J64" s="11">
        <f>J47</f>
        <v>0.37342091965639213</v>
      </c>
      <c r="K64" t="n">
        <v>2</v>
      </c>
      <c r="L64" s="3">
        <f>LN(B64)</f>
        <v>-12.706342755356648</v>
      </c>
      <c r="M64" t="n">
        <v>1</v>
      </c>
      <c r="N64" t="n">
        <v>1</v>
      </c>
      <c r="O64" t="n">
        <v>1</v>
      </c>
      <c r="P64" t="n">
        <v>1.02</v>
      </c>
      <c r="Q64" t="n">
        <v>1.2</v>
      </c>
      <c r="R64" t="n">
        <v>1</v>
      </c>
      <c r="S64" t="n">
        <v>3</v>
      </c>
      <c r="T64">
        <f>LN(SQRT(EXP(
SQRT(
+POWER(LN(M64),2)
+POWER(LN(N64),2)
+POWER(LN(O64),2)
+POWER(LN(P64),2)
+POWER(LN(Q64),2)
+POWER(LN(R64),2)
+POWER(LN(S64),2)
)
)))</f>
        <v>0.5569071410325479</v>
      </c>
    </row>
    <row r="65">
      <c r="A65" t="inlineStr">
        <is>
          <t>Mercury II</t>
        </is>
      </c>
      <c r="B65">
        <f>unallocated!B32/'allocated (economic)'!I65*'allocated (economic)'!J65</f>
        <v>1.1622031328954016E-8</v>
      </c>
      <c r="D65" t="inlineStr">
        <is>
          <t>kilogram</t>
        </is>
      </c>
      <c r="E65" t="inlineStr">
        <is>
          <t>air::urban air close to ground</t>
        </is>
      </c>
      <c r="F65" t="inlineStr">
        <is>
          <t>biosphere</t>
        </is>
      </c>
      <c r="I65" t="n">
        <v>739</v>
      </c>
      <c r="J65" s="11">
        <f>J47</f>
        <v>0.37342091965639213</v>
      </c>
      <c r="K65" t="n">
        <v>2</v>
      </c>
      <c r="L65" s="3">
        <f>LN(B65)</f>
        <v>-18.270363287637689</v>
      </c>
      <c r="M65" t="n">
        <v>1</v>
      </c>
      <c r="N65" t="n">
        <v>1</v>
      </c>
      <c r="O65" t="n">
        <v>1</v>
      </c>
      <c r="P65" t="n">
        <v>1.02</v>
      </c>
      <c r="Q65" t="n">
        <v>1.2</v>
      </c>
      <c r="R65" t="n">
        <v>1</v>
      </c>
      <c r="S65" t="n">
        <v>5</v>
      </c>
      <c r="T65">
        <f>LN(SQRT(EXP(
SQRT(
+POWER(LN(M65),2)
+POWER(LN(N65),2)
+POWER(LN(O65),2)
+POWER(LN(P65),2)
+POWER(LN(Q65),2)
+POWER(LN(R65),2)
+POWER(LN(S65),2)
)
)))</f>
        <v>0.80992649174166365</v>
      </c>
    </row>
    <row r="66">
      <c r="A66" t="inlineStr">
        <is>
          <t>Lead II</t>
        </is>
      </c>
      <c r="B66">
        <f>unallocated!B33/'allocated (economic)'!I66*'allocated (economic)'!J66</f>
        <v>2.8297119757453261E-8</v>
      </c>
      <c r="D66" t="inlineStr">
        <is>
          <t>kilogram</t>
        </is>
      </c>
      <c r="E66" t="inlineStr">
        <is>
          <t>air::urban air close to ground</t>
        </is>
      </c>
      <c r="F66" t="inlineStr">
        <is>
          <t>biosphere</t>
        </is>
      </c>
      <c r="I66" t="n">
        <v>739</v>
      </c>
      <c r="J66" s="11">
        <f>J47</f>
        <v>0.37342091965639213</v>
      </c>
      <c r="K66" t="n">
        <v>2</v>
      </c>
      <c r="L66" s="3">
        <f>LN(B66)</f>
        <v>-17.380505812831689</v>
      </c>
      <c r="M66" t="n">
        <v>1</v>
      </c>
      <c r="N66" t="n">
        <v>1</v>
      </c>
      <c r="O66" t="n">
        <v>1</v>
      </c>
      <c r="P66" t="n">
        <v>1.02</v>
      </c>
      <c r="Q66" t="n">
        <v>1.2</v>
      </c>
      <c r="R66" t="n">
        <v>1</v>
      </c>
      <c r="S66" t="n">
        <v>5</v>
      </c>
      <c r="T66">
        <f>LN(SQRT(EXP(
SQRT(
+POWER(LN(M66),2)
+POWER(LN(N66),2)
+POWER(LN(O66),2)
+POWER(LN(P66),2)
+POWER(LN(Q66),2)
+POWER(LN(R66),2)
+POWER(LN(S66),2)
)
)))</f>
        <v>0.80992649174166365</v>
      </c>
    </row>
    <row r="67">
      <c r="A67" t="inlineStr">
        <is>
          <t>Cadmium II</t>
        </is>
      </c>
      <c r="B67">
        <f>unallocated!B34/'allocated (economic)'!I67*'allocated (economic)'!J67</f>
        <v>1.414855987872663E-8</v>
      </c>
      <c r="D67" t="inlineStr">
        <is>
          <t>kilogram</t>
        </is>
      </c>
      <c r="E67" t="inlineStr">
        <is>
          <t>air::urban air close to ground</t>
        </is>
      </c>
      <c r="F67" t="inlineStr">
        <is>
          <t>biosphere</t>
        </is>
      </c>
      <c r="I67" t="n">
        <v>739</v>
      </c>
      <c r="J67" s="11">
        <f>J47</f>
        <v>0.37342091965639213</v>
      </c>
      <c r="K67" t="n">
        <v>2</v>
      </c>
      <c r="L67" s="3">
        <f>LN(B67)</f>
        <v>-18.073652993391637</v>
      </c>
      <c r="M67" t="n">
        <v>1</v>
      </c>
      <c r="N67" t="n">
        <v>1</v>
      </c>
      <c r="O67" t="n">
        <v>1</v>
      </c>
      <c r="P67" t="n">
        <v>1.02</v>
      </c>
      <c r="Q67" t="n">
        <v>1.2</v>
      </c>
      <c r="R67" t="n">
        <v>1</v>
      </c>
      <c r="S67" t="n">
        <v>5</v>
      </c>
      <c r="T67">
        <f>LN(SQRT(EXP(
SQRT(
+POWER(LN(M67),2)
+POWER(LN(N67),2)
+POWER(LN(O67),2)
+POWER(LN(P67),2)
+POWER(LN(Q67),2)
+POWER(LN(R67),2)
+POWER(LN(S67),2)
)
)))</f>
        <v>0.80992649174166365</v>
      </c>
    </row>
    <row r="68">
      <c r="A68" t="inlineStr">
        <is>
          <t>Arsenic ion</t>
        </is>
      </c>
      <c r="B68">
        <f>unallocated!B35/'allocated (economic)'!I68*'allocated (economic)'!J68</f>
        <v>3.0318342597271348E-9</v>
      </c>
      <c r="D68" t="inlineStr">
        <is>
          <t>kilogram</t>
        </is>
      </c>
      <c r="E68" t="inlineStr">
        <is>
          <t>air::urban air close to ground</t>
        </is>
      </c>
      <c r="F68" t="inlineStr">
        <is>
          <t>biosphere</t>
        </is>
      </c>
      <c r="I68" t="n">
        <v>739</v>
      </c>
      <c r="J68" s="11">
        <f>J47</f>
        <v>0.37342091965639213</v>
      </c>
      <c r="K68" t="n">
        <v>2</v>
      </c>
      <c r="L68" s="3">
        <f>LN(B68)</f>
        <v>-19.614098034338785</v>
      </c>
      <c r="M68" t="n">
        <v>1</v>
      </c>
      <c r="N68" t="n">
        <v>1</v>
      </c>
      <c r="O68" t="n">
        <v>1</v>
      </c>
      <c r="P68" t="n">
        <v>1.02</v>
      </c>
      <c r="Q68" t="n">
        <v>1.2</v>
      </c>
      <c r="R68" t="n">
        <v>1</v>
      </c>
      <c r="S68" t="n">
        <v>5</v>
      </c>
      <c r="T68">
        <f>LN(SQRT(EXP(
SQRT(
+POWER(LN(M68),2)
+POWER(LN(N68),2)
+POWER(LN(O68),2)
+POWER(LN(P68),2)
+POWER(LN(Q68),2)
+POWER(LN(R68),2)
+POWER(LN(S68),2)
)
)))</f>
        <v>0.80992649174166365</v>
      </c>
    </row>
    <row r="69">
      <c r="A69" t="inlineStr">
        <is>
          <t>Dioxins, measured as 2,3,7,8-tetrachlorodibenzo-p-dioxin</t>
        </is>
      </c>
      <c r="B69">
        <f>unallocated!B36/'allocated (economic)'!I69*'allocated (economic)'!J69</f>
        <v>5.5583628094997475E-14</v>
      </c>
      <c r="D69" t="inlineStr">
        <is>
          <t>kilogram</t>
        </is>
      </c>
      <c r="E69" t="inlineStr">
        <is>
          <t>air::urban air close to ground</t>
        </is>
      </c>
      <c r="F69" t="inlineStr">
        <is>
          <t>biosphere</t>
        </is>
      </c>
      <c r="I69" t="n">
        <v>739</v>
      </c>
      <c r="J69" s="11">
        <f>J47</f>
        <v>0.37342091965639213</v>
      </c>
      <c r="K69" t="n">
        <v>2</v>
      </c>
      <c r="L69" s="3">
        <f>LN(B69)</f>
        <v>-30.520887695738697</v>
      </c>
      <c r="M69" t="n">
        <v>1</v>
      </c>
      <c r="N69" t="n">
        <v>1</v>
      </c>
      <c r="O69" t="n">
        <v>1</v>
      </c>
      <c r="P69" t="n">
        <v>1.02</v>
      </c>
      <c r="Q69" t="n">
        <v>1.2</v>
      </c>
      <c r="R69" t="n">
        <v>1</v>
      </c>
      <c r="S69" t="n">
        <v>5</v>
      </c>
      <c r="T69">
        <f>LN(SQRT(EXP(
SQRT(
+POWER(LN(M69),2)
+POWER(LN(N69),2)
+POWER(LN(O69),2)
+POWER(LN(P69),2)
+POWER(LN(Q69),2)
+POWER(LN(R69),2)
+POWER(LN(S69),2)
)
)))</f>
        <v>0.80992649174166365</v>
      </c>
    </row>
    <row r="70">
      <c r="A70" t="inlineStr">
        <is>
          <t>Carbon dioxide, fossil</t>
        </is>
      </c>
      <c r="B70">
        <f>unallocated!B37/'allocated (economic)'!I70*'allocated (economic)'!J70</f>
        <v>0.1889843355229914</v>
      </c>
      <c r="D70" t="inlineStr">
        <is>
          <t>kilogram</t>
        </is>
      </c>
      <c r="E70" t="inlineStr">
        <is>
          <t>air::urban air close to ground</t>
        </is>
      </c>
      <c r="F70" t="inlineStr">
        <is>
          <t>biosphere</t>
        </is>
      </c>
      <c r="I70" t="n">
        <v>739</v>
      </c>
      <c r="J70" s="11">
        <f>J47</f>
        <v>0.37342091965639213</v>
      </c>
      <c r="K70" t="n">
        <v>2</v>
      </c>
      <c r="L70" s="3">
        <f>LN(B70)</f>
        <v>-1.6660911481880338</v>
      </c>
      <c r="M70" t="n">
        <v>1</v>
      </c>
      <c r="N70" t="n">
        <v>1</v>
      </c>
      <c r="O70" t="n">
        <v>1</v>
      </c>
      <c r="P70" t="n">
        <v>1.02</v>
      </c>
      <c r="Q70" t="n">
        <v>1.2</v>
      </c>
      <c r="R70" t="n">
        <v>1</v>
      </c>
      <c r="S70" t="n">
        <v>1.05</v>
      </c>
      <c r="T70">
        <f>LN(SQRT(EXP(
SQRT(
+POWER(LN(M70),2)
+POWER(LN(N70),2)
+POWER(LN(O70),2)
+POWER(LN(P70),2)
+POWER(LN(Q70),2)
+POWER(LN(R70),2)
+POWER(LN(S70),2)
)
)))</f>
        <v>9.4886477223156879E-2</v>
      </c>
    </row>
    <row r="71">
      <c r="A71" t="inlineStr">
        <is>
          <t>Carbon dioxide, non-fossil</t>
        </is>
      </c>
      <c r="B71">
        <f>unallocated!B38/'allocated (economic)'!I71*'allocated (economic)'!J71</f>
        <v>0.30015159171298639</v>
      </c>
      <c r="D71" t="inlineStr">
        <is>
          <t>kilogram</t>
        </is>
      </c>
      <c r="E71" t="inlineStr">
        <is>
          <t>air::urban air close to ground</t>
        </is>
      </c>
      <c r="F71" t="inlineStr">
        <is>
          <t>biosphere</t>
        </is>
      </c>
      <c r="I71" t="n">
        <v>739</v>
      </c>
      <c r="J71" s="11">
        <f>J47</f>
        <v>0.37342091965639213</v>
      </c>
      <c r="K71" t="n">
        <v>2</v>
      </c>
      <c r="L71" s="3">
        <f>LN(B71)</f>
        <v>-1.2034676262399207</v>
      </c>
      <c r="M71" t="n">
        <v>1</v>
      </c>
      <c r="N71" t="n">
        <v>1</v>
      </c>
      <c r="O71" t="n">
        <v>1</v>
      </c>
      <c r="P71" t="n">
        <v>1.02</v>
      </c>
      <c r="Q71" t="n">
        <v>1.2</v>
      </c>
      <c r="R71" t="n">
        <v>1</v>
      </c>
      <c r="S71" t="n">
        <v>1.05</v>
      </c>
      <c r="T71">
        <f>LN(SQRT(EXP(
SQRT(
+POWER(LN(M71),2)
+POWER(LN(N71),2)
+POWER(LN(O71),2)
+POWER(LN(P71),2)
+POWER(LN(Q71),2)
+POWER(LN(R71),2)
+POWER(LN(S71),2)
)
)))</f>
        <v>9.4886477223156879E-2</v>
      </c>
    </row>
    <row r="72"/>
    <row r="73">
      <c r="A73" s="1" t="inlineStr">
        <is>
          <t>Activity</t>
        </is>
      </c>
      <c r="B73" s="1" t="inlineStr">
        <is>
          <t>municipal waste incineration, at incineration plant, with semi-dry air pollution control, without flue gas condensation, with electricity and heat recovery, economic allocation</t>
        </is>
      </c>
    </row>
    <row r="74">
      <c r="A74" t="inlineStr">
        <is>
          <t>location</t>
        </is>
      </c>
      <c r="B74" t="inlineStr">
        <is>
          <t>RER</t>
        </is>
      </c>
    </row>
    <row r="75">
      <c r="A75" t="inlineStr">
        <is>
          <t>production amount</t>
        </is>
      </c>
      <c r="B75" t="n">
        <v>1</v>
      </c>
    </row>
    <row r="76">
      <c r="A76" s="2" t="inlineStr">
        <is>
          <t>source</t>
        </is>
      </c>
      <c r="B76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7">
      <c r="A77" t="inlineStr">
        <is>
          <t>reference product</t>
        </is>
      </c>
      <c r="B77" t="inlineStr">
        <is>
          <t>municipal solid waste</t>
        </is>
      </c>
    </row>
    <row r="78">
      <c r="A78" t="inlineStr">
        <is>
          <t>type</t>
        </is>
      </c>
      <c r="B78" t="inlineStr">
        <is>
          <t>process</t>
        </is>
      </c>
    </row>
    <row r="79">
      <c r="A79" t="inlineStr">
        <is>
          <t>unit</t>
        </is>
      </c>
      <c r="B79" t="inlineStr">
        <is>
          <t>kilogram</t>
        </is>
      </c>
    </row>
    <row r="80">
      <c r="A80" t="inlineStr">
        <is>
          <t>comment</t>
        </is>
      </c>
      <c r="B80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638 kWh. Heat production per ton MSWI incinerated: 6'170 MJ.</t>
        </is>
      </c>
    </row>
    <row r="81">
      <c r="A81" s="1" t="inlineStr">
        <is>
          <t>Exchanges</t>
        </is>
      </c>
    </row>
    <row r="82">
      <c r="A82" s="7" t="inlineStr">
        <is>
          <t>name</t>
        </is>
      </c>
      <c r="B82" s="7" t="inlineStr">
        <is>
          <t>amount</t>
        </is>
      </c>
      <c r="C82" s="7" t="inlineStr">
        <is>
          <t>location</t>
        </is>
      </c>
      <c r="D82" s="7" t="inlineStr">
        <is>
          <t>unit</t>
        </is>
      </c>
      <c r="E82" s="7" t="inlineStr">
        <is>
          <t>categories</t>
        </is>
      </c>
      <c r="F82" s="7" t="inlineStr">
        <is>
          <t>type</t>
        </is>
      </c>
      <c r="G82" s="7" t="inlineStr">
        <is>
          <t>reference product</t>
        </is>
      </c>
      <c r="H82" s="7" t="inlineStr">
        <is>
          <t>comment</t>
        </is>
      </c>
      <c r="I82" s="7" t="inlineStr">
        <is>
          <t>normalization</t>
        </is>
      </c>
      <c r="J82" s="7" t="inlineStr">
        <is>
          <t>allocation</t>
        </is>
      </c>
      <c r="K82" s="7" t="inlineStr">
        <is>
          <t>uncertainty type</t>
        </is>
      </c>
      <c r="L82" s="7" t="inlineStr">
        <is>
          <t>loc</t>
        </is>
      </c>
      <c r="M82" s="1" t="inlineStr">
        <is>
          <t>u1</t>
        </is>
      </c>
      <c r="N82" s="1" t="inlineStr">
        <is>
          <t>u2</t>
        </is>
      </c>
      <c r="O82" s="1" t="inlineStr">
        <is>
          <t>u3</t>
        </is>
      </c>
      <c r="P82" s="1" t="inlineStr">
        <is>
          <t>u4</t>
        </is>
      </c>
      <c r="Q82" s="1" t="inlineStr">
        <is>
          <t>u5</t>
        </is>
      </c>
      <c r="R82" s="1" t="inlineStr">
        <is>
          <t>u6</t>
        </is>
      </c>
      <c r="S82" s="1" t="inlineStr">
        <is>
          <t>ub</t>
        </is>
      </c>
      <c r="T82" s="1" t="inlineStr">
        <is>
          <t>scale</t>
        </is>
      </c>
    </row>
    <row r="83">
      <c r="A83" t="inlineStr">
        <is>
          <t>municipal waste incineration, at incineration plant, with semi-dry air pollution control, without flue gas condensation, with electricity and heat recovery, economic allocation</t>
        </is>
      </c>
      <c r="B83" t="n">
        <v>1</v>
      </c>
      <c r="C83" t="inlineStr">
        <is>
          <t>RER</t>
        </is>
      </c>
      <c r="D83" t="inlineStr">
        <is>
          <t>kilogram</t>
        </is>
      </c>
      <c r="F83" t="inlineStr">
        <is>
          <t>production</t>
        </is>
      </c>
      <c r="G83" t="inlineStr">
        <is>
          <t>municipal solid waste</t>
        </is>
      </c>
      <c r="H83" t="inlineStr"/>
      <c r="I83" t="n">
        <v>1000</v>
      </c>
      <c r="J83" s="14">
        <f>INDEX('allocation keys'!$L$4:$N$30,MATCH('allocated (economic)'!$B$73,'allocation keys'!$B$4:$B$28,0),MATCH('allocated (economic)'!$B$77,'allocation keys'!$L$3:$N$3,0))</f>
        <v>0.48972756929250166</v>
      </c>
      <c r="K83" t="n">
        <v>0</v>
      </c>
      <c r="M83" s="5" t="n"/>
      <c r="N83" s="5" t="n"/>
      <c r="O83" s="5" t="n"/>
      <c r="P83" s="5" t="n"/>
      <c r="Q83" s="5" t="n"/>
      <c r="R83" s="5" t="n"/>
    </row>
    <row r="84">
      <c r="A84" t="inlineStr">
        <is>
          <t>municipal waste incineration, at incineration plant, with semi-dry air pollution control, without flue gas condensation, with electricity and heat recovery, economic allocation</t>
        </is>
      </c>
      <c r="B84" s="6" t="n">
        <v>0</v>
      </c>
      <c r="C84" t="inlineStr">
        <is>
          <t>RER</t>
        </is>
      </c>
      <c r="D84" t="inlineStr">
        <is>
          <t>kilowatt hour</t>
        </is>
      </c>
      <c r="F84" t="inlineStr">
        <is>
          <t>technosphere</t>
        </is>
      </c>
      <c r="G84" t="inlineStr">
        <is>
          <t>electricity, medium voltage</t>
        </is>
      </c>
      <c r="H84" t="inlineStr"/>
      <c r="I84" t="n">
        <v>1000</v>
      </c>
      <c r="J84" s="11">
        <f>J83</f>
        <v>0.48972756929250166</v>
      </c>
      <c r="K84" t="n">
        <v>0</v>
      </c>
      <c r="L84" s="3" t="n"/>
    </row>
    <row r="85">
      <c r="A85" t="inlineStr">
        <is>
          <t>municipal waste incineration, at incineration plant, with semi-dry air pollution control, without flue gas condensation, with electricity and heat recovery, economic allocation</t>
        </is>
      </c>
      <c r="B85" t="n">
        <v>0</v>
      </c>
      <c r="C85" t="inlineStr">
        <is>
          <t>RER</t>
        </is>
      </c>
      <c r="D85" t="inlineStr">
        <is>
          <t>megajoule</t>
        </is>
      </c>
      <c r="F85" t="inlineStr">
        <is>
          <t>technosphere</t>
        </is>
      </c>
      <c r="G85" t="inlineStr">
        <is>
          <t>heat, district or industrial, other than natural gas</t>
        </is>
      </c>
      <c r="H85" t="inlineStr"/>
      <c r="I85" t="n">
        <v>1000</v>
      </c>
      <c r="J85" s="11">
        <f>J83</f>
        <v>0.48972756929250166</v>
      </c>
      <c r="K85" t="n">
        <v>0</v>
      </c>
      <c r="L85" s="3" t="n"/>
    </row>
    <row r="86">
      <c r="A86" t="inlineStr">
        <is>
          <t>market for diesel, low-sulfur</t>
        </is>
      </c>
      <c r="B86">
        <f>unallocated!B53/'allocated (economic)'!I86*'allocated (economic)'!J86</f>
        <v>4.1626843389862645E-5</v>
      </c>
      <c r="C86" t="inlineStr">
        <is>
          <t>Europe without Switzerland</t>
        </is>
      </c>
      <c r="D86" t="inlineStr">
        <is>
          <t>kilogram</t>
        </is>
      </c>
      <c r="F86" t="inlineStr">
        <is>
          <t>technosphere</t>
        </is>
      </c>
      <c r="G86" t="inlineStr">
        <is>
          <t>diesel, low-sulfur</t>
        </is>
      </c>
      <c r="H86" t="inlineStr">
        <is>
          <t>Diesel density: 0.85 kg/l</t>
        </is>
      </c>
      <c r="I86" t="n">
        <v>1000</v>
      </c>
      <c r="J86" s="11">
        <f>J83</f>
        <v>0.48972756929250166</v>
      </c>
      <c r="K86" t="n">
        <v>0</v>
      </c>
      <c r="L86" s="3" t="n"/>
    </row>
    <row r="87">
      <c r="A87" t="inlineStr">
        <is>
          <t>market for activated carbon, granular</t>
        </is>
      </c>
      <c r="B87">
        <f>unallocated!B54/'allocated (economic)'!I87*'allocated (economic)'!J87</f>
        <v>1.9589102771700066E-4</v>
      </c>
      <c r="C87" t="inlineStr">
        <is>
          <t>GLO</t>
        </is>
      </c>
      <c r="D87" t="inlineStr">
        <is>
          <t>kilogram</t>
        </is>
      </c>
      <c r="F87" t="inlineStr">
        <is>
          <t>technosphere</t>
        </is>
      </c>
      <c r="G87" t="inlineStr">
        <is>
          <t>activated carbon, granular</t>
        </is>
      </c>
      <c r="I87" t="n">
        <v>1000</v>
      </c>
      <c r="J87" s="11">
        <f>J83</f>
        <v>0.48972756929250166</v>
      </c>
      <c r="K87" t="n">
        <v>0</v>
      </c>
      <c r="L87" s="3" t="n"/>
    </row>
    <row r="88">
      <c r="A88" t="inlineStr">
        <is>
          <t>market for ammonia, anhydrous, liquid</t>
        </is>
      </c>
      <c r="B88">
        <f>unallocated!B55/'allocated (economic)'!I88*'allocated (economic)'!J88</f>
        <v>4.7993301790665163E-4</v>
      </c>
      <c r="C88" t="inlineStr">
        <is>
          <t>RER</t>
        </is>
      </c>
      <c r="D88" t="inlineStr">
        <is>
          <t>kilogram</t>
        </is>
      </c>
      <c r="F88" t="inlineStr">
        <is>
          <t>technosphere</t>
        </is>
      </c>
      <c r="G88" t="inlineStr">
        <is>
          <t>ammonia, anhydrous, liquid</t>
        </is>
      </c>
      <c r="H88" t="inlineStr">
        <is>
          <t>100% liquid ammonia. In original publication, it is dilluated to 23.5% in water. We discount the original value by 75%.</t>
        </is>
      </c>
      <c r="I88" t="n">
        <v>1000</v>
      </c>
      <c r="J88" s="11">
        <f>J83</f>
        <v>0.48972756929250166</v>
      </c>
      <c r="K88" t="n">
        <v>0</v>
      </c>
      <c r="L88" s="3" t="n"/>
    </row>
    <row r="89">
      <c r="A89" t="inlineStr">
        <is>
          <t>market for tap water</t>
        </is>
      </c>
      <c r="B89">
        <f>unallocated!B56/'allocated (economic)'!I89*'allocated (economic)'!J89</f>
        <v>1.4789772592633552E-3</v>
      </c>
      <c r="C89" t="inlineStr">
        <is>
          <t>Europe without Switzerland</t>
        </is>
      </c>
      <c r="D89" t="inlineStr">
        <is>
          <t>kilogram</t>
        </is>
      </c>
      <c r="F89" t="inlineStr">
        <is>
          <t>technosphere</t>
        </is>
      </c>
      <c r="G89" t="inlineStr">
        <is>
          <t>tap water</t>
        </is>
      </c>
      <c r="H89" t="inlineStr">
        <is>
          <t>Used to dilute the ammonia.</t>
        </is>
      </c>
      <c r="I89" t="n">
        <v>1000</v>
      </c>
      <c r="J89" s="11">
        <f>J83</f>
        <v>0.48972756929250166</v>
      </c>
      <c r="K89" t="n">
        <v>0</v>
      </c>
      <c r="L89" s="3" t="n"/>
    </row>
    <row r="90">
      <c r="A90" t="inlineStr">
        <is>
          <t>market for calcium carbonate, precipitated</t>
        </is>
      </c>
      <c r="B90">
        <f>unallocated!B57/'allocated (economic)'!I90*'allocated (economic)'!J90</f>
        <v>0</v>
      </c>
      <c r="C90" t="inlineStr">
        <is>
          <t>RER</t>
        </is>
      </c>
      <c r="D90" t="inlineStr">
        <is>
          <t>kilogram</t>
        </is>
      </c>
      <c r="F90" t="inlineStr">
        <is>
          <t>technosphere</t>
        </is>
      </c>
      <c r="G90" t="inlineStr">
        <is>
          <t>calcium carbonate, precipitated</t>
        </is>
      </c>
      <c r="I90" t="n">
        <v>1000</v>
      </c>
      <c r="J90" s="11">
        <f>J83</f>
        <v>0.48972756929250166</v>
      </c>
      <c r="K90" t="n">
        <v>0</v>
      </c>
      <c r="L90" s="3" t="n"/>
    </row>
    <row r="91">
      <c r="A91" t="inlineStr">
        <is>
          <t>market for iron(III) chloride, without water, in 40% solution state</t>
        </is>
      </c>
      <c r="B91">
        <f>unallocated!B58/'allocated (economic)'!I91*'allocated (economic)'!J91</f>
        <v>0</v>
      </c>
      <c r="C91" t="inlineStr">
        <is>
          <t>GLO</t>
        </is>
      </c>
      <c r="D91" t="inlineStr">
        <is>
          <t>kilogram</t>
        </is>
      </c>
      <c r="F91" t="inlineStr">
        <is>
          <t>technosphere</t>
        </is>
      </c>
      <c r="G91" t="inlineStr">
        <is>
          <t>iron(III) chloride, without water, in 40% solution state</t>
        </is>
      </c>
      <c r="I91" t="n">
        <v>1000</v>
      </c>
      <c r="J91" s="11">
        <f>J83</f>
        <v>0.48972756929250166</v>
      </c>
      <c r="K91" t="n">
        <v>0</v>
      </c>
      <c r="L91" s="3" t="n"/>
    </row>
    <row r="92">
      <c r="A92" t="inlineStr">
        <is>
          <t>market for lime, hydrated, packed</t>
        </is>
      </c>
      <c r="B92">
        <f>unallocated!B59/'allocated (economic)'!I92*'allocated (economic)'!J92</f>
        <v>5.3870032622175181E-3</v>
      </c>
      <c r="C92" t="inlineStr">
        <is>
          <t>RER</t>
        </is>
      </c>
      <c r="D92" t="inlineStr">
        <is>
          <t>kilogram</t>
        </is>
      </c>
      <c r="F92" t="inlineStr">
        <is>
          <t>technosphere</t>
        </is>
      </c>
      <c r="G92" t="inlineStr">
        <is>
          <t>lime, hydrated, packed</t>
        </is>
      </c>
      <c r="I92" t="n">
        <v>1000</v>
      </c>
      <c r="J92" s="11">
        <f>J83</f>
        <v>0.48972756929250166</v>
      </c>
      <c r="K92" t="n">
        <v>0</v>
      </c>
      <c r="L92" s="3" t="n"/>
    </row>
    <row r="93">
      <c r="A93" t="inlineStr">
        <is>
          <t>market for sodium hydroxide, without water, in 50% solution state</t>
        </is>
      </c>
      <c r="B93">
        <f>unallocated!B60/'allocated (economic)'!I93*'allocated (economic)'!J93</f>
        <v>0</v>
      </c>
      <c r="C93" t="inlineStr">
        <is>
          <t>RER</t>
        </is>
      </c>
      <c r="D93" t="inlineStr">
        <is>
          <t>kilogram</t>
        </is>
      </c>
      <c r="F93" t="inlineStr">
        <is>
          <t>technosphere</t>
        </is>
      </c>
      <c r="G93" t="inlineStr">
        <is>
          <t>sodium hydroxide, without water, in 50% solution state</t>
        </is>
      </c>
      <c r="H93" t="inlineStr">
        <is>
          <t>50% liquid ammonia. In original publication, it is dilluated to 27% in water. We discount the original value by 50%.</t>
        </is>
      </c>
      <c r="I93" t="n">
        <v>1000</v>
      </c>
      <c r="J93" s="11">
        <f>J83</f>
        <v>0.48972756929250166</v>
      </c>
      <c r="K93" t="n">
        <v>0</v>
      </c>
      <c r="L93" s="3" t="n"/>
    </row>
    <row r="94">
      <c r="A94" t="inlineStr">
        <is>
          <t>market for monoethanolamine</t>
        </is>
      </c>
      <c r="B94">
        <f>unallocated!B61/'allocated (economic)'!I94*'allocated (economic)'!J94</f>
        <v>0</v>
      </c>
      <c r="C94" t="inlineStr">
        <is>
          <t>GLO</t>
        </is>
      </c>
      <c r="D94" t="inlineStr">
        <is>
          <t>kilogram</t>
        </is>
      </c>
      <c r="F94" t="inlineStr">
        <is>
          <t>technosphere</t>
        </is>
      </c>
      <c r="G94" t="inlineStr">
        <is>
          <t>monoethanolamine</t>
        </is>
      </c>
      <c r="I94" t="n">
        <v>1000</v>
      </c>
      <c r="J94" s="11">
        <f>J83</f>
        <v>0.48972756929250166</v>
      </c>
      <c r="K94" t="n">
        <v>0</v>
      </c>
      <c r="L94" s="3" t="n"/>
    </row>
    <row r="95">
      <c r="A95" t="inlineStr">
        <is>
          <t>municipal waste incineration facility construction</t>
        </is>
      </c>
      <c r="B95" s="8">
        <f>unallocated!B62/'allocated (economic)'!I95*'allocated (economic)'!J95</f>
        <v>1.2243189232312541E-10</v>
      </c>
      <c r="C95" t="inlineStr">
        <is>
          <t>CH</t>
        </is>
      </c>
      <c r="D95" t="inlineStr">
        <is>
          <t>unit</t>
        </is>
      </c>
      <c r="F95" t="inlineStr">
        <is>
          <t>technosphere</t>
        </is>
      </c>
      <c r="G95" t="inlineStr">
        <is>
          <t>municipal waste incineration facility</t>
        </is>
      </c>
      <c r="H95" t="inlineStr">
        <is>
          <t>Lifetime: 4'000'000 tons MSWI treated.</t>
        </is>
      </c>
      <c r="I95" t="n">
        <v>1000</v>
      </c>
      <c r="J95" s="11">
        <f>J83</f>
        <v>0.48972756929250166</v>
      </c>
      <c r="K95" t="n">
        <v>0</v>
      </c>
      <c r="L95" s="3" t="n"/>
    </row>
    <row r="96">
      <c r="A96" t="inlineStr">
        <is>
          <t>Water, cooling, unspecified natural origin</t>
        </is>
      </c>
      <c r="B96">
        <f>unallocated!B63/'allocated (economic)'!I96*'allocated (economic)'!J96</f>
        <v>7.3459135393875245E-5</v>
      </c>
      <c r="D96" t="inlineStr">
        <is>
          <t>cubic meter</t>
        </is>
      </c>
      <c r="E96" t="inlineStr">
        <is>
          <t>natural resource::in water</t>
        </is>
      </c>
      <c r="F96" t="inlineStr">
        <is>
          <t>biosphere</t>
        </is>
      </c>
      <c r="I96" t="n">
        <v>1000</v>
      </c>
      <c r="J96" s="11">
        <f>J83</f>
        <v>0.48972756929250166</v>
      </c>
      <c r="K96" t="n">
        <v>0</v>
      </c>
      <c r="L96" s="3" t="n"/>
    </row>
    <row r="97">
      <c r="A97" t="inlineStr">
        <is>
          <t>Sulfur dioxide</t>
        </is>
      </c>
      <c r="B97">
        <f>unallocated!B64/'allocated (economic)'!I97*'allocated (economic)'!J97</f>
        <v>5.5339215330052691E-5</v>
      </c>
      <c r="D97" t="inlineStr">
        <is>
          <t>kilogram</t>
        </is>
      </c>
      <c r="E97" t="inlineStr">
        <is>
          <t>air::urban air close to ground</t>
        </is>
      </c>
      <c r="F97" t="inlineStr">
        <is>
          <t>biosphere</t>
        </is>
      </c>
      <c r="I97" t="n">
        <v>1000</v>
      </c>
      <c r="J97" s="11">
        <f>J83</f>
        <v>0.48972756929250166</v>
      </c>
      <c r="K97" t="n">
        <v>0</v>
      </c>
      <c r="L97" s="3" t="n"/>
    </row>
    <row r="98">
      <c r="A98" t="inlineStr">
        <is>
          <t>Hydrochloric acid</t>
        </is>
      </c>
      <c r="B98">
        <f>unallocated!B65/'allocated (economic)'!I98*'allocated (economic)'!J98</f>
        <v>1.3712371940190046E-5</v>
      </c>
      <c r="D98" t="inlineStr">
        <is>
          <t>kilogram</t>
        </is>
      </c>
      <c r="E98" t="inlineStr">
        <is>
          <t>air</t>
        </is>
      </c>
      <c r="F98" t="inlineStr">
        <is>
          <t>biosphere</t>
        </is>
      </c>
      <c r="I98" t="n">
        <v>1000</v>
      </c>
      <c r="J98" s="11">
        <f>J83</f>
        <v>0.48972756929250166</v>
      </c>
      <c r="K98" t="n">
        <v>0</v>
      </c>
      <c r="L98" s="3" t="n"/>
    </row>
    <row r="99">
      <c r="A99" t="inlineStr">
        <is>
          <t>Nitrogen oxides</t>
        </is>
      </c>
      <c r="B99">
        <f>unallocated!B66/'allocated (economic)'!I99*'allocated (economic)'!J99</f>
        <v>3.3154556441102365E-4</v>
      </c>
      <c r="D99" t="inlineStr">
        <is>
          <t>kilogram</t>
        </is>
      </c>
      <c r="E99" t="inlineStr">
        <is>
          <t>air::urban air close to ground</t>
        </is>
      </c>
      <c r="F99" t="inlineStr">
        <is>
          <t>biosphere</t>
        </is>
      </c>
      <c r="I99" t="n">
        <v>1000</v>
      </c>
      <c r="J99" s="11">
        <f>J83</f>
        <v>0.48972756929250166</v>
      </c>
      <c r="K99" t="n">
        <v>0</v>
      </c>
      <c r="L99" s="3" t="n"/>
    </row>
    <row r="100">
      <c r="A100" t="inlineStr">
        <is>
          <t>Ammonia</t>
        </is>
      </c>
      <c r="B100">
        <f>unallocated!B67/'allocated (economic)'!I100*'allocated (economic)'!J100</f>
        <v>2.2037740618162572E-5</v>
      </c>
      <c r="D100" t="inlineStr">
        <is>
          <t>kilogram</t>
        </is>
      </c>
      <c r="E100" t="inlineStr">
        <is>
          <t>air::urban air close to ground</t>
        </is>
      </c>
      <c r="F100" t="inlineStr">
        <is>
          <t>biosphere</t>
        </is>
      </c>
      <c r="I100" t="n">
        <v>1000</v>
      </c>
      <c r="J100" s="11">
        <f>J83</f>
        <v>0.48972756929250166</v>
      </c>
      <c r="K100" t="n">
        <v>0</v>
      </c>
      <c r="L100" s="3" t="n"/>
    </row>
    <row r="101">
      <c r="A101" t="inlineStr">
        <is>
          <t>Particulate Matter, &lt; 2.5 um</t>
        </is>
      </c>
      <c r="B101">
        <f>unallocated!B68/'allocated (economic)'!I101*'allocated (economic)'!J101</f>
        <v>2.9383654157550101E-6</v>
      </c>
      <c r="D101" t="inlineStr">
        <is>
          <t>kilogram</t>
        </is>
      </c>
      <c r="E101" t="inlineStr">
        <is>
          <t>air::urban air close to ground</t>
        </is>
      </c>
      <c r="F101" t="inlineStr">
        <is>
          <t>biosphere</t>
        </is>
      </c>
      <c r="I101" t="n">
        <v>1000</v>
      </c>
      <c r="J101" s="11">
        <f>J83</f>
        <v>0.48972756929250166</v>
      </c>
      <c r="K101" t="n">
        <v>0</v>
      </c>
      <c r="L101" s="3" t="n"/>
    </row>
    <row r="102">
      <c r="A102" t="inlineStr">
        <is>
          <t>Mercury II</t>
        </is>
      </c>
      <c r="B102">
        <f>unallocated!B69/'allocated (economic)'!I102*'allocated (economic)'!J102</f>
        <v>1.1263734093727539E-8</v>
      </c>
      <c r="D102" t="inlineStr">
        <is>
          <t>kilogram</t>
        </is>
      </c>
      <c r="E102" t="inlineStr">
        <is>
          <t>air::urban air close to ground</t>
        </is>
      </c>
      <c r="F102" t="inlineStr">
        <is>
          <t>biosphere</t>
        </is>
      </c>
      <c r="I102" t="n">
        <v>1000</v>
      </c>
      <c r="J102" s="11">
        <f>J83</f>
        <v>0.48972756929250166</v>
      </c>
      <c r="K102" t="n">
        <v>0</v>
      </c>
      <c r="L102" s="3" t="n"/>
    </row>
    <row r="103">
      <c r="A103" t="inlineStr">
        <is>
          <t>Lead II</t>
        </is>
      </c>
      <c r="B103">
        <f>unallocated!B70/'allocated (economic)'!I103*'allocated (economic)'!J103</f>
        <v>2.7424743880380092E-8</v>
      </c>
      <c r="D103" t="inlineStr">
        <is>
          <t>kilogram</t>
        </is>
      </c>
      <c r="E103" t="inlineStr">
        <is>
          <t>air::urban air close to ground</t>
        </is>
      </c>
      <c r="F103" t="inlineStr">
        <is>
          <t>biosphere</t>
        </is>
      </c>
      <c r="I103" t="n">
        <v>1000</v>
      </c>
      <c r="J103" s="11">
        <f>J83</f>
        <v>0.48972756929250166</v>
      </c>
      <c r="K103" t="n">
        <v>0</v>
      </c>
      <c r="L103" s="3" t="n"/>
    </row>
    <row r="104">
      <c r="A104" t="inlineStr">
        <is>
          <t>Cadmium II</t>
        </is>
      </c>
      <c r="B104">
        <f>unallocated!B71/'allocated (economic)'!I104*'allocated (economic)'!J104</f>
        <v>1.3712371940190046E-8</v>
      </c>
      <c r="D104" t="inlineStr">
        <is>
          <t>kilogram</t>
        </is>
      </c>
      <c r="E104" t="inlineStr">
        <is>
          <t>air::urban air close to ground</t>
        </is>
      </c>
      <c r="F104" t="inlineStr">
        <is>
          <t>biosphere</t>
        </is>
      </c>
      <c r="I104" t="n">
        <v>1000</v>
      </c>
      <c r="J104" s="11">
        <f>J83</f>
        <v>0.48972756929250166</v>
      </c>
      <c r="K104" t="n">
        <v>0</v>
      </c>
      <c r="L104" s="3" t="n"/>
    </row>
    <row r="105">
      <c r="A105" t="inlineStr">
        <is>
          <t>Arsenic ion</t>
        </is>
      </c>
      <c r="B105">
        <f>unallocated!B72/'allocated (economic)'!I105*'allocated (economic)'!J105</f>
        <v>2.9383654157550099E-9</v>
      </c>
      <c r="D105" t="inlineStr">
        <is>
          <t>kilogram</t>
        </is>
      </c>
      <c r="E105" t="inlineStr">
        <is>
          <t>air::urban air close to ground</t>
        </is>
      </c>
      <c r="F105" t="inlineStr">
        <is>
          <t>biosphere</t>
        </is>
      </c>
      <c r="I105" t="n">
        <v>1000</v>
      </c>
      <c r="J105" s="11">
        <f>J83</f>
        <v>0.48972756929250166</v>
      </c>
      <c r="K105" t="n">
        <v>0</v>
      </c>
      <c r="L105" s="3" t="n"/>
    </row>
    <row r="106">
      <c r="A106" t="inlineStr">
        <is>
          <t>Dioxins, measured as 2,3,7,8-tetrachlorodibenzo-p-dioxin</t>
        </is>
      </c>
      <c r="B106">
        <f>unallocated!B73/'allocated (economic)'!I106*'allocated (economic)'!J106</f>
        <v>5.3870032622175191E-14</v>
      </c>
      <c r="D106" t="inlineStr">
        <is>
          <t>kilogram</t>
        </is>
      </c>
      <c r="E106" t="inlineStr">
        <is>
          <t>air::urban air close to ground</t>
        </is>
      </c>
      <c r="F106" t="inlineStr">
        <is>
          <t>biosphere</t>
        </is>
      </c>
      <c r="I106" t="n">
        <v>1000</v>
      </c>
      <c r="J106" s="11">
        <f>J83</f>
        <v>0.48972756929250166</v>
      </c>
      <c r="K106" t="n">
        <v>0</v>
      </c>
      <c r="L106" s="3" t="n"/>
    </row>
    <row r="107">
      <c r="A107" t="inlineStr">
        <is>
          <t>Carbon dioxide, fossil</t>
        </is>
      </c>
      <c r="B107">
        <f>unallocated!B74/'allocated (economic)'!I107*'allocated (economic)'!J107</f>
        <v>0.18315811091539563</v>
      </c>
      <c r="D107" t="inlineStr">
        <is>
          <t>kilogram</t>
        </is>
      </c>
      <c r="E107" t="inlineStr">
        <is>
          <t>air::urban air close to ground</t>
        </is>
      </c>
      <c r="F107" t="inlineStr">
        <is>
          <t>biosphere</t>
        </is>
      </c>
      <c r="I107" t="n">
        <v>1000</v>
      </c>
      <c r="J107" s="11">
        <f>J83</f>
        <v>0.48972756929250166</v>
      </c>
      <c r="K107" t="n">
        <v>0</v>
      </c>
      <c r="L107" s="3" t="n"/>
    </row>
    <row r="108">
      <c r="A108" t="inlineStr">
        <is>
          <t>Carbon dioxide, non-fossil</t>
        </is>
      </c>
      <c r="B108">
        <f>unallocated!B75/'allocated (economic)'!I108*'allocated (economic)'!J108</f>
        <v>0.29089817615974595</v>
      </c>
      <c r="D108" t="inlineStr">
        <is>
          <t>kilogram</t>
        </is>
      </c>
      <c r="E108" t="inlineStr">
        <is>
          <t>air::urban air close to ground</t>
        </is>
      </c>
      <c r="F108" t="inlineStr">
        <is>
          <t>biosphere</t>
        </is>
      </c>
      <c r="I108" t="n">
        <v>1000</v>
      </c>
      <c r="J108" s="11">
        <f>J83</f>
        <v>0.48972756929250166</v>
      </c>
      <c r="K108" t="n">
        <v>0</v>
      </c>
      <c r="L108" s="3" t="n"/>
    </row>
    <row r="109"/>
    <row r="110">
      <c r="A110" s="1" t="inlineStr">
        <is>
          <t>Activity</t>
        </is>
      </c>
      <c r="B110" s="1" t="inlineStr">
        <is>
          <t>municipal waste incineration, at incineration plant, with semi-dry air pollution control, without flue gas condensation, with electricity and heat recovery, economic allocation</t>
        </is>
      </c>
    </row>
    <row r="111">
      <c r="A111" t="inlineStr">
        <is>
          <t>location</t>
        </is>
      </c>
      <c r="B111" t="inlineStr">
        <is>
          <t>RER</t>
        </is>
      </c>
    </row>
    <row r="112">
      <c r="A112" t="inlineStr">
        <is>
          <t>production amount</t>
        </is>
      </c>
      <c r="B112" t="n">
        <v>1</v>
      </c>
    </row>
    <row r="113">
      <c r="A113" s="2" t="inlineStr">
        <is>
          <t>source</t>
        </is>
      </c>
      <c r="B113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14">
      <c r="A114" t="inlineStr">
        <is>
          <t>reference product</t>
        </is>
      </c>
      <c r="B114" t="inlineStr">
        <is>
          <t>electricity, medium voltage</t>
        </is>
      </c>
    </row>
    <row r="115">
      <c r="A115" t="inlineStr">
        <is>
          <t>type</t>
        </is>
      </c>
      <c r="B115" t="inlineStr">
        <is>
          <t>process</t>
        </is>
      </c>
    </row>
    <row r="116">
      <c r="A116" t="inlineStr">
        <is>
          <t>unit</t>
        </is>
      </c>
      <c r="B116" t="inlineStr">
        <is>
          <t>kilowatt hour</t>
        </is>
      </c>
    </row>
    <row r="117">
      <c r="A117" t="inlineStr">
        <is>
          <t>comment</t>
        </is>
      </c>
      <c r="B117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638 kWh. Heat production per ton MSWI incinerated: 6'170 MJ.</t>
        </is>
      </c>
    </row>
    <row r="118">
      <c r="A118" s="1" t="inlineStr">
        <is>
          <t>Exchanges</t>
        </is>
      </c>
    </row>
    <row r="119">
      <c r="A119" s="7" t="inlineStr">
        <is>
          <t>name</t>
        </is>
      </c>
      <c r="B119" s="7" t="inlineStr">
        <is>
          <t>amount</t>
        </is>
      </c>
      <c r="C119" s="7" t="inlineStr">
        <is>
          <t>location</t>
        </is>
      </c>
      <c r="D119" s="7" t="inlineStr">
        <is>
          <t>unit</t>
        </is>
      </c>
      <c r="E119" s="7" t="inlineStr">
        <is>
          <t>categories</t>
        </is>
      </c>
      <c r="F119" s="7" t="inlineStr">
        <is>
          <t>type</t>
        </is>
      </c>
      <c r="G119" s="7" t="inlineStr">
        <is>
          <t>reference product</t>
        </is>
      </c>
      <c r="H119" s="7" t="inlineStr">
        <is>
          <t>comment</t>
        </is>
      </c>
      <c r="I119" s="7" t="inlineStr">
        <is>
          <t>normalization</t>
        </is>
      </c>
      <c r="J119" s="7" t="inlineStr">
        <is>
          <t>allocation</t>
        </is>
      </c>
      <c r="K119" s="7" t="inlineStr">
        <is>
          <t>uncertainty type</t>
        </is>
      </c>
      <c r="L119" s="7" t="inlineStr">
        <is>
          <t>loc</t>
        </is>
      </c>
      <c r="M119" s="1" t="inlineStr">
        <is>
          <t>u1</t>
        </is>
      </c>
      <c r="N119" s="1" t="inlineStr">
        <is>
          <t>u2</t>
        </is>
      </c>
      <c r="O119" s="1" t="inlineStr">
        <is>
          <t>u3</t>
        </is>
      </c>
      <c r="P119" s="1" t="inlineStr">
        <is>
          <t>u4</t>
        </is>
      </c>
      <c r="Q119" s="1" t="inlineStr">
        <is>
          <t>u5</t>
        </is>
      </c>
      <c r="R119" s="1" t="inlineStr">
        <is>
          <t>u6</t>
        </is>
      </c>
      <c r="S119" s="1" t="inlineStr">
        <is>
          <t>ub</t>
        </is>
      </c>
      <c r="T119" s="1" t="inlineStr">
        <is>
          <t>scale</t>
        </is>
      </c>
    </row>
    <row r="120">
      <c r="A120" t="inlineStr">
        <is>
          <t>municipal waste incineration, at incineration plant, with semi-dry air pollution control, without flue gas condensation, with electricity and heat recovery, economic allocation</t>
        </is>
      </c>
      <c r="B120" t="n">
        <v>0</v>
      </c>
      <c r="C120" t="inlineStr">
        <is>
          <t>RER</t>
        </is>
      </c>
      <c r="D120" t="inlineStr">
        <is>
          <t>kilogram</t>
        </is>
      </c>
      <c r="F120" t="inlineStr">
        <is>
          <t>technosphere</t>
        </is>
      </c>
      <c r="G120" t="inlineStr">
        <is>
          <t>municipal solid waste</t>
        </is>
      </c>
      <c r="H120" t="inlineStr"/>
      <c r="I120" t="n">
        <v>638</v>
      </c>
      <c r="J120" s="14">
        <f>INDEX('allocation keys'!$L$4:$N$30,MATCH('allocated (economic)'!$B$110,'allocation keys'!$B$4:$B$28,0),MATCH('allocated (economic)'!$B$114,'allocation keys'!$L$3:$N$3,0))</f>
        <v>0.25197273323275488</v>
      </c>
      <c r="K120" t="n">
        <v>0</v>
      </c>
      <c r="M120" s="5" t="n"/>
      <c r="N120" s="5" t="n"/>
      <c r="O120" s="5" t="n"/>
      <c r="P120" s="5" t="n"/>
      <c r="Q120" s="5" t="n"/>
      <c r="R120" s="5" t="n"/>
    </row>
    <row r="121">
      <c r="A121" t="inlineStr">
        <is>
          <t>municipal waste incineration, at incineration plant, with semi-dry air pollution control, without flue gas condensation, with electricity and heat recovery, economic allocation</t>
        </is>
      </c>
      <c r="B121" s="6" t="n">
        <v>1</v>
      </c>
      <c r="C121" t="inlineStr">
        <is>
          <t>RER</t>
        </is>
      </c>
      <c r="D121" t="inlineStr">
        <is>
          <t>kilowatt hour</t>
        </is>
      </c>
      <c r="F121" t="inlineStr">
        <is>
          <t>production</t>
        </is>
      </c>
      <c r="G121" t="inlineStr">
        <is>
          <t>electricity, medium voltage</t>
        </is>
      </c>
      <c r="H121" t="inlineStr"/>
      <c r="I121" t="n">
        <v>638</v>
      </c>
      <c r="J121" s="11">
        <f>J120</f>
        <v>0.25197273323275488</v>
      </c>
      <c r="K121" t="n">
        <v>0</v>
      </c>
      <c r="L121" s="3" t="n"/>
    </row>
    <row r="122">
      <c r="A122" t="inlineStr">
        <is>
          <t>municipal waste incineration, at incineration plant, with semi-dry air pollution control, without flue gas condensation, with electricity and heat recovery, economic allocation</t>
        </is>
      </c>
      <c r="B122" t="n">
        <v>0</v>
      </c>
      <c r="C122" t="inlineStr">
        <is>
          <t>RER</t>
        </is>
      </c>
      <c r="D122" t="inlineStr">
        <is>
          <t>megajoule</t>
        </is>
      </c>
      <c r="F122" t="inlineStr">
        <is>
          <t>technosphere</t>
        </is>
      </c>
      <c r="G122" t="inlineStr">
        <is>
          <t>heat, district or industrial, other than natural gas</t>
        </is>
      </c>
      <c r="H122" t="inlineStr"/>
      <c r="I122" t="n">
        <v>638</v>
      </c>
      <c r="J122" s="11">
        <f>J120</f>
        <v>0.25197273323275488</v>
      </c>
      <c r="K122" t="n">
        <v>0</v>
      </c>
      <c r="L122" s="3" t="n"/>
    </row>
    <row r="123">
      <c r="A123" t="inlineStr">
        <is>
          <t>market for diesel, low-sulfur</t>
        </is>
      </c>
      <c r="B123">
        <f>unallocated!B53/'allocated (economic)'!I123*'allocated (economic)'!J123</f>
        <v>3.357003499182471E-5</v>
      </c>
      <c r="C123" t="inlineStr">
        <is>
          <t>Europe without Switzerland</t>
        </is>
      </c>
      <c r="D123" t="inlineStr">
        <is>
          <t>kilogram</t>
        </is>
      </c>
      <c r="F123" t="inlineStr">
        <is>
          <t>technosphere</t>
        </is>
      </c>
      <c r="G123" t="inlineStr">
        <is>
          <t>diesel, low-sulfur</t>
        </is>
      </c>
      <c r="H123" t="inlineStr">
        <is>
          <t>Diesel density: 0.85 kg/l</t>
        </is>
      </c>
      <c r="I123" t="n">
        <v>638</v>
      </c>
      <c r="J123" s="11">
        <f>J120</f>
        <v>0.25197273323275488</v>
      </c>
      <c r="K123" t="n">
        <v>2</v>
      </c>
      <c r="L123" s="3">
        <f>LN(B123)</f>
        <v>-10.301876704618847</v>
      </c>
      <c r="M123" t="n">
        <v>1</v>
      </c>
      <c r="N123" t="n">
        <v>1</v>
      </c>
      <c r="O123" t="n">
        <v>1</v>
      </c>
      <c r="P123" t="n">
        <v>1.02</v>
      </c>
      <c r="Q123" t="n">
        <v>1.2</v>
      </c>
      <c r="R123" t="n">
        <v>1</v>
      </c>
      <c r="S123" t="n">
        <v>1.05</v>
      </c>
      <c r="T123">
        <f>LN(SQRT(EXP(
SQRT(
+POWER(LN(M123),2)
+POWER(LN(N123),2)
+POWER(LN(O123),2)
+POWER(LN(P123),2)
+POWER(LN(Q123),2)
+POWER(LN(R123),2)
+POWER(LN(S123),2)
)
)))</f>
        <v>9.4886477223156879E-2</v>
      </c>
    </row>
    <row r="124">
      <c r="A124" t="inlineStr">
        <is>
          <t>market for activated carbon, granular</t>
        </is>
      </c>
      <c r="B124">
        <f>unallocated!B54/'allocated (economic)'!I124*'allocated (economic)'!J124</f>
        <v>1.5797663525564569E-4</v>
      </c>
      <c r="C124" t="inlineStr">
        <is>
          <t>GLO</t>
        </is>
      </c>
      <c r="D124" t="inlineStr">
        <is>
          <t>kilogram</t>
        </is>
      </c>
      <c r="F124" t="inlineStr">
        <is>
          <t>technosphere</t>
        </is>
      </c>
      <c r="G124" t="inlineStr">
        <is>
          <t>activated carbon, granular</t>
        </is>
      </c>
      <c r="I124" t="n">
        <v>638</v>
      </c>
      <c r="J124" s="11">
        <f>J120</f>
        <v>0.25197273323275488</v>
      </c>
      <c r="K124" t="n">
        <v>2</v>
      </c>
      <c r="L124" s="3">
        <f>LN(B124)</f>
        <v>-8.7530634140011809</v>
      </c>
      <c r="M124" t="n">
        <v>1</v>
      </c>
      <c r="N124" t="n">
        <v>1</v>
      </c>
      <c r="O124" t="n">
        <v>1</v>
      </c>
      <c r="P124" t="n">
        <v>1.02</v>
      </c>
      <c r="Q124" t="n">
        <v>1.2</v>
      </c>
      <c r="R124" t="n">
        <v>1</v>
      </c>
      <c r="S124" t="n">
        <v>1.05</v>
      </c>
      <c r="T124">
        <f>LN(SQRT(EXP(
SQRT(
+POWER(LN(M124),2)
+POWER(LN(N124),2)
+POWER(LN(O124),2)
+POWER(LN(P124),2)
+POWER(LN(Q124),2)
+POWER(LN(R124),2)
+POWER(LN(S124),2)
)
)))</f>
        <v>9.4886477223156879E-2</v>
      </c>
    </row>
    <row r="125">
      <c r="A125" t="inlineStr">
        <is>
          <t>market for ammonia, anhydrous, liquid</t>
        </is>
      </c>
      <c r="B125">
        <f>unallocated!B55/'allocated (economic)'!I125*'allocated (economic)'!J125</f>
        <v>3.8704275637633194E-4</v>
      </c>
      <c r="C125" t="inlineStr">
        <is>
          <t>RER</t>
        </is>
      </c>
      <c r="D125" t="inlineStr">
        <is>
          <t>kilogram</t>
        </is>
      </c>
      <c r="F125" t="inlineStr">
        <is>
          <t>technosphere</t>
        </is>
      </c>
      <c r="G125" t="inlineStr">
        <is>
          <t>ammonia, anhydrous, liquid</t>
        </is>
      </c>
      <c r="H125" t="inlineStr">
        <is>
          <t>100% liquid ammonia. In original publication, it is dilluated to 23.5% in water. We discount the original value by 75%.</t>
        </is>
      </c>
      <c r="I125" t="n">
        <v>638</v>
      </c>
      <c r="J125" s="11">
        <f>J120</f>
        <v>0.25197273323275488</v>
      </c>
      <c r="K125" t="n">
        <v>2</v>
      </c>
      <c r="L125" s="3">
        <f>LN(B125)</f>
        <v>-7.8569753894445453</v>
      </c>
      <c r="M125" t="n">
        <v>1</v>
      </c>
      <c r="N125" t="n">
        <v>1</v>
      </c>
      <c r="O125" t="n">
        <v>1</v>
      </c>
      <c r="P125" t="n">
        <v>1.02</v>
      </c>
      <c r="Q125" t="n">
        <v>1.2</v>
      </c>
      <c r="R125" t="n">
        <v>1</v>
      </c>
      <c r="S125" t="n">
        <v>1.05</v>
      </c>
      <c r="T125">
        <f>LN(SQRT(EXP(
SQRT(
+POWER(LN(M125),2)
+POWER(LN(N125),2)
+POWER(LN(O125),2)
+POWER(LN(P125),2)
+POWER(LN(Q125),2)
+POWER(LN(R125),2)
+POWER(LN(S125),2)
)
)))</f>
        <v>9.4886477223156879E-2</v>
      </c>
    </row>
    <row r="126">
      <c r="A126" t="inlineStr">
        <is>
          <t>market for tap water</t>
        </is>
      </c>
      <c r="B126">
        <f>unallocated!B56/'allocated (economic)'!I126*'allocated (economic)'!J126</f>
        <v>1.1927235961801249E-3</v>
      </c>
      <c r="C126" t="inlineStr">
        <is>
          <t>Europe without Switzerland</t>
        </is>
      </c>
      <c r="D126" t="inlineStr">
        <is>
          <t>kilogram</t>
        </is>
      </c>
      <c r="F126" t="inlineStr">
        <is>
          <t>technosphere</t>
        </is>
      </c>
      <c r="G126" t="inlineStr">
        <is>
          <t>tap water</t>
        </is>
      </c>
      <c r="H126" t="inlineStr">
        <is>
          <t>Used to dilute the ammonia.</t>
        </is>
      </c>
      <c r="I126" t="n">
        <v>638</v>
      </c>
      <c r="J126" s="11">
        <f>J120</f>
        <v>0.25197273323275488</v>
      </c>
      <c r="K126" t="n">
        <v>2</v>
      </c>
      <c r="L126" s="3">
        <f>LN(B126)</f>
        <v>-6.7315158507402471</v>
      </c>
      <c r="M126" t="n">
        <v>1</v>
      </c>
      <c r="N126" t="n">
        <v>1</v>
      </c>
      <c r="O126" t="n">
        <v>1</v>
      </c>
      <c r="P126" t="n">
        <v>1.02</v>
      </c>
      <c r="Q126" t="n">
        <v>1.2</v>
      </c>
      <c r="R126" t="n">
        <v>1</v>
      </c>
      <c r="S126" t="n">
        <v>1.05</v>
      </c>
      <c r="T126">
        <f>LN(SQRT(EXP(
SQRT(
+POWER(LN(M126),2)
+POWER(LN(N126),2)
+POWER(LN(O126),2)
+POWER(LN(P126),2)
+POWER(LN(Q126),2)
+POWER(LN(R126),2)
+POWER(LN(S126),2)
)
)))</f>
        <v>9.4886477223156879E-2</v>
      </c>
    </row>
    <row r="127">
      <c r="A127" t="inlineStr">
        <is>
          <t>market for calcium carbonate, precipitated</t>
        </is>
      </c>
      <c r="B127">
        <f>unallocated!B57/'allocated (economic)'!I127*'allocated (economic)'!J127</f>
        <v>0</v>
      </c>
      <c r="C127" t="inlineStr">
        <is>
          <t>RER</t>
        </is>
      </c>
      <c r="D127" t="inlineStr">
        <is>
          <t>kilogram</t>
        </is>
      </c>
      <c r="F127" t="inlineStr">
        <is>
          <t>technosphere</t>
        </is>
      </c>
      <c r="G127" t="inlineStr">
        <is>
          <t>calcium carbonate, precipitated</t>
        </is>
      </c>
      <c r="I127" t="n">
        <v>638</v>
      </c>
      <c r="J127" s="11">
        <f>J120</f>
        <v>0.25197273323275488</v>
      </c>
      <c r="K127" t="n">
        <v>0</v>
      </c>
      <c r="L127" s="3" t="n"/>
    </row>
    <row r="128">
      <c r="A128" t="inlineStr">
        <is>
          <t>market for iron(III) chloride, without water, in 40% solution state</t>
        </is>
      </c>
      <c r="B128">
        <f>unallocated!B58/'allocated (economic)'!I128*'allocated (economic)'!J128</f>
        <v>0</v>
      </c>
      <c r="C128" t="inlineStr">
        <is>
          <t>GLO</t>
        </is>
      </c>
      <c r="D128" t="inlineStr">
        <is>
          <t>kilogram</t>
        </is>
      </c>
      <c r="F128" t="inlineStr">
        <is>
          <t>technosphere</t>
        </is>
      </c>
      <c r="G128" t="inlineStr">
        <is>
          <t>iron(III) chloride, without water, in 40% solution state</t>
        </is>
      </c>
      <c r="I128" t="n">
        <v>638</v>
      </c>
      <c r="J128" s="11">
        <f>J120</f>
        <v>0.25197273323275488</v>
      </c>
      <c r="K128" t="n">
        <v>0</v>
      </c>
      <c r="L128" s="3" t="n"/>
    </row>
    <row r="129">
      <c r="A129" t="inlineStr">
        <is>
          <t>market for lime, hydrated, packed</t>
        </is>
      </c>
      <c r="B129">
        <f>unallocated!B59/'allocated (economic)'!I129*'allocated (economic)'!J129</f>
        <v>4.3443574695302568E-3</v>
      </c>
      <c r="C129" t="inlineStr">
        <is>
          <t>RER</t>
        </is>
      </c>
      <c r="D129" t="inlineStr">
        <is>
          <t>kilogram</t>
        </is>
      </c>
      <c r="F129" t="inlineStr">
        <is>
          <t>technosphere</t>
        </is>
      </c>
      <c r="G129" t="inlineStr">
        <is>
          <t>lime, hydrated, packed</t>
        </is>
      </c>
      <c r="I129" t="n">
        <v>638</v>
      </c>
      <c r="J129" s="11">
        <f>J120</f>
        <v>0.25197273323275488</v>
      </c>
      <c r="K129" t="n">
        <v>2</v>
      </c>
      <c r="L129" s="3">
        <f>LN(B129)</f>
        <v>-5.4388774093286552</v>
      </c>
      <c r="M129" t="n">
        <v>1</v>
      </c>
      <c r="N129" t="n">
        <v>1</v>
      </c>
      <c r="O129" t="n">
        <v>1</v>
      </c>
      <c r="P129" t="n">
        <v>1.02</v>
      </c>
      <c r="Q129" t="n">
        <v>1.2</v>
      </c>
      <c r="R129" t="n">
        <v>1</v>
      </c>
      <c r="S129" t="n">
        <v>1.05</v>
      </c>
      <c r="T129">
        <f>LN(SQRT(EXP(
SQRT(
+POWER(LN(M129),2)
+POWER(LN(N129),2)
+POWER(LN(O129),2)
+POWER(LN(P129),2)
+POWER(LN(Q129),2)
+POWER(LN(R129),2)
+POWER(LN(S129),2)
)
)))</f>
        <v>9.4886477223156879E-2</v>
      </c>
    </row>
    <row r="130">
      <c r="A130" t="inlineStr">
        <is>
          <t>market for sodium hydroxide, without water, in 50% solution state</t>
        </is>
      </c>
      <c r="B130">
        <f>unallocated!B60/'allocated (economic)'!I130*'allocated (economic)'!J130</f>
        <v>0</v>
      </c>
      <c r="C130" t="inlineStr">
        <is>
          <t>RER</t>
        </is>
      </c>
      <c r="D130" t="inlineStr">
        <is>
          <t>kilogram</t>
        </is>
      </c>
      <c r="F130" t="inlineStr">
        <is>
          <t>technosphere</t>
        </is>
      </c>
      <c r="G130" t="inlineStr">
        <is>
          <t>sodium hydroxide, without water, in 50% solution state</t>
        </is>
      </c>
      <c r="H130" t="inlineStr">
        <is>
          <t>50% liquid ammonia. In original publication, it is dilluated to 27% in water. We discount the original value by 50%.</t>
        </is>
      </c>
      <c r="I130" t="n">
        <v>638</v>
      </c>
      <c r="J130" s="11">
        <f>J120</f>
        <v>0.25197273323275488</v>
      </c>
      <c r="K130" t="n">
        <v>0</v>
      </c>
      <c r="L130" s="3" t="n"/>
    </row>
    <row r="131">
      <c r="A131" t="inlineStr">
        <is>
          <t>market for monoethanolamine</t>
        </is>
      </c>
      <c r="B131">
        <f>unallocated!B61/'allocated (economic)'!I131*'allocated (economic)'!J131</f>
        <v>0</v>
      </c>
      <c r="C131" t="inlineStr">
        <is>
          <t>GLO</t>
        </is>
      </c>
      <c r="D131" t="inlineStr">
        <is>
          <t>kilogram</t>
        </is>
      </c>
      <c r="F131" t="inlineStr">
        <is>
          <t>technosphere</t>
        </is>
      </c>
      <c r="G131" t="inlineStr">
        <is>
          <t>monoethanolamine</t>
        </is>
      </c>
      <c r="I131" t="n">
        <v>638</v>
      </c>
      <c r="J131" s="11">
        <f>J120</f>
        <v>0.25197273323275488</v>
      </c>
      <c r="K131" t="n">
        <v>0</v>
      </c>
      <c r="L131" s="3" t="n"/>
    </row>
    <row r="132">
      <c r="A132" t="inlineStr">
        <is>
          <t>municipal waste incineration facility construction</t>
        </is>
      </c>
      <c r="B132" s="8">
        <f>unallocated!B62/'allocated (economic)'!I132*'allocated (economic)'!J132</f>
        <v>9.8735397034778549E-11</v>
      </c>
      <c r="C132" t="inlineStr">
        <is>
          <t>CH</t>
        </is>
      </c>
      <c r="D132" t="inlineStr">
        <is>
          <t>unit</t>
        </is>
      </c>
      <c r="F132" t="inlineStr">
        <is>
          <t>technosphere</t>
        </is>
      </c>
      <c r="G132" t="inlineStr">
        <is>
          <t>municipal waste incineration facility</t>
        </is>
      </c>
      <c r="H132" t="inlineStr">
        <is>
          <t>Lifetime: 4'000'000 tons MSWI treated.</t>
        </is>
      </c>
      <c r="I132" t="n">
        <v>638</v>
      </c>
      <c r="J132" s="11">
        <f>J120</f>
        <v>0.25197273323275488</v>
      </c>
      <c r="K132" t="n">
        <v>2</v>
      </c>
      <c r="L132" s="3">
        <f>LN(B132)</f>
        <v>-23.038577601211191</v>
      </c>
      <c r="M132" t="n">
        <v>1</v>
      </c>
      <c r="N132" t="n">
        <v>1</v>
      </c>
      <c r="O132" t="n">
        <v>1</v>
      </c>
      <c r="P132" t="n">
        <v>1.02</v>
      </c>
      <c r="Q132" t="n">
        <v>1.2</v>
      </c>
      <c r="R132" t="n">
        <v>1</v>
      </c>
      <c r="S132" t="n">
        <v>3</v>
      </c>
      <c r="T132">
        <f>LN(SQRT(EXP(
SQRT(
+POWER(LN(M132),2)
+POWER(LN(N132),2)
+POWER(LN(O132),2)
+POWER(LN(P132),2)
+POWER(LN(Q132),2)
+POWER(LN(R132),2)
+POWER(LN(S132),2)
)
)))</f>
        <v>0.5569071410325479</v>
      </c>
    </row>
    <row r="133">
      <c r="A133" t="inlineStr">
        <is>
          <t>Water, cooling, unspecified natural origin</t>
        </is>
      </c>
      <c r="B133">
        <f>unallocated!B63/'allocated (economic)'!I133*'allocated (economic)'!J133</f>
        <v>5.9241238220867136E-5</v>
      </c>
      <c r="D133" t="inlineStr">
        <is>
          <t>cubic meter</t>
        </is>
      </c>
      <c r="E133" t="inlineStr">
        <is>
          <t>natural resource::in water</t>
        </is>
      </c>
      <c r="F133" t="inlineStr">
        <is>
          <t>biosphere</t>
        </is>
      </c>
      <c r="I133" t="n">
        <v>638</v>
      </c>
      <c r="J133" s="11">
        <f>J120</f>
        <v>0.25197273323275488</v>
      </c>
      <c r="K133" t="n">
        <v>2</v>
      </c>
      <c r="L133" s="3">
        <f>LN(B133)</f>
        <v>-9.7338926670129062</v>
      </c>
      <c r="M133" t="n">
        <v>1</v>
      </c>
      <c r="N133" t="n">
        <v>1</v>
      </c>
      <c r="O133" t="n">
        <v>1</v>
      </c>
      <c r="P133" t="n">
        <v>1.02</v>
      </c>
      <c r="Q133" t="n">
        <v>1.2</v>
      </c>
      <c r="R133" t="n">
        <v>1</v>
      </c>
      <c r="S133" t="n">
        <v>1.05</v>
      </c>
      <c r="T133">
        <f>LN(SQRT(EXP(
SQRT(
+POWER(LN(M133),2)
+POWER(LN(N133),2)
+POWER(LN(O133),2)
+POWER(LN(P133),2)
+POWER(LN(Q133),2)
+POWER(LN(R133),2)
+POWER(LN(S133),2)
)
)))</f>
        <v>9.4886477223156879E-2</v>
      </c>
    </row>
    <row r="134">
      <c r="A134" t="inlineStr">
        <is>
          <t>Sulfur dioxide</t>
        </is>
      </c>
      <c r="B134">
        <f>unallocated!B64/'allocated (economic)'!I134*'allocated (economic)'!J134</f>
        <v>4.4628399459719914E-5</v>
      </c>
      <c r="D134" t="inlineStr">
        <is>
          <t>kilogram</t>
        </is>
      </c>
      <c r="E134" t="inlineStr">
        <is>
          <t>air::urban air close to ground</t>
        </is>
      </c>
      <c r="F134" t="inlineStr">
        <is>
          <t>biosphere</t>
        </is>
      </c>
      <c r="I134" t="n">
        <v>638</v>
      </c>
      <c r="J134" s="11">
        <f>J120</f>
        <v>0.25197273323275488</v>
      </c>
      <c r="K134" t="n">
        <v>2</v>
      </c>
      <c r="L134" s="3">
        <f>LN(B134)</f>
        <v>-10.017140142396823</v>
      </c>
      <c r="M134" t="n">
        <v>1</v>
      </c>
      <c r="N134" t="n">
        <v>1</v>
      </c>
      <c r="O134" t="n">
        <v>1</v>
      </c>
      <c r="P134" t="n">
        <v>1.02</v>
      </c>
      <c r="Q134" t="n">
        <v>1.2</v>
      </c>
      <c r="R134" t="n">
        <v>1</v>
      </c>
      <c r="S134" t="n">
        <v>1.05</v>
      </c>
      <c r="T134">
        <f>LN(SQRT(EXP(
SQRT(
+POWER(LN(M134),2)
+POWER(LN(N134),2)
+POWER(LN(O134),2)
+POWER(LN(P134),2)
+POWER(LN(Q134),2)
+POWER(LN(R134),2)
+POWER(LN(S134),2)
)
)))</f>
        <v>9.4886477223156879E-2</v>
      </c>
    </row>
    <row r="135">
      <c r="A135" t="inlineStr">
        <is>
          <t>Hydrochloric acid</t>
        </is>
      </c>
      <c r="B135">
        <f>unallocated!B65/'allocated (economic)'!I135*'allocated (economic)'!J135</f>
        <v>1.1058364467895198E-5</v>
      </c>
      <c r="D135" t="inlineStr">
        <is>
          <t>kilogram</t>
        </is>
      </c>
      <c r="E135" t="inlineStr">
        <is>
          <t>air</t>
        </is>
      </c>
      <c r="F135" t="inlineStr">
        <is>
          <t>biosphere</t>
        </is>
      </c>
      <c r="I135" t="n">
        <v>638</v>
      </c>
      <c r="J135" s="11">
        <f>J120</f>
        <v>0.25197273323275488</v>
      </c>
      <c r="K135" t="n">
        <v>2</v>
      </c>
      <c r="L135" s="3">
        <f>LN(B135)</f>
        <v>-11.412323450933959</v>
      </c>
      <c r="M135" t="n">
        <v>1</v>
      </c>
      <c r="N135" t="n">
        <v>1</v>
      </c>
      <c r="O135" t="n">
        <v>1</v>
      </c>
      <c r="P135" t="n">
        <v>1.02</v>
      </c>
      <c r="Q135" t="n">
        <v>1.2</v>
      </c>
      <c r="R135" t="n">
        <v>1</v>
      </c>
      <c r="S135" t="n">
        <v>1.5</v>
      </c>
      <c r="T135">
        <f>LN(SQRT(EXP(
SQRT(
+POWER(LN(M135),2)
+POWER(LN(N135),2)
+POWER(LN(O135),2)
+POWER(LN(P135),2)
+POWER(LN(Q135),2)
+POWER(LN(R135),2)
+POWER(LN(S135),2)
)
)))</f>
        <v>0.22250575723605889</v>
      </c>
    </row>
    <row r="136">
      <c r="A136" t="inlineStr">
        <is>
          <t>Nitrogen oxides</t>
        </is>
      </c>
      <c r="B136">
        <f>unallocated!B66/'allocated (economic)'!I136*'allocated (economic)'!J136</f>
        <v>2.6737545517018039E-4</v>
      </c>
      <c r="D136" t="inlineStr">
        <is>
          <t>kilogram</t>
        </is>
      </c>
      <c r="E136" t="inlineStr">
        <is>
          <t>air::urban air close to ground</t>
        </is>
      </c>
      <c r="F136" t="inlineStr">
        <is>
          <t>biosphere</t>
        </is>
      </c>
      <c r="I136" t="n">
        <v>638</v>
      </c>
      <c r="J136" s="11">
        <f>J120</f>
        <v>0.25197273323275488</v>
      </c>
      <c r="K136" t="n">
        <v>2</v>
      </c>
      <c r="L136" s="3">
        <f>LN(B136)</f>
        <v>-8.2268566881968876</v>
      </c>
      <c r="M136" t="n">
        <v>1</v>
      </c>
      <c r="N136" t="n">
        <v>1</v>
      </c>
      <c r="O136" t="n">
        <v>1</v>
      </c>
      <c r="P136" t="n">
        <v>1.02</v>
      </c>
      <c r="Q136" t="n">
        <v>1.2</v>
      </c>
      <c r="R136" t="n">
        <v>1</v>
      </c>
      <c r="S136" t="n">
        <v>1.5</v>
      </c>
      <c r="T136">
        <f>LN(SQRT(EXP(
SQRT(
+POWER(LN(M136),2)
+POWER(LN(N136),2)
+POWER(LN(O136),2)
+POWER(LN(P136),2)
+POWER(LN(Q136),2)
+POWER(LN(R136),2)
+POWER(LN(S136),2)
)
)))</f>
        <v>0.22250575723605889</v>
      </c>
    </row>
    <row r="137">
      <c r="A137" t="inlineStr">
        <is>
          <t>Ammonia</t>
        </is>
      </c>
      <c r="B137">
        <f>unallocated!B67/'allocated (economic)'!I137*'allocated (economic)'!J137</f>
        <v>1.7772371466260142E-5</v>
      </c>
      <c r="D137" t="inlineStr">
        <is>
          <t>kilogram</t>
        </is>
      </c>
      <c r="E137" t="inlineStr">
        <is>
          <t>air::urban air close to ground</t>
        </is>
      </c>
      <c r="F137" t="inlineStr">
        <is>
          <t>biosphere</t>
        </is>
      </c>
      <c r="I137" t="n">
        <v>638</v>
      </c>
      <c r="J137" s="11">
        <f>J120</f>
        <v>0.25197273323275488</v>
      </c>
      <c r="K137" t="n">
        <v>2</v>
      </c>
      <c r="L137" s="3">
        <f>LN(B137)</f>
        <v>-10.937865471338842</v>
      </c>
      <c r="M137" t="n">
        <v>1</v>
      </c>
      <c r="N137" t="n">
        <v>1</v>
      </c>
      <c r="O137" t="n">
        <v>1</v>
      </c>
      <c r="P137" t="n">
        <v>1.02</v>
      </c>
      <c r="Q137" t="n">
        <v>1.2</v>
      </c>
      <c r="R137" t="n">
        <v>1</v>
      </c>
      <c r="S137" t="n">
        <v>1.5</v>
      </c>
      <c r="T137">
        <f>LN(SQRT(EXP(
SQRT(
+POWER(LN(M137),2)
+POWER(LN(N137),2)
+POWER(LN(O137),2)
+POWER(LN(P137),2)
+POWER(LN(Q137),2)
+POWER(LN(R137),2)
+POWER(LN(S137),2)
)
)))</f>
        <v>0.22250575723605889</v>
      </c>
    </row>
    <row r="138">
      <c r="A138" t="inlineStr">
        <is>
          <t>Particulate Matter, &lt; 2.5 um</t>
        </is>
      </c>
      <c r="B138">
        <f>unallocated!B68/'allocated (economic)'!I138*'allocated (economic)'!J138</f>
        <v>2.3696495288346856E-6</v>
      </c>
      <c r="D138" t="inlineStr">
        <is>
          <t>kilogram</t>
        </is>
      </c>
      <c r="E138" t="inlineStr">
        <is>
          <t>air::urban air close to ground</t>
        </is>
      </c>
      <c r="F138" t="inlineStr">
        <is>
          <t>biosphere</t>
        </is>
      </c>
      <c r="I138" t="n">
        <v>638</v>
      </c>
      <c r="J138" s="11">
        <f>J120</f>
        <v>0.25197273323275488</v>
      </c>
      <c r="K138" t="n">
        <v>2</v>
      </c>
      <c r="L138" s="3">
        <f>LN(B138)</f>
        <v>-12.952768491881107</v>
      </c>
      <c r="M138" t="n">
        <v>1</v>
      </c>
      <c r="N138" t="n">
        <v>1</v>
      </c>
      <c r="O138" t="n">
        <v>1</v>
      </c>
      <c r="P138" t="n">
        <v>1.02</v>
      </c>
      <c r="Q138" t="n">
        <v>1.2</v>
      </c>
      <c r="R138" t="n">
        <v>1</v>
      </c>
      <c r="S138" t="n">
        <v>3</v>
      </c>
      <c r="T138">
        <f>LN(SQRT(EXP(
SQRT(
+POWER(LN(M138),2)
+POWER(LN(N138),2)
+POWER(LN(O138),2)
+POWER(LN(P138),2)
+POWER(LN(Q138),2)
+POWER(LN(R138),2)
+POWER(LN(S138),2)
)
)))</f>
        <v>0.5569071410325479</v>
      </c>
    </row>
    <row r="139">
      <c r="A139" t="inlineStr">
        <is>
          <t>Mercury II</t>
        </is>
      </c>
      <c r="B139">
        <f>unallocated!B69/'allocated (economic)'!I139*'allocated (economic)'!J139</f>
        <v>9.0836565271996277E-9</v>
      </c>
      <c r="D139" t="inlineStr">
        <is>
          <t>kilogram</t>
        </is>
      </c>
      <c r="E139" t="inlineStr">
        <is>
          <t>air::urban air close to ground</t>
        </is>
      </c>
      <c r="F139" t="inlineStr">
        <is>
          <t>biosphere</t>
        </is>
      </c>
      <c r="I139" t="n">
        <v>638</v>
      </c>
      <c r="J139" s="11">
        <f>J120</f>
        <v>0.25197273323275488</v>
      </c>
      <c r="K139" t="n">
        <v>2</v>
      </c>
      <c r="L139" s="3">
        <f>LN(B139)</f>
        <v>-18.516789024162151</v>
      </c>
      <c r="M139" t="n">
        <v>1</v>
      </c>
      <c r="N139" t="n">
        <v>1</v>
      </c>
      <c r="O139" t="n">
        <v>1</v>
      </c>
      <c r="P139" t="n">
        <v>1.02</v>
      </c>
      <c r="Q139" t="n">
        <v>1.2</v>
      </c>
      <c r="R139" t="n">
        <v>1</v>
      </c>
      <c r="S139" t="n">
        <v>5</v>
      </c>
      <c r="T139">
        <f>LN(SQRT(EXP(
SQRT(
+POWER(LN(M139),2)
+POWER(LN(N139),2)
+POWER(LN(O139),2)
+POWER(LN(P139),2)
+POWER(LN(Q139),2)
+POWER(LN(R139),2)
+POWER(LN(S139),2)
)
)))</f>
        <v>0.80992649174166365</v>
      </c>
    </row>
    <row r="140">
      <c r="A140" t="inlineStr">
        <is>
          <t>Lead II</t>
        </is>
      </c>
      <c r="B140">
        <f>unallocated!B70/'allocated (economic)'!I140*'allocated (economic)'!J140</f>
        <v>2.2116728935790398E-8</v>
      </c>
      <c r="D140" t="inlineStr">
        <is>
          <t>kilogram</t>
        </is>
      </c>
      <c r="E140" t="inlineStr">
        <is>
          <t>air::urban air close to ground</t>
        </is>
      </c>
      <c r="F140" t="inlineStr">
        <is>
          <t>biosphere</t>
        </is>
      </c>
      <c r="I140" t="n">
        <v>638</v>
      </c>
      <c r="J140" s="11">
        <f>J120</f>
        <v>0.25197273323275488</v>
      </c>
      <c r="K140" t="n">
        <v>2</v>
      </c>
      <c r="L140" s="3">
        <f>LN(B140)</f>
        <v>-17.626931549356151</v>
      </c>
      <c r="M140" t="n">
        <v>1</v>
      </c>
      <c r="N140" t="n">
        <v>1</v>
      </c>
      <c r="O140" t="n">
        <v>1</v>
      </c>
      <c r="P140" t="n">
        <v>1.02</v>
      </c>
      <c r="Q140" t="n">
        <v>1.2</v>
      </c>
      <c r="R140" t="n">
        <v>1</v>
      </c>
      <c r="S140" t="n">
        <v>5</v>
      </c>
      <c r="T140">
        <f>LN(SQRT(EXP(
SQRT(
+POWER(LN(M140),2)
+POWER(LN(N140),2)
+POWER(LN(O140),2)
+POWER(LN(P140),2)
+POWER(LN(Q140),2)
+POWER(LN(R140),2)
+POWER(LN(S140),2)
)
)))</f>
        <v>0.80992649174166365</v>
      </c>
    </row>
    <row r="141">
      <c r="A141" t="inlineStr">
        <is>
          <t>Cadmium II</t>
        </is>
      </c>
      <c r="B141">
        <f>unallocated!B71/'allocated (economic)'!I141*'allocated (economic)'!J141</f>
        <v>1.1058364467895199E-8</v>
      </c>
      <c r="D141" t="inlineStr">
        <is>
          <t>kilogram</t>
        </is>
      </c>
      <c r="E141" t="inlineStr">
        <is>
          <t>air::urban air close to ground</t>
        </is>
      </c>
      <c r="F141" t="inlineStr">
        <is>
          <t>biosphere</t>
        </is>
      </c>
      <c r="I141" t="n">
        <v>638</v>
      </c>
      <c r="J141" s="11">
        <f>J120</f>
        <v>0.25197273323275488</v>
      </c>
      <c r="K141" t="n">
        <v>2</v>
      </c>
      <c r="L141" s="3">
        <f>LN(B141)</f>
        <v>-18.320078729916094</v>
      </c>
      <c r="M141" t="n">
        <v>1</v>
      </c>
      <c r="N141" t="n">
        <v>1</v>
      </c>
      <c r="O141" t="n">
        <v>1</v>
      </c>
      <c r="P141" t="n">
        <v>1.02</v>
      </c>
      <c r="Q141" t="n">
        <v>1.2</v>
      </c>
      <c r="R141" t="n">
        <v>1</v>
      </c>
      <c r="S141" t="n">
        <v>5</v>
      </c>
      <c r="T141">
        <f>LN(SQRT(EXP(
SQRT(
+POWER(LN(M141),2)
+POWER(LN(N141),2)
+POWER(LN(O141),2)
+POWER(LN(P141),2)
+POWER(LN(Q141),2)
+POWER(LN(R141),2)
+POWER(LN(S141),2)
)
)))</f>
        <v>0.80992649174166365</v>
      </c>
    </row>
    <row r="142">
      <c r="A142" t="inlineStr">
        <is>
          <t>Arsenic ion</t>
        </is>
      </c>
      <c r="B142">
        <f>unallocated!B72/'allocated (economic)'!I142*'allocated (economic)'!J142</f>
        <v>2.3696495288346851E-9</v>
      </c>
      <c r="D142" t="inlineStr">
        <is>
          <t>kilogram</t>
        </is>
      </c>
      <c r="E142" t="inlineStr">
        <is>
          <t>air::urban air close to ground</t>
        </is>
      </c>
      <c r="F142" t="inlineStr">
        <is>
          <t>biosphere</t>
        </is>
      </c>
      <c r="I142" t="n">
        <v>638</v>
      </c>
      <c r="J142" s="11">
        <f>J120</f>
        <v>0.25197273323275488</v>
      </c>
      <c r="K142" t="n">
        <v>2</v>
      </c>
      <c r="L142" s="3">
        <f>LN(B142)</f>
        <v>-19.860523770863246</v>
      </c>
      <c r="M142" t="n">
        <v>1</v>
      </c>
      <c r="N142" t="n">
        <v>1</v>
      </c>
      <c r="O142" t="n">
        <v>1</v>
      </c>
      <c r="P142" t="n">
        <v>1.02</v>
      </c>
      <c r="Q142" t="n">
        <v>1.2</v>
      </c>
      <c r="R142" t="n">
        <v>1</v>
      </c>
      <c r="S142" t="n">
        <v>5</v>
      </c>
      <c r="T142">
        <f>LN(SQRT(EXP(
SQRT(
+POWER(LN(M142),2)
+POWER(LN(N142),2)
+POWER(LN(O142),2)
+POWER(LN(P142),2)
+POWER(LN(Q142),2)
+POWER(LN(R142),2)
+POWER(LN(S142),2)
)
)))</f>
        <v>0.80992649174166365</v>
      </c>
    </row>
    <row r="143">
      <c r="A143" t="inlineStr">
        <is>
          <t>Dioxins, measured as 2,3,7,8-tetrachlorodibenzo-p-dioxin</t>
        </is>
      </c>
      <c r="B143">
        <f>unallocated!B73/'allocated (economic)'!I143*'allocated (economic)'!J143</f>
        <v>4.3443574695302566E-14</v>
      </c>
      <c r="D143" t="inlineStr">
        <is>
          <t>kilogram</t>
        </is>
      </c>
      <c r="E143" t="inlineStr">
        <is>
          <t>air::urban air close to ground</t>
        </is>
      </c>
      <c r="F143" t="inlineStr">
        <is>
          <t>biosphere</t>
        </is>
      </c>
      <c r="I143" t="n">
        <v>638</v>
      </c>
      <c r="J143" s="11">
        <f>J120</f>
        <v>0.25197273323275488</v>
      </c>
      <c r="K143" t="n">
        <v>2</v>
      </c>
      <c r="L143" s="3">
        <f>LN(B143)</f>
        <v>-30.767313432263158</v>
      </c>
      <c r="M143" t="n">
        <v>1</v>
      </c>
      <c r="N143" t="n">
        <v>1</v>
      </c>
      <c r="O143" t="n">
        <v>1</v>
      </c>
      <c r="P143" t="n">
        <v>1.02</v>
      </c>
      <c r="Q143" t="n">
        <v>1.2</v>
      </c>
      <c r="R143" t="n">
        <v>1</v>
      </c>
      <c r="S143" t="n">
        <v>5</v>
      </c>
      <c r="T143">
        <f>LN(SQRT(EXP(
SQRT(
+POWER(LN(M143),2)
+POWER(LN(N143),2)
+POWER(LN(O143),2)
+POWER(LN(P143),2)
+POWER(LN(Q143),2)
+POWER(LN(R143),2)
+POWER(LN(S143),2)
)
)))</f>
        <v>0.80992649174166365</v>
      </c>
    </row>
    <row r="144">
      <c r="A144" t="inlineStr">
        <is>
          <t>Carbon dioxide, fossil</t>
        </is>
      </c>
      <c r="B144">
        <f>unallocated!B74/'allocated (economic)'!I144*'allocated (economic)'!J144</f>
        <v>0.1477081539640287</v>
      </c>
      <c r="D144" t="inlineStr">
        <is>
          <t>kilogram</t>
        </is>
      </c>
      <c r="E144" t="inlineStr">
        <is>
          <t>air::urban air close to ground</t>
        </is>
      </c>
      <c r="F144" t="inlineStr">
        <is>
          <t>biosphere</t>
        </is>
      </c>
      <c r="I144" t="n">
        <v>638</v>
      </c>
      <c r="J144" s="11">
        <f>J120</f>
        <v>0.25197273323275488</v>
      </c>
      <c r="K144" t="n">
        <v>2</v>
      </c>
      <c r="L144" s="3">
        <f>LN(B144)</f>
        <v>-1.9125168847124938</v>
      </c>
      <c r="M144" t="n">
        <v>1</v>
      </c>
      <c r="N144" t="n">
        <v>1</v>
      </c>
      <c r="O144" t="n">
        <v>1</v>
      </c>
      <c r="P144" t="n">
        <v>1.02</v>
      </c>
      <c r="Q144" t="n">
        <v>1.2</v>
      </c>
      <c r="R144" t="n">
        <v>1</v>
      </c>
      <c r="S144" t="n">
        <v>1.05</v>
      </c>
      <c r="T144">
        <f>LN(SQRT(EXP(
SQRT(
+POWER(LN(M144),2)
+POWER(LN(N144),2)
+POWER(LN(O144),2)
+POWER(LN(P144),2)
+POWER(LN(Q144),2)
+POWER(LN(R144),2)
+POWER(LN(S144),2)
)
)))</f>
        <v>9.4886477223156879E-2</v>
      </c>
    </row>
    <row r="145">
      <c r="A145" t="inlineStr">
        <is>
          <t>Carbon dioxide, non-fossil</t>
        </is>
      </c>
      <c r="B145">
        <f>unallocated!B75/'allocated (economic)'!I145*'allocated (economic)'!J145</f>
        <v>0.23459530335463386</v>
      </c>
      <c r="D145" t="inlineStr">
        <is>
          <t>kilogram</t>
        </is>
      </c>
      <c r="E145" t="inlineStr">
        <is>
          <t>air::urban air close to ground</t>
        </is>
      </c>
      <c r="F145" t="inlineStr">
        <is>
          <t>biosphere</t>
        </is>
      </c>
      <c r="I145" t="n">
        <v>638</v>
      </c>
      <c r="J145" s="11">
        <f>J120</f>
        <v>0.25197273323275488</v>
      </c>
      <c r="K145" t="n">
        <v>2</v>
      </c>
      <c r="L145" s="3">
        <f>LN(B145)</f>
        <v>-1.4498933627643806</v>
      </c>
      <c r="M145" t="n">
        <v>1</v>
      </c>
      <c r="N145" t="n">
        <v>1</v>
      </c>
      <c r="O145" t="n">
        <v>1</v>
      </c>
      <c r="P145" t="n">
        <v>1.02</v>
      </c>
      <c r="Q145" t="n">
        <v>1.2</v>
      </c>
      <c r="R145" t="n">
        <v>1</v>
      </c>
      <c r="S145" t="n">
        <v>1.05</v>
      </c>
      <c r="T145">
        <f>LN(SQRT(EXP(
SQRT(
+POWER(LN(M145),2)
+POWER(LN(N145),2)
+POWER(LN(O145),2)
+POWER(LN(P145),2)
+POWER(LN(Q145),2)
+POWER(LN(R145),2)
+POWER(LN(S145),2)
)
)))</f>
        <v>9.4886477223156879E-2</v>
      </c>
    </row>
    <row r="146"/>
    <row r="147">
      <c r="A147" s="1" t="inlineStr">
        <is>
          <t>Activity</t>
        </is>
      </c>
      <c r="B147" s="1" t="inlineStr">
        <is>
          <t>municipal waste incineration, at incineration plant, with semi-dry air pollution control, without flue gas condensation, with electricity and heat recovery, economic allocation</t>
        </is>
      </c>
    </row>
    <row r="148">
      <c r="A148" t="inlineStr">
        <is>
          <t>location</t>
        </is>
      </c>
      <c r="B148" t="inlineStr">
        <is>
          <t>RER</t>
        </is>
      </c>
    </row>
    <row r="149">
      <c r="A149" t="inlineStr">
        <is>
          <t>production amount</t>
        </is>
      </c>
      <c r="B149" t="n">
        <v>1</v>
      </c>
    </row>
    <row r="150">
      <c r="A150" s="2" t="inlineStr">
        <is>
          <t>source</t>
        </is>
      </c>
      <c r="B15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51">
      <c r="A151" t="inlineStr">
        <is>
          <t>reference product</t>
        </is>
      </c>
      <c r="B151" t="inlineStr">
        <is>
          <t>heat, district or industrial, other than natural gas</t>
        </is>
      </c>
    </row>
    <row r="152">
      <c r="A152" t="inlineStr">
        <is>
          <t>type</t>
        </is>
      </c>
      <c r="B152" t="inlineStr">
        <is>
          <t>process</t>
        </is>
      </c>
    </row>
    <row r="153">
      <c r="A153" t="inlineStr">
        <is>
          <t>unit</t>
        </is>
      </c>
      <c r="B153" t="inlineStr">
        <is>
          <t>megajoule</t>
        </is>
      </c>
    </row>
    <row r="154">
      <c r="A154" t="inlineStr">
        <is>
          <t>comment</t>
        </is>
      </c>
      <c r="B15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638 kWh. Heat production per ton MSWI incinerated: 6'170 MJ.</t>
        </is>
      </c>
    </row>
    <row r="155">
      <c r="A155" s="1" t="inlineStr">
        <is>
          <t>Exchanges</t>
        </is>
      </c>
    </row>
    <row r="156">
      <c r="A156" s="7" t="inlineStr">
        <is>
          <t>name</t>
        </is>
      </c>
      <c r="B156" s="7" t="inlineStr">
        <is>
          <t>amount</t>
        </is>
      </c>
      <c r="C156" s="7" t="inlineStr">
        <is>
          <t>location</t>
        </is>
      </c>
      <c r="D156" s="7" t="inlineStr">
        <is>
          <t>unit</t>
        </is>
      </c>
      <c r="E156" s="7" t="inlineStr">
        <is>
          <t>categories</t>
        </is>
      </c>
      <c r="F156" s="7" t="inlineStr">
        <is>
          <t>type</t>
        </is>
      </c>
      <c r="G156" s="7" t="inlineStr">
        <is>
          <t>reference product</t>
        </is>
      </c>
      <c r="H156" s="7" t="inlineStr">
        <is>
          <t>comment</t>
        </is>
      </c>
      <c r="I156" s="7" t="inlineStr">
        <is>
          <t>normalization</t>
        </is>
      </c>
      <c r="J156" s="7" t="inlineStr">
        <is>
          <t>allocation</t>
        </is>
      </c>
      <c r="K156" s="7" t="inlineStr">
        <is>
          <t>uncertainty type</t>
        </is>
      </c>
      <c r="L156" s="7" t="inlineStr">
        <is>
          <t>loc</t>
        </is>
      </c>
      <c r="M156" s="1" t="inlineStr">
        <is>
          <t>u1</t>
        </is>
      </c>
      <c r="N156" s="1" t="inlineStr">
        <is>
          <t>u2</t>
        </is>
      </c>
      <c r="O156" s="1" t="inlineStr">
        <is>
          <t>u3</t>
        </is>
      </c>
      <c r="P156" s="1" t="inlineStr">
        <is>
          <t>u4</t>
        </is>
      </c>
      <c r="Q156" s="1" t="inlineStr">
        <is>
          <t>u5</t>
        </is>
      </c>
      <c r="R156" s="1" t="inlineStr">
        <is>
          <t>u6</t>
        </is>
      </c>
      <c r="S156" s="1" t="inlineStr">
        <is>
          <t>ub</t>
        </is>
      </c>
      <c r="T156" s="1" t="inlineStr">
        <is>
          <t>scale</t>
        </is>
      </c>
    </row>
    <row r="157">
      <c r="A157" t="inlineStr">
        <is>
          <t>municipal waste incineration, at incineration plant, with semi-dry air pollution control, without flue gas condensation, with electricity and heat recovery, economic allocation</t>
        </is>
      </c>
      <c r="B157" t="n">
        <v>0</v>
      </c>
      <c r="C157" t="inlineStr">
        <is>
          <t>RER</t>
        </is>
      </c>
      <c r="D157" t="inlineStr">
        <is>
          <t>kilogram</t>
        </is>
      </c>
      <c r="F157" t="inlineStr">
        <is>
          <t>technosphere</t>
        </is>
      </c>
      <c r="G157" t="inlineStr">
        <is>
          <t>municipal solid waste</t>
        </is>
      </c>
      <c r="H157" t="inlineStr"/>
      <c r="I157" t="n">
        <v>6170</v>
      </c>
      <c r="J157" s="14">
        <f>INDEX('allocation keys'!$L$4:$N$30,MATCH('allocated (economic)'!$B$147,'allocation keys'!$B$4:$B$28,0),MATCH('allocated (economic)'!$B$151,'allocation keys'!$L$3:$N$3,0))</f>
        <v>0.25829969747474352</v>
      </c>
      <c r="K157" t="n">
        <v>0</v>
      </c>
      <c r="M157" s="5" t="n"/>
      <c r="N157" s="5" t="n"/>
      <c r="O157" s="5" t="n"/>
      <c r="P157" s="5" t="n"/>
      <c r="Q157" s="5" t="n"/>
      <c r="R157" s="5" t="n"/>
    </row>
    <row r="158">
      <c r="A158" t="inlineStr">
        <is>
          <t>municipal waste incineration, at incineration plant, with semi-dry air pollution control, without flue gas condensation, with electricity and heat recovery, economic allocation</t>
        </is>
      </c>
      <c r="B158" s="6" t="n">
        <v>0</v>
      </c>
      <c r="C158" t="inlineStr">
        <is>
          <t>RER</t>
        </is>
      </c>
      <c r="D158" t="inlineStr">
        <is>
          <t>kilowatt hour</t>
        </is>
      </c>
      <c r="F158" t="inlineStr">
        <is>
          <t>technosphere</t>
        </is>
      </c>
      <c r="G158" t="inlineStr">
        <is>
          <t>electricity, medium voltage</t>
        </is>
      </c>
      <c r="H158" t="inlineStr"/>
      <c r="I158" t="n">
        <v>6170</v>
      </c>
      <c r="J158" s="11">
        <f>J157</f>
        <v>0.25829969747474352</v>
      </c>
      <c r="K158" t="n">
        <v>0</v>
      </c>
      <c r="L158" s="3" t="n"/>
    </row>
    <row r="159">
      <c r="A159" t="inlineStr">
        <is>
          <t>municipal waste incineration, at incineration plant, with semi-dry air pollution control, without flue gas condensation, with electricity and heat recovery, economic allocation</t>
        </is>
      </c>
      <c r="B159" t="n">
        <v>1</v>
      </c>
      <c r="C159" t="inlineStr">
        <is>
          <t>RER</t>
        </is>
      </c>
      <c r="D159" t="inlineStr">
        <is>
          <t>megajoule</t>
        </is>
      </c>
      <c r="F159" t="inlineStr">
        <is>
          <t>production</t>
        </is>
      </c>
      <c r="G159" t="inlineStr">
        <is>
          <t>heat, district or industrial, other than natural gas</t>
        </is>
      </c>
      <c r="H159" t="inlineStr"/>
      <c r="I159" t="n">
        <v>6170</v>
      </c>
      <c r="J159" s="11">
        <f>J157</f>
        <v>0.25829969747474352</v>
      </c>
      <c r="K159" t="n">
        <v>0</v>
      </c>
      <c r="L159" s="3" t="n"/>
    </row>
    <row r="160">
      <c r="A160" t="inlineStr">
        <is>
          <t>market for diesel, low-sulfur</t>
        </is>
      </c>
      <c r="B160">
        <f>unallocated!B53/'allocated (economic)'!I160*'allocated (economic)'!J160</f>
        <v>3.55842370913342E-6</v>
      </c>
      <c r="C160" t="inlineStr">
        <is>
          <t>Europe without Switzerland</t>
        </is>
      </c>
      <c r="D160" t="inlineStr">
        <is>
          <t>kilogram</t>
        </is>
      </c>
      <c r="F160" t="inlineStr">
        <is>
          <t>technosphere</t>
        </is>
      </c>
      <c r="G160" t="inlineStr">
        <is>
          <t>diesel, low-sulfur</t>
        </is>
      </c>
      <c r="H160" t="inlineStr">
        <is>
          <t>Diesel density: 0.85 kg/l</t>
        </is>
      </c>
      <c r="I160" t="n">
        <v>6170</v>
      </c>
      <c r="J160" s="11">
        <f>J157</f>
        <v>0.25829969747474352</v>
      </c>
      <c r="K160" t="n">
        <v>2</v>
      </c>
      <c r="L160" s="3">
        <f>LN(B160)</f>
        <v>-12.546192889488916</v>
      </c>
      <c r="M160" t="n">
        <v>1</v>
      </c>
      <c r="N160" t="n">
        <v>1</v>
      </c>
      <c r="O160" t="n">
        <v>1</v>
      </c>
      <c r="P160" t="n">
        <v>1.02</v>
      </c>
      <c r="Q160" t="n">
        <v>1.2</v>
      </c>
      <c r="R160" t="n">
        <v>1</v>
      </c>
      <c r="S160" t="n">
        <v>1.05</v>
      </c>
      <c r="T160">
        <f>LN(SQRT(EXP(
SQRT(
+POWER(LN(M160),2)
+POWER(LN(N160),2)
+POWER(LN(O160),2)
+POWER(LN(P160),2)
+POWER(LN(Q160),2)
+POWER(LN(R160),2)
+POWER(LN(S160),2)
)
)))</f>
        <v>9.4886477223156879E-2</v>
      </c>
    </row>
    <row r="161">
      <c r="A161" t="inlineStr">
        <is>
          <t>market for activated carbon, granular</t>
        </is>
      </c>
      <c r="B161">
        <f>unallocated!B54/'allocated (economic)'!I161*'allocated (economic)'!J161</f>
        <v>1.6745523337098446E-5</v>
      </c>
      <c r="C161" t="inlineStr">
        <is>
          <t>GLO</t>
        </is>
      </c>
      <c r="D161" t="inlineStr">
        <is>
          <t>kilogram</t>
        </is>
      </c>
      <c r="F161" t="inlineStr">
        <is>
          <t>technosphere</t>
        </is>
      </c>
      <c r="G161" t="inlineStr">
        <is>
          <t>activated carbon, granular</t>
        </is>
      </c>
      <c r="I161" t="n">
        <v>6170</v>
      </c>
      <c r="J161" s="11">
        <f>J157</f>
        <v>0.25829969747474352</v>
      </c>
      <c r="K161" t="n">
        <v>2</v>
      </c>
      <c r="L161" s="3">
        <f>LN(B161)</f>
        <v>-10.99737959887125</v>
      </c>
      <c r="M161" t="n">
        <v>1</v>
      </c>
      <c r="N161" t="n">
        <v>1</v>
      </c>
      <c r="O161" t="n">
        <v>1</v>
      </c>
      <c r="P161" t="n">
        <v>1.02</v>
      </c>
      <c r="Q161" t="n">
        <v>1.2</v>
      </c>
      <c r="R161" t="n">
        <v>1</v>
      </c>
      <c r="S161" t="n">
        <v>1.05</v>
      </c>
      <c r="T161">
        <f>LN(SQRT(EXP(
SQRT(
+POWER(LN(M161),2)
+POWER(LN(N161),2)
+POWER(LN(O161),2)
+POWER(LN(P161),2)
+POWER(LN(Q161),2)
+POWER(LN(R161),2)
+POWER(LN(S161),2)
)
)))</f>
        <v>9.4886477223156879E-2</v>
      </c>
    </row>
    <row r="162">
      <c r="A162" t="inlineStr">
        <is>
          <t>market for ammonia, anhydrous, liquid</t>
        </is>
      </c>
      <c r="B162">
        <f>unallocated!B55/'allocated (economic)'!I162*'allocated (economic)'!J162</f>
        <v>4.1026532175891188E-5</v>
      </c>
      <c r="C162" t="inlineStr">
        <is>
          <t>RER</t>
        </is>
      </c>
      <c r="D162" t="inlineStr">
        <is>
          <t>kilogram</t>
        </is>
      </c>
      <c r="F162" t="inlineStr">
        <is>
          <t>technosphere</t>
        </is>
      </c>
      <c r="G162" t="inlineStr">
        <is>
          <t>ammonia, anhydrous, liquid</t>
        </is>
      </c>
      <c r="H162" t="inlineStr">
        <is>
          <t>100% liquid ammonia. In original publication, it is dilluated to 23.5% in water. We discount the original value by 75%.</t>
        </is>
      </c>
      <c r="I162" t="n">
        <v>6170</v>
      </c>
      <c r="J162" s="11">
        <f>J157</f>
        <v>0.25829969747474352</v>
      </c>
      <c r="K162" t="n">
        <v>2</v>
      </c>
      <c r="L162" s="3">
        <f>LN(B162)</f>
        <v>-10.101291574314615</v>
      </c>
      <c r="M162" t="n">
        <v>1</v>
      </c>
      <c r="N162" t="n">
        <v>1</v>
      </c>
      <c r="O162" t="n">
        <v>1</v>
      </c>
      <c r="P162" t="n">
        <v>1.02</v>
      </c>
      <c r="Q162" t="n">
        <v>1.2</v>
      </c>
      <c r="R162" t="n">
        <v>1</v>
      </c>
      <c r="S162" t="n">
        <v>1.05</v>
      </c>
      <c r="T162">
        <f>LN(SQRT(EXP(
SQRT(
+POWER(LN(M162),2)
+POWER(LN(N162),2)
+POWER(LN(O162),2)
+POWER(LN(P162),2)
+POWER(LN(Q162),2)
+POWER(LN(R162),2)
+POWER(LN(S162),2)
)
)))</f>
        <v>9.4886477223156879E-2</v>
      </c>
    </row>
    <row r="163">
      <c r="A163" t="inlineStr">
        <is>
          <t>market for tap water</t>
        </is>
      </c>
      <c r="B163">
        <f>unallocated!B56/'allocated (economic)'!I163*'allocated (economic)'!J163</f>
        <v>1.2642870119509324E-4</v>
      </c>
      <c r="C163" t="inlineStr">
        <is>
          <t>Europe without Switzerland</t>
        </is>
      </c>
      <c r="D163" t="inlineStr">
        <is>
          <t>kilogram</t>
        </is>
      </c>
      <c r="F163" t="inlineStr">
        <is>
          <t>technosphere</t>
        </is>
      </c>
      <c r="G163" t="inlineStr">
        <is>
          <t>tap water</t>
        </is>
      </c>
      <c r="H163" t="inlineStr">
        <is>
          <t>Used to dilute the ammonia.</t>
        </is>
      </c>
      <c r="I163" t="n">
        <v>6170</v>
      </c>
      <c r="J163" s="11">
        <f>J157</f>
        <v>0.25829969747474352</v>
      </c>
      <c r="K163" t="n">
        <v>2</v>
      </c>
      <c r="L163" s="3">
        <f>LN(B163)</f>
        <v>-8.975832035610317</v>
      </c>
      <c r="M163" t="n">
        <v>1</v>
      </c>
      <c r="N163" t="n">
        <v>1</v>
      </c>
      <c r="O163" t="n">
        <v>1</v>
      </c>
      <c r="P163" t="n">
        <v>1.02</v>
      </c>
      <c r="Q163" t="n">
        <v>1.2</v>
      </c>
      <c r="R163" t="n">
        <v>1</v>
      </c>
      <c r="S163" t="n">
        <v>1.05</v>
      </c>
      <c r="T163">
        <f>LN(SQRT(EXP(
SQRT(
+POWER(LN(M163),2)
+POWER(LN(N163),2)
+POWER(LN(O163),2)
+POWER(LN(P163),2)
+POWER(LN(Q163),2)
+POWER(LN(R163),2)
+POWER(LN(S163),2)
)
)))</f>
        <v>9.4886477223156879E-2</v>
      </c>
    </row>
    <row r="164">
      <c r="A164" t="inlineStr">
        <is>
          <t>market for calcium carbonate, precipitated</t>
        </is>
      </c>
      <c r="B164">
        <f>unallocated!B57/'allocated (economic)'!I164*'allocated (economic)'!J164</f>
        <v>0</v>
      </c>
      <c r="C164" t="inlineStr">
        <is>
          <t>RER</t>
        </is>
      </c>
      <c r="D164" t="inlineStr">
        <is>
          <t>kilogram</t>
        </is>
      </c>
      <c r="F164" t="inlineStr">
        <is>
          <t>technosphere</t>
        </is>
      </c>
      <c r="G164" t="inlineStr">
        <is>
          <t>calcium carbonate, precipitated</t>
        </is>
      </c>
      <c r="I164" t="n">
        <v>6170</v>
      </c>
      <c r="J164" s="11">
        <f>J157</f>
        <v>0.25829969747474352</v>
      </c>
      <c r="K164" t="n">
        <v>0</v>
      </c>
      <c r="L164" s="3" t="n"/>
    </row>
    <row r="165">
      <c r="A165" t="inlineStr">
        <is>
          <t>market for iron(III) chloride, without water, in 40% solution state</t>
        </is>
      </c>
      <c r="B165">
        <f>unallocated!B58/'allocated (economic)'!I165*'allocated (economic)'!J165</f>
        <v>0</v>
      </c>
      <c r="C165" t="inlineStr">
        <is>
          <t>GLO</t>
        </is>
      </c>
      <c r="D165" t="inlineStr">
        <is>
          <t>kilogram</t>
        </is>
      </c>
      <c r="F165" t="inlineStr">
        <is>
          <t>technosphere</t>
        </is>
      </c>
      <c r="G165" t="inlineStr">
        <is>
          <t>iron(III) chloride, without water, in 40% solution state</t>
        </is>
      </c>
      <c r="I165" t="n">
        <v>6170</v>
      </c>
      <c r="J165" s="11">
        <f>J157</f>
        <v>0.25829969747474352</v>
      </c>
      <c r="K165" t="n">
        <v>0</v>
      </c>
      <c r="L165" s="3" t="n"/>
    </row>
    <row r="166">
      <c r="A166" t="inlineStr">
        <is>
          <t>market for lime, hydrated, packed</t>
        </is>
      </c>
      <c r="B166">
        <f>unallocated!B59/'allocated (economic)'!I166*'allocated (economic)'!J166</f>
        <v>4.605018917702072E-4</v>
      </c>
      <c r="C166" t="inlineStr">
        <is>
          <t>RER</t>
        </is>
      </c>
      <c r="D166" t="inlineStr">
        <is>
          <t>kilogram</t>
        </is>
      </c>
      <c r="F166" t="inlineStr">
        <is>
          <t>technosphere</t>
        </is>
      </c>
      <c r="G166" t="inlineStr">
        <is>
          <t>lime, hydrated, packed</t>
        </is>
      </c>
      <c r="I166" t="n">
        <v>6170</v>
      </c>
      <c r="J166" s="11">
        <f>J157</f>
        <v>0.25829969747474352</v>
      </c>
      <c r="K166" t="n">
        <v>2</v>
      </c>
      <c r="L166" s="3">
        <f>LN(B166)</f>
        <v>-7.6831935941987251</v>
      </c>
      <c r="M166" t="n">
        <v>1</v>
      </c>
      <c r="N166" t="n">
        <v>1</v>
      </c>
      <c r="O166" t="n">
        <v>1</v>
      </c>
      <c r="P166" t="n">
        <v>1.02</v>
      </c>
      <c r="Q166" t="n">
        <v>1.2</v>
      </c>
      <c r="R166" t="n">
        <v>1</v>
      </c>
      <c r="S166" t="n">
        <v>1.05</v>
      </c>
      <c r="T166">
        <f>LN(SQRT(EXP(
SQRT(
+POWER(LN(M166),2)
+POWER(LN(N166),2)
+POWER(LN(O166),2)
+POWER(LN(P166),2)
+POWER(LN(Q166),2)
+POWER(LN(R166),2)
+POWER(LN(S166),2)
)
)))</f>
        <v>9.4886477223156879E-2</v>
      </c>
    </row>
    <row r="167">
      <c r="A167" t="inlineStr">
        <is>
          <t>market for sodium hydroxide, without water, in 50% solution state</t>
        </is>
      </c>
      <c r="B167">
        <f>unallocated!B60/'allocated (economic)'!I167*'allocated (economic)'!J167</f>
        <v>0</v>
      </c>
      <c r="C167" t="inlineStr">
        <is>
          <t>RER</t>
        </is>
      </c>
      <c r="D167" t="inlineStr">
        <is>
          <t>kilogram</t>
        </is>
      </c>
      <c r="F167" t="inlineStr">
        <is>
          <t>technosphere</t>
        </is>
      </c>
      <c r="G167" t="inlineStr">
        <is>
          <t>sodium hydroxide, without water, in 50% solution state</t>
        </is>
      </c>
      <c r="H167" t="inlineStr">
        <is>
          <t>50% liquid ammonia. In original publication, it is dilluated to 27% in water. We discount the original value by 50%.</t>
        </is>
      </c>
      <c r="I167" t="n">
        <v>6170</v>
      </c>
      <c r="J167" s="11">
        <f>J157</f>
        <v>0.25829969747474352</v>
      </c>
      <c r="K167" t="n">
        <v>0</v>
      </c>
      <c r="L167" s="3" t="n"/>
    </row>
    <row r="168">
      <c r="A168" t="inlineStr">
        <is>
          <t>market for monoethanolamine</t>
        </is>
      </c>
      <c r="B168">
        <f>unallocated!B61/'allocated (economic)'!I168*'allocated (economic)'!J168</f>
        <v>0</v>
      </c>
      <c r="C168" t="inlineStr">
        <is>
          <t>GLO</t>
        </is>
      </c>
      <c r="D168" t="inlineStr">
        <is>
          <t>kilogram</t>
        </is>
      </c>
      <c r="F168" t="inlineStr">
        <is>
          <t>technosphere</t>
        </is>
      </c>
      <c r="G168" t="inlineStr">
        <is>
          <t>monoethanolamine</t>
        </is>
      </c>
      <c r="I168" t="n">
        <v>6170</v>
      </c>
      <c r="J168" s="11">
        <f>J157</f>
        <v>0.25829969747474352</v>
      </c>
      <c r="K168" t="n">
        <v>0</v>
      </c>
      <c r="L168" s="3" t="n"/>
    </row>
    <row r="169">
      <c r="A169" t="inlineStr">
        <is>
          <t>municipal waste incineration facility construction</t>
        </is>
      </c>
      <c r="B169" s="8">
        <f>unallocated!B62/'allocated (economic)'!I169*'allocated (economic)'!J169</f>
        <v>1.0465952085686528E-11</v>
      </c>
      <c r="C169" t="inlineStr">
        <is>
          <t>CH</t>
        </is>
      </c>
      <c r="D169" t="inlineStr">
        <is>
          <t>unit</t>
        </is>
      </c>
      <c r="F169" t="inlineStr">
        <is>
          <t>technosphere</t>
        </is>
      </c>
      <c r="G169" t="inlineStr">
        <is>
          <t>municipal waste incineration facility</t>
        </is>
      </c>
      <c r="H169" t="inlineStr">
        <is>
          <t>Lifetime: 4'000'000 tons MSWI treated.</t>
        </is>
      </c>
      <c r="I169" t="n">
        <v>6170</v>
      </c>
      <c r="J169" s="11">
        <f>J157</f>
        <v>0.25829969747474352</v>
      </c>
      <c r="K169" t="n">
        <v>2</v>
      </c>
      <c r="L169" s="3">
        <f>LN(B169)</f>
        <v>-25.28289378608126</v>
      </c>
      <c r="M169" t="n">
        <v>1</v>
      </c>
      <c r="N169" t="n">
        <v>1</v>
      </c>
      <c r="O169" t="n">
        <v>1</v>
      </c>
      <c r="P169" t="n">
        <v>1.02</v>
      </c>
      <c r="Q169" t="n">
        <v>1.2</v>
      </c>
      <c r="R169" t="n">
        <v>1</v>
      </c>
      <c r="S169" t="n">
        <v>3</v>
      </c>
      <c r="T169">
        <f>LN(SQRT(EXP(
SQRT(
+POWER(LN(M169),2)
+POWER(LN(N169),2)
+POWER(LN(O169),2)
+POWER(LN(P169),2)
+POWER(LN(Q169),2)
+POWER(LN(R169),2)
+POWER(LN(S169),2)
)
)))</f>
        <v>0.5569071410325479</v>
      </c>
    </row>
    <row r="170">
      <c r="A170" t="inlineStr">
        <is>
          <t>Water, cooling, unspecified natural origin</t>
        </is>
      </c>
      <c r="B170">
        <f>unallocated!B63/'allocated (economic)'!I170*'allocated (economic)'!J170</f>
        <v>6.2795712514119163E-6</v>
      </c>
      <c r="D170" t="inlineStr">
        <is>
          <t>cubic meter</t>
        </is>
      </c>
      <c r="E170" t="inlineStr">
        <is>
          <t>natural resource::in water</t>
        </is>
      </c>
      <c r="F170" t="inlineStr">
        <is>
          <t>biosphere</t>
        </is>
      </c>
      <c r="I170" t="n">
        <v>6170</v>
      </c>
      <c r="J170" s="11">
        <f>J157</f>
        <v>0.25829969747474352</v>
      </c>
      <c r="K170" t="n">
        <v>2</v>
      </c>
      <c r="L170" s="3">
        <f>LN(B170)</f>
        <v>-11.978208851882977</v>
      </c>
      <c r="M170" t="n">
        <v>1</v>
      </c>
      <c r="N170" t="n">
        <v>1</v>
      </c>
      <c r="O170" t="n">
        <v>1</v>
      </c>
      <c r="P170" t="n">
        <v>1.02</v>
      </c>
      <c r="Q170" t="n">
        <v>1.2</v>
      </c>
      <c r="R170" t="n">
        <v>1</v>
      </c>
      <c r="S170" t="n">
        <v>1.05</v>
      </c>
      <c r="T170">
        <f>LN(SQRT(EXP(
SQRT(
+POWER(LN(M170),2)
+POWER(LN(N170),2)
+POWER(LN(O170),2)
+POWER(LN(P170),2)
+POWER(LN(Q170),2)
+POWER(LN(R170),2)
+POWER(LN(S170),2)
)
)))</f>
        <v>9.4886477223156879E-2</v>
      </c>
    </row>
    <row r="171">
      <c r="A171" t="inlineStr">
        <is>
          <t>Sulfur dioxide</t>
        </is>
      </c>
      <c r="B171">
        <f>unallocated!B64/'allocated (economic)'!I171*'allocated (economic)'!J171</f>
        <v>4.7306103427303106E-6</v>
      </c>
      <c r="D171" t="inlineStr">
        <is>
          <t>kilogram</t>
        </is>
      </c>
      <c r="E171" t="inlineStr">
        <is>
          <t>air::urban air close to ground</t>
        </is>
      </c>
      <c r="F171" t="inlineStr">
        <is>
          <t>biosphere</t>
        </is>
      </c>
      <c r="I171" t="n">
        <v>6170</v>
      </c>
      <c r="J171" s="11">
        <f>J157</f>
        <v>0.25829969747474352</v>
      </c>
      <c r="K171" t="n">
        <v>2</v>
      </c>
      <c r="L171" s="3">
        <f>LN(B171)</f>
        <v>-12.261456327266892</v>
      </c>
      <c r="M171" t="n">
        <v>1</v>
      </c>
      <c r="N171" t="n">
        <v>1</v>
      </c>
      <c r="O171" t="n">
        <v>1</v>
      </c>
      <c r="P171" t="n">
        <v>1.02</v>
      </c>
      <c r="Q171" t="n">
        <v>1.2</v>
      </c>
      <c r="R171" t="n">
        <v>1</v>
      </c>
      <c r="S171" t="n">
        <v>1.05</v>
      </c>
      <c r="T171">
        <f>LN(SQRT(EXP(
SQRT(
+POWER(LN(M171),2)
+POWER(LN(N171),2)
+POWER(LN(O171),2)
+POWER(LN(P171),2)
+POWER(LN(Q171),2)
+POWER(LN(R171),2)
+POWER(LN(S171),2)
)
)))</f>
        <v>9.4886477223156879E-2</v>
      </c>
    </row>
    <row r="172">
      <c r="A172" t="inlineStr">
        <is>
          <t>Hydrochloric acid</t>
        </is>
      </c>
      <c r="B172">
        <f>unallocated!B65/'allocated (economic)'!I172*'allocated (economic)'!J172</f>
        <v>1.1721866335968913E-6</v>
      </c>
      <c r="D172" t="inlineStr">
        <is>
          <t>kilogram</t>
        </is>
      </c>
      <c r="E172" t="inlineStr">
        <is>
          <t>air</t>
        </is>
      </c>
      <c r="F172" t="inlineStr">
        <is>
          <t>biosphere</t>
        </is>
      </c>
      <c r="I172" t="n">
        <v>6170</v>
      </c>
      <c r="J172" s="11">
        <f>J157</f>
        <v>0.25829969747474352</v>
      </c>
      <c r="K172" t="n">
        <v>2</v>
      </c>
      <c r="L172" s="3">
        <f>LN(B172)</f>
        <v>-13.656639635804028</v>
      </c>
      <c r="M172" t="n">
        <v>1</v>
      </c>
      <c r="N172" t="n">
        <v>1</v>
      </c>
      <c r="O172" t="n">
        <v>1</v>
      </c>
      <c r="P172" t="n">
        <v>1.02</v>
      </c>
      <c r="Q172" t="n">
        <v>1.2</v>
      </c>
      <c r="R172" t="n">
        <v>1</v>
      </c>
      <c r="S172" t="n">
        <v>1.5</v>
      </c>
      <c r="T172">
        <f>LN(SQRT(EXP(
SQRT(
+POWER(LN(M172),2)
+POWER(LN(N172),2)
+POWER(LN(O172),2)
+POWER(LN(P172),2)
+POWER(LN(Q172),2)
+POWER(LN(R172),2)
+POWER(LN(S172),2)
)
)))</f>
        <v>0.22250575723605889</v>
      </c>
    </row>
    <row r="173">
      <c r="A173" t="inlineStr">
        <is>
          <t>Nitrogen oxides</t>
        </is>
      </c>
      <c r="B173">
        <f>unallocated!B66/'allocated (economic)'!I173*'allocated (economic)'!J173</f>
        <v>2.8341798248039123E-5</v>
      </c>
      <c r="D173" t="inlineStr">
        <is>
          <t>kilogram</t>
        </is>
      </c>
      <c r="E173" t="inlineStr">
        <is>
          <t>air::urban air close to ground</t>
        </is>
      </c>
      <c r="F173" t="inlineStr">
        <is>
          <t>biosphere</t>
        </is>
      </c>
      <c r="I173" t="n">
        <v>6170</v>
      </c>
      <c r="J173" s="11">
        <f>J157</f>
        <v>0.25829969747474352</v>
      </c>
      <c r="K173" t="n">
        <v>2</v>
      </c>
      <c r="L173" s="3">
        <f>LN(B173)</f>
        <v>-10.471172873066957</v>
      </c>
      <c r="M173" t="n">
        <v>1</v>
      </c>
      <c r="N173" t="n">
        <v>1</v>
      </c>
      <c r="O173" t="n">
        <v>1</v>
      </c>
      <c r="P173" t="n">
        <v>1.02</v>
      </c>
      <c r="Q173" t="n">
        <v>1.2</v>
      </c>
      <c r="R173" t="n">
        <v>1</v>
      </c>
      <c r="S173" t="n">
        <v>1.5</v>
      </c>
      <c r="T173">
        <f>LN(SQRT(EXP(
SQRT(
+POWER(LN(M173),2)
+POWER(LN(N173),2)
+POWER(LN(O173),2)
+POWER(LN(P173),2)
+POWER(LN(Q173),2)
+POWER(LN(R173),2)
+POWER(LN(S173),2)
)
)))</f>
        <v>0.22250575723605889</v>
      </c>
    </row>
    <row r="174">
      <c r="A174" t="inlineStr">
        <is>
          <t>Ammonia</t>
        </is>
      </c>
      <c r="B174">
        <f>unallocated!B67/'allocated (economic)'!I174*'allocated (economic)'!J174</f>
        <v>1.883871375423575E-6</v>
      </c>
      <c r="D174" t="inlineStr">
        <is>
          <t>kilogram</t>
        </is>
      </c>
      <c r="E174" t="inlineStr">
        <is>
          <t>air::urban air close to ground</t>
        </is>
      </c>
      <c r="F174" t="inlineStr">
        <is>
          <t>biosphere</t>
        </is>
      </c>
      <c r="I174" t="n">
        <v>6170</v>
      </c>
      <c r="J174" s="11">
        <f>J157</f>
        <v>0.25829969747474352</v>
      </c>
      <c r="K174" t="n">
        <v>2</v>
      </c>
      <c r="L174" s="3">
        <f>LN(B174)</f>
        <v>-13.182181656208913</v>
      </c>
      <c r="M174" t="n">
        <v>1</v>
      </c>
      <c r="N174" t="n">
        <v>1</v>
      </c>
      <c r="O174" t="n">
        <v>1</v>
      </c>
      <c r="P174" t="n">
        <v>1.02</v>
      </c>
      <c r="Q174" t="n">
        <v>1.2</v>
      </c>
      <c r="R174" t="n">
        <v>1</v>
      </c>
      <c r="S174" t="n">
        <v>1.5</v>
      </c>
      <c r="T174">
        <f>LN(SQRT(EXP(
SQRT(
+POWER(LN(M174),2)
+POWER(LN(N174),2)
+POWER(LN(O174),2)
+POWER(LN(P174),2)
+POWER(LN(Q174),2)
+POWER(LN(R174),2)
+POWER(LN(S174),2)
)
)))</f>
        <v>0.22250575723605889</v>
      </c>
    </row>
    <row r="175">
      <c r="A175" t="inlineStr">
        <is>
          <t>Particulate Matter, &lt; 2.5 um</t>
        </is>
      </c>
      <c r="B175">
        <f>unallocated!B68/'allocated (economic)'!I175*'allocated (economic)'!J175</f>
        <v>2.5118285005647668E-7</v>
      </c>
      <c r="D175" t="inlineStr">
        <is>
          <t>kilogram</t>
        </is>
      </c>
      <c r="E175" t="inlineStr">
        <is>
          <t>air::urban air close to ground</t>
        </is>
      </c>
      <c r="F175" t="inlineStr">
        <is>
          <t>biosphere</t>
        </is>
      </c>
      <c r="I175" t="n">
        <v>6170</v>
      </c>
      <c r="J175" s="11">
        <f>J157</f>
        <v>0.25829969747474352</v>
      </c>
      <c r="K175" t="n">
        <v>2</v>
      </c>
      <c r="L175" s="3">
        <f>LN(B175)</f>
        <v>-15.197084676751178</v>
      </c>
      <c r="M175" t="n">
        <v>1</v>
      </c>
      <c r="N175" t="n">
        <v>1</v>
      </c>
      <c r="O175" t="n">
        <v>1</v>
      </c>
      <c r="P175" t="n">
        <v>1.02</v>
      </c>
      <c r="Q175" t="n">
        <v>1.2</v>
      </c>
      <c r="R175" t="n">
        <v>1</v>
      </c>
      <c r="S175" t="n">
        <v>3</v>
      </c>
      <c r="T175">
        <f>LN(SQRT(EXP(
SQRT(
+POWER(LN(M175),2)
+POWER(LN(N175),2)
+POWER(LN(O175),2)
+POWER(LN(P175),2)
+POWER(LN(Q175),2)
+POWER(LN(R175),2)
+POWER(LN(S175),2)
)
)))</f>
        <v>0.5569071410325479</v>
      </c>
    </row>
    <row r="176">
      <c r="A176" t="inlineStr">
        <is>
          <t>Mercury II</t>
        </is>
      </c>
      <c r="B176">
        <f>unallocated!B69/'allocated (economic)'!I176*'allocated (economic)'!J176</f>
        <v>9.6286759188316065E-10</v>
      </c>
      <c r="D176" t="inlineStr">
        <is>
          <t>kilogram</t>
        </is>
      </c>
      <c r="E176" t="inlineStr">
        <is>
          <t>air::urban air close to ground</t>
        </is>
      </c>
      <c r="F176" t="inlineStr">
        <is>
          <t>biosphere</t>
        </is>
      </c>
      <c r="I176" t="n">
        <v>6170</v>
      </c>
      <c r="J176" s="11">
        <f>J157</f>
        <v>0.25829969747474352</v>
      </c>
      <c r="K176" t="n">
        <v>2</v>
      </c>
      <c r="L176" s="3">
        <f>LN(B176)</f>
        <v>-20.76110520903222</v>
      </c>
      <c r="M176" t="n">
        <v>1</v>
      </c>
      <c r="N176" t="n">
        <v>1</v>
      </c>
      <c r="O176" t="n">
        <v>1</v>
      </c>
      <c r="P176" t="n">
        <v>1.02</v>
      </c>
      <c r="Q176" t="n">
        <v>1.2</v>
      </c>
      <c r="R176" t="n">
        <v>1</v>
      </c>
      <c r="S176" t="n">
        <v>5</v>
      </c>
      <c r="T176">
        <f>LN(SQRT(EXP(
SQRT(
+POWER(LN(M176),2)
+POWER(LN(N176),2)
+POWER(LN(O176),2)
+POWER(LN(P176),2)
+POWER(LN(Q176),2)
+POWER(LN(R176),2)
+POWER(LN(S176),2)
)
)))</f>
        <v>0.80992649174166365</v>
      </c>
    </row>
    <row r="177">
      <c r="A177" t="inlineStr">
        <is>
          <t>Lead II</t>
        </is>
      </c>
      <c r="B177">
        <f>unallocated!B70/'allocated (economic)'!I177*'allocated (economic)'!J177</f>
        <v>2.3443732671937825E-9</v>
      </c>
      <c r="D177" t="inlineStr">
        <is>
          <t>kilogram</t>
        </is>
      </c>
      <c r="E177" t="inlineStr">
        <is>
          <t>air::urban air close to ground</t>
        </is>
      </c>
      <c r="F177" t="inlineStr">
        <is>
          <t>biosphere</t>
        </is>
      </c>
      <c r="I177" t="n">
        <v>6170</v>
      </c>
      <c r="J177" s="11">
        <f>J157</f>
        <v>0.25829969747474352</v>
      </c>
      <c r="K177" t="n">
        <v>2</v>
      </c>
      <c r="L177" s="3">
        <f>LN(B177)</f>
        <v>-19.87124773422622</v>
      </c>
      <c r="M177" t="n">
        <v>1</v>
      </c>
      <c r="N177" t="n">
        <v>1</v>
      </c>
      <c r="O177" t="n">
        <v>1</v>
      </c>
      <c r="P177" t="n">
        <v>1.02</v>
      </c>
      <c r="Q177" t="n">
        <v>1.2</v>
      </c>
      <c r="R177" t="n">
        <v>1</v>
      </c>
      <c r="S177" t="n">
        <v>5</v>
      </c>
      <c r="T177">
        <f>LN(SQRT(EXP(
SQRT(
+POWER(LN(M177),2)
+POWER(LN(N177),2)
+POWER(LN(O177),2)
+POWER(LN(P177),2)
+POWER(LN(Q177),2)
+POWER(LN(R177),2)
+POWER(LN(S177),2)
)
)))</f>
        <v>0.80992649174166365</v>
      </c>
    </row>
    <row r="178">
      <c r="A178" t="inlineStr">
        <is>
          <t>Cadmium II</t>
        </is>
      </c>
      <c r="B178">
        <f>unallocated!B71/'allocated (economic)'!I178*'allocated (economic)'!J178</f>
        <v>1.1721866335968912E-9</v>
      </c>
      <c r="D178" t="inlineStr">
        <is>
          <t>kilogram</t>
        </is>
      </c>
      <c r="E178" t="inlineStr">
        <is>
          <t>air::urban air close to ground</t>
        </is>
      </c>
      <c r="F178" t="inlineStr">
        <is>
          <t>biosphere</t>
        </is>
      </c>
      <c r="I178" t="n">
        <v>6170</v>
      </c>
      <c r="J178" s="11">
        <f>J157</f>
        <v>0.25829969747474352</v>
      </c>
      <c r="K178" t="n">
        <v>2</v>
      </c>
      <c r="L178" s="3">
        <f>LN(B178)</f>
        <v>-20.564394914786167</v>
      </c>
      <c r="M178" t="n">
        <v>1</v>
      </c>
      <c r="N178" t="n">
        <v>1</v>
      </c>
      <c r="O178" t="n">
        <v>1</v>
      </c>
      <c r="P178" t="n">
        <v>1.02</v>
      </c>
      <c r="Q178" t="n">
        <v>1.2</v>
      </c>
      <c r="R178" t="n">
        <v>1</v>
      </c>
      <c r="S178" t="n">
        <v>5</v>
      </c>
      <c r="T178">
        <f>LN(SQRT(EXP(
SQRT(
+POWER(LN(M178),2)
+POWER(LN(N178),2)
+POWER(LN(O178),2)
+POWER(LN(P178),2)
+POWER(LN(Q178),2)
+POWER(LN(R178),2)
+POWER(LN(S178),2)
)
)))</f>
        <v>0.80992649174166365</v>
      </c>
    </row>
    <row r="179">
      <c r="A179" t="inlineStr">
        <is>
          <t>Arsenic ion</t>
        </is>
      </c>
      <c r="B179">
        <f>unallocated!B72/'allocated (economic)'!I179*'allocated (economic)'!J179</f>
        <v>2.5118285005647667E-10</v>
      </c>
      <c r="D179" t="inlineStr">
        <is>
          <t>kilogram</t>
        </is>
      </c>
      <c r="E179" t="inlineStr">
        <is>
          <t>air::urban air close to ground</t>
        </is>
      </c>
      <c r="F179" t="inlineStr">
        <is>
          <t>biosphere</t>
        </is>
      </c>
      <c r="I179" t="n">
        <v>6170</v>
      </c>
      <c r="J179" s="11">
        <f>J157</f>
        <v>0.25829969747474352</v>
      </c>
      <c r="K179" t="n">
        <v>2</v>
      </c>
      <c r="L179" s="3">
        <f>LN(B179)</f>
        <v>-22.104839955733315</v>
      </c>
      <c r="M179" t="n">
        <v>1</v>
      </c>
      <c r="N179" t="n">
        <v>1</v>
      </c>
      <c r="O179" t="n">
        <v>1</v>
      </c>
      <c r="P179" t="n">
        <v>1.02</v>
      </c>
      <c r="Q179" t="n">
        <v>1.2</v>
      </c>
      <c r="R179" t="n">
        <v>1</v>
      </c>
      <c r="S179" t="n">
        <v>5</v>
      </c>
      <c r="T179">
        <f>LN(SQRT(EXP(
SQRT(
+POWER(LN(M179),2)
+POWER(LN(N179),2)
+POWER(LN(O179),2)
+POWER(LN(P179),2)
+POWER(LN(Q179),2)
+POWER(LN(R179),2)
+POWER(LN(S179),2)
)
)))</f>
        <v>0.80992649174166365</v>
      </c>
    </row>
    <row r="180">
      <c r="A180" t="inlineStr">
        <is>
          <t>Dioxins, measured as 2,3,7,8-tetrachlorodibenzo-p-dioxin</t>
        </is>
      </c>
      <c r="B180">
        <f>unallocated!B73/'allocated (economic)'!I180*'allocated (economic)'!J180</f>
        <v>4.6050189177020729E-15</v>
      </c>
      <c r="D180" t="inlineStr">
        <is>
          <t>kilogram</t>
        </is>
      </c>
      <c r="E180" t="inlineStr">
        <is>
          <t>air::urban air close to ground</t>
        </is>
      </c>
      <c r="F180" t="inlineStr">
        <is>
          <t>biosphere</t>
        </is>
      </c>
      <c r="I180" t="n">
        <v>6170</v>
      </c>
      <c r="J180" s="11">
        <f>J157</f>
        <v>0.25829969747474352</v>
      </c>
      <c r="K180" t="n">
        <v>2</v>
      </c>
      <c r="L180" s="3">
        <f>LN(B180)</f>
        <v>-33.011629617133224</v>
      </c>
      <c r="M180" t="n">
        <v>1</v>
      </c>
      <c r="N180" t="n">
        <v>1</v>
      </c>
      <c r="O180" t="n">
        <v>1</v>
      </c>
      <c r="P180" t="n">
        <v>1.02</v>
      </c>
      <c r="Q180" t="n">
        <v>1.2</v>
      </c>
      <c r="R180" t="n">
        <v>1</v>
      </c>
      <c r="S180" t="n">
        <v>5</v>
      </c>
      <c r="T180">
        <f>LN(SQRT(EXP(
SQRT(
+POWER(LN(M180),2)
+POWER(LN(N180),2)
+POWER(LN(O180),2)
+POWER(LN(P180),2)
+POWER(LN(Q180),2)
+POWER(LN(R180),2)
+POWER(LN(S180),2)
)
)))</f>
        <v>0.80992649174166365</v>
      </c>
    </row>
    <row r="181">
      <c r="A181" t="inlineStr">
        <is>
          <t>Carbon dioxide, fossil</t>
        </is>
      </c>
      <c r="B181">
        <f>unallocated!B74/'allocated (economic)'!I181*'allocated (economic)'!J181</f>
        <v>1.5657064320187045E-2</v>
      </c>
      <c r="D181" t="inlineStr">
        <is>
          <t>kilogram</t>
        </is>
      </c>
      <c r="E181" t="inlineStr">
        <is>
          <t>air::urban air close to ground</t>
        </is>
      </c>
      <c r="F181" t="inlineStr">
        <is>
          <t>biosphere</t>
        </is>
      </c>
      <c r="I181" t="n">
        <v>6170</v>
      </c>
      <c r="J181" s="11">
        <f>J157</f>
        <v>0.25829969747474352</v>
      </c>
      <c r="K181" t="n">
        <v>2</v>
      </c>
      <c r="L181" s="3">
        <f>LN(B181)</f>
        <v>-4.1568330695825635</v>
      </c>
      <c r="M181" t="n">
        <v>1</v>
      </c>
      <c r="N181" t="n">
        <v>1</v>
      </c>
      <c r="O181" t="n">
        <v>1</v>
      </c>
      <c r="P181" t="n">
        <v>1.02</v>
      </c>
      <c r="Q181" t="n">
        <v>1.2</v>
      </c>
      <c r="R181" t="n">
        <v>1</v>
      </c>
      <c r="S181" t="n">
        <v>1.05</v>
      </c>
      <c r="T181">
        <f>LN(SQRT(EXP(
SQRT(
+POWER(LN(M181),2)
+POWER(LN(N181),2)
+POWER(LN(O181),2)
+POWER(LN(P181),2)
+POWER(LN(Q181),2)
+POWER(LN(R181),2)
+POWER(LN(S181),2)
)
)))</f>
        <v>9.4886477223156879E-2</v>
      </c>
    </row>
    <row r="182">
      <c r="A182" t="inlineStr">
        <is>
          <t>Carbon dioxide, non-fossil</t>
        </is>
      </c>
      <c r="B182">
        <f>unallocated!B75/'allocated (economic)'!I182*'allocated (economic)'!J182</f>
        <v>2.4867102155591191E-2</v>
      </c>
      <c r="D182" t="inlineStr">
        <is>
          <t>kilogram</t>
        </is>
      </c>
      <c r="E182" t="inlineStr">
        <is>
          <t>air::urban air close to ground</t>
        </is>
      </c>
      <c r="F182" t="inlineStr">
        <is>
          <t>biosphere</t>
        </is>
      </c>
      <c r="I182" t="n">
        <v>6170</v>
      </c>
      <c r="J182" s="11">
        <f>J157</f>
        <v>0.25829969747474352</v>
      </c>
      <c r="K182" t="n">
        <v>2</v>
      </c>
      <c r="L182" s="3">
        <f>LN(B182)</f>
        <v>-3.6942095476344505</v>
      </c>
      <c r="M182" t="n">
        <v>1</v>
      </c>
      <c r="N182" t="n">
        <v>1</v>
      </c>
      <c r="O182" t="n">
        <v>1</v>
      </c>
      <c r="P182" t="n">
        <v>1.02</v>
      </c>
      <c r="Q182" t="n">
        <v>1.2</v>
      </c>
      <c r="R182" t="n">
        <v>1</v>
      </c>
      <c r="S182" t="n">
        <v>1.05</v>
      </c>
      <c r="T182">
        <f>LN(SQRT(EXP(
SQRT(
+POWER(LN(M182),2)
+POWER(LN(N182),2)
+POWER(LN(O182),2)
+POWER(LN(P182),2)
+POWER(LN(Q182),2)
+POWER(LN(R182),2)
+POWER(LN(S182),2)
)
)))</f>
        <v>9.4886477223156879E-2</v>
      </c>
    </row>
    <row r="183"/>
    <row r="184">
      <c r="A184" s="1" t="inlineStr">
        <is>
          <t>Activity</t>
        </is>
      </c>
      <c r="B184" s="1" t="inlineStr">
        <is>
          <t>municipal waste incineration, at incineration plant, with semi-dry air pollution control, with flue gas condensation, with electricity and heat recovery, economic allocation</t>
        </is>
      </c>
    </row>
    <row r="185">
      <c r="A185" t="inlineStr">
        <is>
          <t>location</t>
        </is>
      </c>
      <c r="B185" t="inlineStr">
        <is>
          <t>RER</t>
        </is>
      </c>
    </row>
    <row r="186">
      <c r="A186" t="inlineStr">
        <is>
          <t>production amount</t>
        </is>
      </c>
      <c r="B186" t="n">
        <v>1</v>
      </c>
    </row>
    <row r="187">
      <c r="A187" s="2" t="inlineStr">
        <is>
          <t>source</t>
        </is>
      </c>
      <c r="B187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188">
      <c r="A188" t="inlineStr">
        <is>
          <t>reference product</t>
        </is>
      </c>
      <c r="B188" t="inlineStr">
        <is>
          <t>municipal solid waste</t>
        </is>
      </c>
    </row>
    <row r="189">
      <c r="A189" t="inlineStr">
        <is>
          <t>type</t>
        </is>
      </c>
      <c r="B189" t="inlineStr">
        <is>
          <t>process</t>
        </is>
      </c>
    </row>
    <row r="190">
      <c r="A190" t="inlineStr">
        <is>
          <t>unit</t>
        </is>
      </c>
      <c r="B190" t="inlineStr">
        <is>
          <t>kilogram</t>
        </is>
      </c>
    </row>
    <row r="191">
      <c r="A191" t="inlineStr">
        <is>
          <t>comment</t>
        </is>
      </c>
      <c r="B191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623 kWh. Heat production per ton MSWI incinerated: 7'860 MJ.</t>
        </is>
      </c>
    </row>
    <row r="192">
      <c r="A192" s="1" t="inlineStr">
        <is>
          <t>Exchanges</t>
        </is>
      </c>
    </row>
    <row r="193">
      <c r="A193" s="7" t="inlineStr">
        <is>
          <t>name</t>
        </is>
      </c>
      <c r="B193" s="7" t="inlineStr">
        <is>
          <t>amount</t>
        </is>
      </c>
      <c r="C193" s="7" t="inlineStr">
        <is>
          <t>location</t>
        </is>
      </c>
      <c r="D193" s="7" t="inlineStr">
        <is>
          <t>unit</t>
        </is>
      </c>
      <c r="E193" s="7" t="inlineStr">
        <is>
          <t>categories</t>
        </is>
      </c>
      <c r="F193" s="7" t="inlineStr">
        <is>
          <t>type</t>
        </is>
      </c>
      <c r="G193" s="7" t="inlineStr">
        <is>
          <t>reference product</t>
        </is>
      </c>
      <c r="H193" s="7" t="inlineStr">
        <is>
          <t>comment</t>
        </is>
      </c>
      <c r="I193" s="7" t="inlineStr">
        <is>
          <t>normalization</t>
        </is>
      </c>
      <c r="J193" s="7" t="inlineStr">
        <is>
          <t>allocation</t>
        </is>
      </c>
      <c r="K193" s="7" t="inlineStr">
        <is>
          <t>uncertainty type</t>
        </is>
      </c>
      <c r="L193" s="7" t="inlineStr">
        <is>
          <t>loc</t>
        </is>
      </c>
      <c r="M193" s="1" t="inlineStr">
        <is>
          <t>u1</t>
        </is>
      </c>
      <c r="N193" s="1" t="inlineStr">
        <is>
          <t>u2</t>
        </is>
      </c>
      <c r="O193" s="1" t="inlineStr">
        <is>
          <t>u3</t>
        </is>
      </c>
      <c r="P193" s="1" t="inlineStr">
        <is>
          <t>u4</t>
        </is>
      </c>
      <c r="Q193" s="1" t="inlineStr">
        <is>
          <t>u5</t>
        </is>
      </c>
      <c r="R193" s="1" t="inlineStr">
        <is>
          <t>u6</t>
        </is>
      </c>
      <c r="S193" s="1" t="inlineStr">
        <is>
          <t>ub</t>
        </is>
      </c>
      <c r="T193" s="1" t="inlineStr">
        <is>
          <t>scale</t>
        </is>
      </c>
      <c r="U193" s="1" t="inlineStr">
        <is>
          <t>negative</t>
        </is>
      </c>
    </row>
    <row r="194">
      <c r="A194" t="inlineStr">
        <is>
          <t>municipal waste incineration, at incineration plant, with semi-dry air pollution control, with flue gas condensation, with electricity and heat recovery, economic allocation</t>
        </is>
      </c>
      <c r="B194" t="n">
        <v>1</v>
      </c>
      <c r="C194" t="inlineStr">
        <is>
          <t>RER</t>
        </is>
      </c>
      <c r="D194" t="inlineStr">
        <is>
          <t>kilogram</t>
        </is>
      </c>
      <c r="F194" t="inlineStr">
        <is>
          <t>production</t>
        </is>
      </c>
      <c r="G194" t="inlineStr">
        <is>
          <t>municipal solid waste</t>
        </is>
      </c>
      <c r="H194" t="inlineStr"/>
      <c r="I194" t="n">
        <v>1000</v>
      </c>
      <c r="J194" s="14">
        <f>INDEX('allocation keys'!$L$4:$N30,MATCH('allocated (economic)'!$B$184,'allocation keys'!$B$4:$B$28,0),MATCH('allocated (economic)'!$B$188,'allocation keys'!$L$3:$N$3,0))</f>
        <v>0.45991335825767021</v>
      </c>
      <c r="K194" t="n">
        <v>0</v>
      </c>
      <c r="M194" s="5" t="n"/>
      <c r="N194" s="5" t="n"/>
      <c r="O194" s="5" t="n"/>
      <c r="P194" s="5" t="n"/>
      <c r="Q194" s="5" t="n"/>
      <c r="R194" s="5" t="n"/>
    </row>
    <row r="195">
      <c r="A195" t="inlineStr">
        <is>
          <t>municipal waste incineration, at incineration plant, with semi-dry air pollution control, with flue gas condensation, with electricity and heat recovery, economic allocation</t>
        </is>
      </c>
      <c r="B195" s="6" t="n">
        <v>0</v>
      </c>
      <c r="C195" t="inlineStr">
        <is>
          <t>RER</t>
        </is>
      </c>
      <c r="D195" t="inlineStr">
        <is>
          <t>kilowatt hour</t>
        </is>
      </c>
      <c r="F195" t="inlineStr">
        <is>
          <t>technosphere</t>
        </is>
      </c>
      <c r="G195" t="inlineStr">
        <is>
          <t>electricity, medium voltage</t>
        </is>
      </c>
      <c r="H195" t="inlineStr"/>
      <c r="I195" t="n">
        <v>1000</v>
      </c>
      <c r="J195" s="11">
        <f>J194</f>
        <v>0.45991335825767021</v>
      </c>
      <c r="K195" t="n">
        <v>0</v>
      </c>
      <c r="L195" s="3" t="n"/>
    </row>
    <row r="196">
      <c r="A196" t="inlineStr">
        <is>
          <t>municipal waste incineration, at incineration plant, with semi-dry air pollution control, with flue gas condensation, with electricity and heat recovery, economic allocation</t>
        </is>
      </c>
      <c r="B196" t="n">
        <v>0</v>
      </c>
      <c r="C196" t="inlineStr">
        <is>
          <t>RER</t>
        </is>
      </c>
      <c r="D196" t="inlineStr">
        <is>
          <t>megajoule</t>
        </is>
      </c>
      <c r="F196" t="inlineStr">
        <is>
          <t>technosphere</t>
        </is>
      </c>
      <c r="G196" t="inlineStr">
        <is>
          <t>heat, district or industrial, other than natural gas</t>
        </is>
      </c>
      <c r="H196" t="inlineStr"/>
      <c r="I196" t="n">
        <v>1000</v>
      </c>
      <c r="J196" s="11">
        <f>J194</f>
        <v>0.45991335825767021</v>
      </c>
      <c r="K196" t="n">
        <v>0</v>
      </c>
      <c r="L196" s="3" t="n"/>
    </row>
    <row r="197">
      <c r="A197" t="inlineStr">
        <is>
          <t>market for diesel, low-sulfur</t>
        </is>
      </c>
      <c r="B197">
        <f>unallocated!B90/I197*J197</f>
        <v>3.9092635451901972E-5</v>
      </c>
      <c r="C197" t="inlineStr">
        <is>
          <t>Europe without Switzerland</t>
        </is>
      </c>
      <c r="D197" t="inlineStr">
        <is>
          <t>kilogram</t>
        </is>
      </c>
      <c r="F197" t="inlineStr">
        <is>
          <t>technosphere</t>
        </is>
      </c>
      <c r="G197" t="inlineStr">
        <is>
          <t>diesel, low-sulfur</t>
        </is>
      </c>
      <c r="H197" t="inlineStr">
        <is>
          <t>Diesel density: 0.85 kg/l</t>
        </is>
      </c>
      <c r="I197" t="n">
        <v>1000</v>
      </c>
      <c r="J197" s="11">
        <f>J194</f>
        <v>0.45991335825767021</v>
      </c>
      <c r="K197" t="n">
        <v>2</v>
      </c>
      <c r="L197" s="3">
        <f>LN(B197)</f>
        <v>-10.149576460327108</v>
      </c>
      <c r="M197" t="n">
        <v>1</v>
      </c>
      <c r="N197" t="n">
        <v>1</v>
      </c>
      <c r="O197" t="n">
        <v>1</v>
      </c>
      <c r="P197" t="n">
        <v>1.02</v>
      </c>
      <c r="Q197" t="n">
        <v>1.2</v>
      </c>
      <c r="R197" t="n">
        <v>1</v>
      </c>
      <c r="S197" t="n">
        <v>1.05</v>
      </c>
      <c r="T197">
        <f>LN(SQRT(EXP(
SQRT(
+POWER(LN(M197),2)
+POWER(LN(N197),2)
+POWER(LN(O197),2)
+POWER(LN(P197),2)
+POWER(LN(Q197),2)
+POWER(LN(R197),2)
+POWER(LN(S197),2)
)
)))</f>
        <v>9.4886477223156879E-2</v>
      </c>
    </row>
    <row r="198">
      <c r="A198" t="inlineStr">
        <is>
          <t>market for activated carbon, granular</t>
        </is>
      </c>
      <c r="B198">
        <f>unallocated!B91/I198*J198</f>
        <v>1.8396534330306809E-4</v>
      </c>
      <c r="C198" t="inlineStr">
        <is>
          <t>GLO</t>
        </is>
      </c>
      <c r="D198" t="inlineStr">
        <is>
          <t>kilogram</t>
        </is>
      </c>
      <c r="F198" t="inlineStr">
        <is>
          <t>technosphere</t>
        </is>
      </c>
      <c r="G198" t="inlineStr">
        <is>
          <t>activated carbon, granular</t>
        </is>
      </c>
      <c r="I198" t="n">
        <v>1000</v>
      </c>
      <c r="J198" s="11">
        <f>J194</f>
        <v>0.45991335825767021</v>
      </c>
      <c r="K198" t="n">
        <v>2</v>
      </c>
      <c r="L198" s="3">
        <f>LN(B198)</f>
        <v>-8.6007631697094418</v>
      </c>
      <c r="M198" t="n">
        <v>1</v>
      </c>
      <c r="N198" t="n">
        <v>1</v>
      </c>
      <c r="O198" t="n">
        <v>1</v>
      </c>
      <c r="P198" t="n">
        <v>1.02</v>
      </c>
      <c r="Q198" t="n">
        <v>1.2</v>
      </c>
      <c r="R198" t="n">
        <v>1</v>
      </c>
      <c r="S198" t="n">
        <v>1.05</v>
      </c>
      <c r="T198">
        <f>LN(SQRT(EXP(
SQRT(
+POWER(LN(M198),2)
+POWER(LN(N198),2)
+POWER(LN(O198),2)
+POWER(LN(P198),2)
+POWER(LN(Q198),2)
+POWER(LN(R198),2)
+POWER(LN(S198),2)
)
)))</f>
        <v>9.4886477223156879E-2</v>
      </c>
    </row>
    <row r="199">
      <c r="A199" t="inlineStr">
        <is>
          <t>market for ammonia, anhydrous, liquid</t>
        </is>
      </c>
      <c r="B199">
        <f>unallocated!B92/I199*J199</f>
        <v>4.507150910925168E-4</v>
      </c>
      <c r="C199" t="inlineStr">
        <is>
          <t>RER</t>
        </is>
      </c>
      <c r="D199" t="inlineStr">
        <is>
          <t>kilogram</t>
        </is>
      </c>
      <c r="F199" t="inlineStr">
        <is>
          <t>technosphere</t>
        </is>
      </c>
      <c r="G199" t="inlineStr">
        <is>
          <t>ammonia, anhydrous, liquid</t>
        </is>
      </c>
      <c r="H199" t="inlineStr">
        <is>
          <t>100% liquid ammonia. In original publication, it is dilluated to 23.5% in water. We discount the original value by 75%.</t>
        </is>
      </c>
      <c r="I199" t="n">
        <v>1000</v>
      </c>
      <c r="J199" s="11">
        <f>J194</f>
        <v>0.45991335825767021</v>
      </c>
      <c r="K199" t="n">
        <v>2</v>
      </c>
      <c r="L199" s="3">
        <f>LN(B199)</f>
        <v>-7.7046751451528062</v>
      </c>
      <c r="M199" t="n">
        <v>1</v>
      </c>
      <c r="N199" t="n">
        <v>1</v>
      </c>
      <c r="O199" t="n">
        <v>1</v>
      </c>
      <c r="P199" t="n">
        <v>1.02</v>
      </c>
      <c r="Q199" t="n">
        <v>1.2</v>
      </c>
      <c r="R199" t="n">
        <v>1</v>
      </c>
      <c r="S199" t="n">
        <v>1.05</v>
      </c>
      <c r="T199">
        <f>LN(SQRT(EXP(
SQRT(
+POWER(LN(M199),2)
+POWER(LN(N199),2)
+POWER(LN(O199),2)
+POWER(LN(P199),2)
+POWER(LN(Q199),2)
+POWER(LN(R199),2)
+POWER(LN(S199),2)
)
)))</f>
        <v>9.4886477223156879E-2</v>
      </c>
    </row>
    <row r="200">
      <c r="A200" t="inlineStr">
        <is>
          <t>market for tap water</t>
        </is>
      </c>
      <c r="B200">
        <f>unallocated!B93/I200*J200</f>
        <v>1.3889383419381641E-3</v>
      </c>
      <c r="C200" t="inlineStr">
        <is>
          <t>Europe without Switzerland</t>
        </is>
      </c>
      <c r="D200" t="inlineStr">
        <is>
          <t>kilogram</t>
        </is>
      </c>
      <c r="F200" t="inlineStr">
        <is>
          <t>technosphere</t>
        </is>
      </c>
      <c r="G200" t="inlineStr">
        <is>
          <t>tap water</t>
        </is>
      </c>
      <c r="H200" t="inlineStr">
        <is>
          <t>Used to dilute the ammonia.</t>
        </is>
      </c>
      <c r="I200" t="n">
        <v>1000</v>
      </c>
      <c r="J200" s="11">
        <f>J194</f>
        <v>0.45991335825767021</v>
      </c>
      <c r="K200" t="n">
        <v>2</v>
      </c>
      <c r="L200" s="3">
        <f>LN(B200)</f>
        <v>-6.5792156064485088</v>
      </c>
      <c r="M200" t="n">
        <v>1</v>
      </c>
      <c r="N200" t="n">
        <v>1</v>
      </c>
      <c r="O200" t="n">
        <v>1</v>
      </c>
      <c r="P200" t="n">
        <v>1.02</v>
      </c>
      <c r="Q200" t="n">
        <v>1.2</v>
      </c>
      <c r="R200" t="n">
        <v>1</v>
      </c>
      <c r="S200" t="n">
        <v>1.05</v>
      </c>
      <c r="T200">
        <f>LN(SQRT(EXP(
SQRT(
+POWER(LN(M200),2)
+POWER(LN(N200),2)
+POWER(LN(O200),2)
+POWER(LN(P200),2)
+POWER(LN(Q200),2)
+POWER(LN(R200),2)
+POWER(LN(S200),2)
)
)))</f>
        <v>9.4886477223156879E-2</v>
      </c>
    </row>
    <row r="201">
      <c r="A201" t="inlineStr">
        <is>
          <t>market for calcium carbonate, precipitated</t>
        </is>
      </c>
      <c r="B201">
        <f>unallocated!B94/I201*J201</f>
        <v>0</v>
      </c>
      <c r="C201" t="inlineStr">
        <is>
          <t>RER</t>
        </is>
      </c>
      <c r="D201" t="inlineStr">
        <is>
          <t>kilogram</t>
        </is>
      </c>
      <c r="F201" t="inlineStr">
        <is>
          <t>technosphere</t>
        </is>
      </c>
      <c r="G201" t="inlineStr">
        <is>
          <t>calcium carbonate, precipitated</t>
        </is>
      </c>
      <c r="I201" t="n">
        <v>1000</v>
      </c>
      <c r="J201" s="11">
        <f>J194</f>
        <v>0.45991335825767021</v>
      </c>
      <c r="K201" t="n">
        <v>0</v>
      </c>
      <c r="L201" s="3" t="n"/>
    </row>
    <row r="202">
      <c r="A202" t="inlineStr">
        <is>
          <t>market for iron(III) chloride, without water, in 40% solution state</t>
        </is>
      </c>
      <c r="B202">
        <f>unallocated!B95/I202*J202</f>
        <v>0</v>
      </c>
      <c r="C202" t="inlineStr">
        <is>
          <t>GLO</t>
        </is>
      </c>
      <c r="D202" t="inlineStr">
        <is>
          <t>kilogram</t>
        </is>
      </c>
      <c r="F202" t="inlineStr">
        <is>
          <t>technosphere</t>
        </is>
      </c>
      <c r="G202" t="inlineStr">
        <is>
          <t>iron(III) chloride, without water, in 40% solution state</t>
        </is>
      </c>
      <c r="I202" t="n">
        <v>1000</v>
      </c>
      <c r="J202" s="11">
        <f>J194</f>
        <v>0.45991335825767021</v>
      </c>
      <c r="K202" t="n">
        <v>0</v>
      </c>
      <c r="L202" s="3" t="n"/>
    </row>
    <row r="203">
      <c r="A203" t="inlineStr">
        <is>
          <t>market for lime, hydrated, packed</t>
        </is>
      </c>
      <c r="B203">
        <f>unallocated!B96/I203*J203</f>
        <v>4.5991335825767022E-3</v>
      </c>
      <c r="C203" t="inlineStr">
        <is>
          <t>RER</t>
        </is>
      </c>
      <c r="D203" t="inlineStr">
        <is>
          <t>kilogram</t>
        </is>
      </c>
      <c r="F203" t="inlineStr">
        <is>
          <t>technosphere</t>
        </is>
      </c>
      <c r="G203" t="inlineStr">
        <is>
          <t>lime, hydrated, packed</t>
        </is>
      </c>
      <c r="I203" t="n">
        <v>1000</v>
      </c>
      <c r="J203" s="11">
        <f>J194</f>
        <v>0.45991335825767021</v>
      </c>
      <c r="K203" t="n">
        <v>2</v>
      </c>
      <c r="L203" s="3">
        <f>LN(B203)</f>
        <v>-5.3818873448412408</v>
      </c>
      <c r="M203" t="n">
        <v>1</v>
      </c>
      <c r="N203" t="n">
        <v>1</v>
      </c>
      <c r="O203" t="n">
        <v>1</v>
      </c>
      <c r="P203" t="n">
        <v>1.02</v>
      </c>
      <c r="Q203" t="n">
        <v>1.2</v>
      </c>
      <c r="R203" t="n">
        <v>1</v>
      </c>
      <c r="S203" t="n">
        <v>1.05</v>
      </c>
      <c r="T203">
        <f>LN(SQRT(EXP(
SQRT(
+POWER(LN(M203),2)
+POWER(LN(N203),2)
+POWER(LN(O203),2)
+POWER(LN(P203),2)
+POWER(LN(Q203),2)
+POWER(LN(R203),2)
+POWER(LN(S203),2)
)
)))</f>
        <v>9.4886477223156879E-2</v>
      </c>
    </row>
    <row r="204">
      <c r="A204" t="inlineStr">
        <is>
          <t>market for sodium hydroxide, without water, in 50% solution state</t>
        </is>
      </c>
      <c r="B204">
        <f>unallocated!B97/I204*J204</f>
        <v>1.1497833956441755E-4</v>
      </c>
      <c r="C204" t="inlineStr">
        <is>
          <t>RER</t>
        </is>
      </c>
      <c r="D204" t="inlineStr">
        <is>
          <t>kilogram</t>
        </is>
      </c>
      <c r="F204" t="inlineStr">
        <is>
          <t>technosphere</t>
        </is>
      </c>
      <c r="G204" t="inlineStr">
        <is>
          <t>sodium hydroxide, without water, in 50% solution state</t>
        </is>
      </c>
      <c r="H204" t="inlineStr">
        <is>
          <t>50% liquid ammonia. In original publication, it is dilluated to 27% in water. We discount the original value by 50%.</t>
        </is>
      </c>
      <c r="I204" t="n">
        <v>1000</v>
      </c>
      <c r="J204" s="11">
        <f>J194</f>
        <v>0.45991335825767021</v>
      </c>
      <c r="K204" t="n">
        <v>0</v>
      </c>
      <c r="L204" s="3" t="n"/>
    </row>
    <row r="205">
      <c r="A205" t="inlineStr">
        <is>
          <t>market for monoethanolamine</t>
        </is>
      </c>
      <c r="B205">
        <f>unallocated!B98/I205*J205</f>
        <v>0</v>
      </c>
      <c r="C205" t="inlineStr">
        <is>
          <t>GLO</t>
        </is>
      </c>
      <c r="D205" t="inlineStr">
        <is>
          <t>kilogram</t>
        </is>
      </c>
      <c r="F205" t="inlineStr">
        <is>
          <t>technosphere</t>
        </is>
      </c>
      <c r="G205" t="inlineStr">
        <is>
          <t>monoethanolamine</t>
        </is>
      </c>
      <c r="I205" t="n">
        <v>1000</v>
      </c>
      <c r="J205" s="11">
        <f>J194</f>
        <v>0.45991335825767021</v>
      </c>
      <c r="K205" t="n">
        <v>0</v>
      </c>
      <c r="L205" s="3" t="n"/>
    </row>
    <row r="206">
      <c r="A206" t="inlineStr">
        <is>
          <t>municipal waste incineration facility construction</t>
        </is>
      </c>
      <c r="B206">
        <f>unallocated!B99/I206*J206</f>
        <v>1.1497833956441753E-10</v>
      </c>
      <c r="C206" t="inlineStr">
        <is>
          <t>CH</t>
        </is>
      </c>
      <c r="D206" t="inlineStr">
        <is>
          <t>unit</t>
        </is>
      </c>
      <c r="F206" t="inlineStr">
        <is>
          <t>technosphere</t>
        </is>
      </c>
      <c r="G206" t="inlineStr">
        <is>
          <t>municipal waste incineration facility</t>
        </is>
      </c>
      <c r="H206" t="inlineStr">
        <is>
          <t>Lifetime: 4'000'000 tons MSWI treated.</t>
        </is>
      </c>
      <c r="I206" t="n">
        <v>1000</v>
      </c>
      <c r="J206" s="11">
        <f>J194</f>
        <v>0.45991335825767021</v>
      </c>
      <c r="K206" t="n">
        <v>2</v>
      </c>
      <c r="L206" s="3">
        <f>LN(B206)</f>
        <v>-22.88627735691945</v>
      </c>
      <c r="M206" t="n">
        <v>1</v>
      </c>
      <c r="N206" t="n">
        <v>1</v>
      </c>
      <c r="O206" t="n">
        <v>1</v>
      </c>
      <c r="P206" t="n">
        <v>1.02</v>
      </c>
      <c r="Q206" t="n">
        <v>1.2</v>
      </c>
      <c r="R206" t="n">
        <v>1</v>
      </c>
      <c r="S206" t="n">
        <v>3</v>
      </c>
      <c r="T206">
        <f>LN(SQRT(EXP(
SQRT(
+POWER(LN(M206),2)
+POWER(LN(N206),2)
+POWER(LN(O206),2)
+POWER(LN(P206),2)
+POWER(LN(Q206),2)
+POWER(LN(R206),2)
+POWER(LN(S206),2)
)
)))</f>
        <v>0.5569071410325479</v>
      </c>
    </row>
    <row r="207">
      <c r="A207" t="inlineStr">
        <is>
          <t>Water, cooling, unspecified natural origin</t>
        </is>
      </c>
      <c r="B207">
        <f>unallocated!B100/I207*J207</f>
        <v>0</v>
      </c>
      <c r="D207" t="inlineStr">
        <is>
          <t>cubic meter</t>
        </is>
      </c>
      <c r="E207" t="inlineStr">
        <is>
          <t>natural resource::in water</t>
        </is>
      </c>
      <c r="F207" t="inlineStr">
        <is>
          <t>biosphere</t>
        </is>
      </c>
      <c r="I207" t="n">
        <v>1000</v>
      </c>
      <c r="J207" s="11">
        <f>J194</f>
        <v>0.45991335825767021</v>
      </c>
      <c r="K207" t="n">
        <v>0</v>
      </c>
      <c r="L207" s="3" t="n"/>
    </row>
    <row r="208">
      <c r="A208" t="inlineStr">
        <is>
          <t>Sulfur dioxide</t>
        </is>
      </c>
      <c r="B208">
        <f>unallocated!B101/I208*J208</f>
        <v>2.7594801495460215E-6</v>
      </c>
      <c r="D208" t="inlineStr">
        <is>
          <t>kilogram</t>
        </is>
      </c>
      <c r="E208" t="inlineStr">
        <is>
          <t>air::urban air close to ground</t>
        </is>
      </c>
      <c r="F208" t="inlineStr">
        <is>
          <t>biosphere</t>
        </is>
      </c>
      <c r="I208" t="n">
        <v>1000</v>
      </c>
      <c r="J208" s="11">
        <f>J194</f>
        <v>0.45991335825767021</v>
      </c>
      <c r="K208" t="n">
        <v>2</v>
      </c>
      <c r="L208" s="3">
        <f>LN(B208)</f>
        <v>-12.800468247589368</v>
      </c>
      <c r="M208" t="n">
        <v>1</v>
      </c>
      <c r="N208" t="n">
        <v>1</v>
      </c>
      <c r="O208" t="n">
        <v>1</v>
      </c>
      <c r="P208" t="n">
        <v>1.02</v>
      </c>
      <c r="Q208" t="n">
        <v>1.2</v>
      </c>
      <c r="R208" t="n">
        <v>1</v>
      </c>
      <c r="S208" t="n">
        <v>1.05</v>
      </c>
      <c r="T208">
        <f>LN(SQRT(EXP(
SQRT(
+POWER(LN(M208),2)
+POWER(LN(N208),2)
+POWER(LN(O208),2)
+POWER(LN(P208),2)
+POWER(LN(Q208),2)
+POWER(LN(R208),2)
+POWER(LN(S208),2)
)
)))</f>
        <v>9.4886477223156879E-2</v>
      </c>
    </row>
    <row r="209">
      <c r="A209" t="inlineStr">
        <is>
          <t>Hydrochloric acid</t>
        </is>
      </c>
      <c r="B209">
        <f>unallocated!B102/I209*J209</f>
        <v>1.3797400747730107E-6</v>
      </c>
      <c r="D209" t="inlineStr">
        <is>
          <t>kilogram</t>
        </is>
      </c>
      <c r="E209" t="inlineStr">
        <is>
          <t>air</t>
        </is>
      </c>
      <c r="F209" t="inlineStr">
        <is>
          <t>biosphere</t>
        </is>
      </c>
      <c r="I209" t="n">
        <v>1000</v>
      </c>
      <c r="J209" s="11">
        <f>J194</f>
        <v>0.45991335825767021</v>
      </c>
      <c r="K209" t="n">
        <v>2</v>
      </c>
      <c r="L209" s="3">
        <f>LN(B209)</f>
        <v>-13.493615428149313</v>
      </c>
      <c r="M209" t="n">
        <v>1</v>
      </c>
      <c r="N209" t="n">
        <v>1</v>
      </c>
      <c r="O209" t="n">
        <v>1</v>
      </c>
      <c r="P209" t="n">
        <v>1.02</v>
      </c>
      <c r="Q209" t="n">
        <v>1.2</v>
      </c>
      <c r="R209" t="n">
        <v>1</v>
      </c>
      <c r="S209" t="n">
        <v>1.5</v>
      </c>
      <c r="T209">
        <f>LN(SQRT(EXP(
SQRT(
+POWER(LN(M209),2)
+POWER(LN(N209),2)
+POWER(LN(O209),2)
+POWER(LN(P209),2)
+POWER(LN(Q209),2)
+POWER(LN(R209),2)
+POWER(LN(S209),2)
)
)))</f>
        <v>0.22250575723605889</v>
      </c>
    </row>
    <row r="210">
      <c r="A210" t="inlineStr">
        <is>
          <t>Nitrogen oxides</t>
        </is>
      </c>
      <c r="B210">
        <f>unallocated!B103/I210*J210</f>
        <v>3.113613435404428E-4</v>
      </c>
      <c r="D210" t="inlineStr">
        <is>
          <t>kilogram</t>
        </is>
      </c>
      <c r="E210" t="inlineStr">
        <is>
          <t>air::urban air close to ground</t>
        </is>
      </c>
      <c r="F210" t="inlineStr">
        <is>
          <t>biosphere</t>
        </is>
      </c>
      <c r="I210" t="n">
        <v>1000</v>
      </c>
      <c r="J210" s="11">
        <f>J194</f>
        <v>0.45991335825767021</v>
      </c>
      <c r="K210" t="n">
        <v>2</v>
      </c>
      <c r="L210" s="3">
        <f>LN(B210)</f>
        <v>-8.0745564439051485</v>
      </c>
      <c r="M210" t="n">
        <v>1</v>
      </c>
      <c r="N210" t="n">
        <v>1</v>
      </c>
      <c r="O210" t="n">
        <v>1</v>
      </c>
      <c r="P210" t="n">
        <v>1.02</v>
      </c>
      <c r="Q210" t="n">
        <v>1.2</v>
      </c>
      <c r="R210" t="n">
        <v>1</v>
      </c>
      <c r="S210" t="n">
        <v>1.5</v>
      </c>
      <c r="T210">
        <f>LN(SQRT(EXP(
SQRT(
+POWER(LN(M210),2)
+POWER(LN(N210),2)
+POWER(LN(O210),2)
+POWER(LN(P210),2)
+POWER(LN(Q210),2)
+POWER(LN(R210),2)
+POWER(LN(S210),2)
)
)))</f>
        <v>0.22250575723605889</v>
      </c>
    </row>
    <row r="211">
      <c r="A211" t="inlineStr">
        <is>
          <t>Ammonia</t>
        </is>
      </c>
      <c r="B211">
        <f>unallocated!B104/I211*J211</f>
        <v>4.5991335825767017E-7</v>
      </c>
      <c r="D211" t="inlineStr">
        <is>
          <t>kilogram</t>
        </is>
      </c>
      <c r="E211" t="inlineStr">
        <is>
          <t>air::urban air close to ground</t>
        </is>
      </c>
      <c r="F211" t="inlineStr">
        <is>
          <t>biosphere</t>
        </is>
      </c>
      <c r="I211" t="n">
        <v>1000</v>
      </c>
      <c r="J211" s="11">
        <f>J194</f>
        <v>0.45991335825767021</v>
      </c>
      <c r="K211" t="n">
        <v>2</v>
      </c>
      <c r="L211" s="3">
        <f>LN(B211)</f>
        <v>-14.592227716817424</v>
      </c>
      <c r="M211" t="n">
        <v>1</v>
      </c>
      <c r="N211" t="n">
        <v>1</v>
      </c>
      <c r="O211" t="n">
        <v>1</v>
      </c>
      <c r="P211" t="n">
        <v>1.02</v>
      </c>
      <c r="Q211" t="n">
        <v>1.2</v>
      </c>
      <c r="R211" t="n">
        <v>1</v>
      </c>
      <c r="S211" t="n">
        <v>1.5</v>
      </c>
      <c r="T211">
        <f>LN(SQRT(EXP(
SQRT(
+POWER(LN(M211),2)
+POWER(LN(N211),2)
+POWER(LN(O211),2)
+POWER(LN(P211),2)
+POWER(LN(Q211),2)
+POWER(LN(R211),2)
+POWER(LN(S211),2)
)
)))</f>
        <v>0.22250575723605889</v>
      </c>
    </row>
    <row r="212">
      <c r="A212" t="inlineStr">
        <is>
          <t>Particulate Matter, &lt; 2.5 um</t>
        </is>
      </c>
      <c r="B212">
        <f>unallocated!B105/I212*J212</f>
        <v>2.7594801495460215E-6</v>
      </c>
      <c r="D212" t="inlineStr">
        <is>
          <t>kilogram</t>
        </is>
      </c>
      <c r="E212" t="inlineStr">
        <is>
          <t>air::urban air close to ground</t>
        </is>
      </c>
      <c r="F212" t="inlineStr">
        <is>
          <t>biosphere</t>
        </is>
      </c>
      <c r="I212" t="n">
        <v>1000</v>
      </c>
      <c r="J212" s="11">
        <f>J194</f>
        <v>0.45991335825767021</v>
      </c>
      <c r="K212" t="n">
        <v>2</v>
      </c>
      <c r="L212" s="3">
        <f>LN(B212)</f>
        <v>-12.800468247589368</v>
      </c>
      <c r="M212" t="n">
        <v>1</v>
      </c>
      <c r="N212" t="n">
        <v>1</v>
      </c>
      <c r="O212" t="n">
        <v>1</v>
      </c>
      <c r="P212" t="n">
        <v>1.02</v>
      </c>
      <c r="Q212" t="n">
        <v>1.2</v>
      </c>
      <c r="R212" t="n">
        <v>1</v>
      </c>
      <c r="S212" t="n">
        <v>3</v>
      </c>
      <c r="T212">
        <f>LN(SQRT(EXP(
SQRT(
+POWER(LN(M212),2)
+POWER(LN(N212),2)
+POWER(LN(O212),2)
+POWER(LN(P212),2)
+POWER(LN(Q212),2)
+POWER(LN(R212),2)
+POWER(LN(S212),2)
)
)))</f>
        <v>0.5569071410325479</v>
      </c>
    </row>
    <row r="213">
      <c r="A213" t="inlineStr">
        <is>
          <t>Mercury II</t>
        </is>
      </c>
      <c r="B213">
        <f>unallocated!B106/I213*J213</f>
        <v>2.7594801495460211E-9</v>
      </c>
      <c r="D213" t="inlineStr">
        <is>
          <t>kilogram</t>
        </is>
      </c>
      <c r="E213" t="inlineStr">
        <is>
          <t>air::urban air close to ground</t>
        </is>
      </c>
      <c r="F213" t="inlineStr">
        <is>
          <t>biosphere</t>
        </is>
      </c>
      <c r="I213" t="n">
        <v>1000</v>
      </c>
      <c r="J213" s="11">
        <f>J194</f>
        <v>0.45991335825767021</v>
      </c>
      <c r="K213" t="n">
        <v>2</v>
      </c>
      <c r="L213" s="3">
        <f>LN(B213)</f>
        <v>-19.708223526571505</v>
      </c>
      <c r="M213" t="n">
        <v>1</v>
      </c>
      <c r="N213" t="n">
        <v>1</v>
      </c>
      <c r="O213" t="n">
        <v>1</v>
      </c>
      <c r="P213" t="n">
        <v>1.02</v>
      </c>
      <c r="Q213" t="n">
        <v>1.2</v>
      </c>
      <c r="R213" t="n">
        <v>1</v>
      </c>
      <c r="S213" t="n">
        <v>5</v>
      </c>
      <c r="T213">
        <f>LN(SQRT(EXP(
SQRT(
+POWER(LN(M213),2)
+POWER(LN(N213),2)
+POWER(LN(O213),2)
+POWER(LN(P213),2)
+POWER(LN(Q213),2)
+POWER(LN(R213),2)
+POWER(LN(S213),2)
)
)))</f>
        <v>0.80992649174166365</v>
      </c>
    </row>
    <row r="214">
      <c r="A214" t="inlineStr">
        <is>
          <t>Lead II</t>
        </is>
      </c>
      <c r="B214">
        <f>unallocated!B107/I214*J214</f>
        <v>2.7594801495460211E-9</v>
      </c>
      <c r="D214" t="inlineStr">
        <is>
          <t>kilogram</t>
        </is>
      </c>
      <c r="E214" t="inlineStr">
        <is>
          <t>air::urban air close to ground</t>
        </is>
      </c>
      <c r="F214" t="inlineStr">
        <is>
          <t>biosphere</t>
        </is>
      </c>
      <c r="I214" t="n">
        <v>1000</v>
      </c>
      <c r="J214" s="11">
        <f>J194</f>
        <v>0.45991335825767021</v>
      </c>
      <c r="K214" t="n">
        <v>2</v>
      </c>
      <c r="L214" s="3">
        <f>LN(B214)</f>
        <v>-19.708223526571505</v>
      </c>
      <c r="M214" t="n">
        <v>1</v>
      </c>
      <c r="N214" t="n">
        <v>1</v>
      </c>
      <c r="O214" t="n">
        <v>1</v>
      </c>
      <c r="P214" t="n">
        <v>1.02</v>
      </c>
      <c r="Q214" t="n">
        <v>1.2</v>
      </c>
      <c r="R214" t="n">
        <v>1</v>
      </c>
      <c r="S214" t="n">
        <v>5</v>
      </c>
      <c r="T214">
        <f>LN(SQRT(EXP(
SQRT(
+POWER(LN(M214),2)
+POWER(LN(N214),2)
+POWER(LN(O214),2)
+POWER(LN(P214),2)
+POWER(LN(Q214),2)
+POWER(LN(R214),2)
+POWER(LN(S214),2)
)
)))</f>
        <v>0.80992649174166365</v>
      </c>
    </row>
    <row r="215">
      <c r="A215" t="inlineStr">
        <is>
          <t>Cadmium II</t>
        </is>
      </c>
      <c r="B215">
        <f>unallocated!B108/I215*J215</f>
        <v>1.3797400747730105E-9</v>
      </c>
      <c r="D215" t="inlineStr">
        <is>
          <t>kilogram</t>
        </is>
      </c>
      <c r="E215" t="inlineStr">
        <is>
          <t>air::urban air close to ground</t>
        </is>
      </c>
      <c r="F215" t="inlineStr">
        <is>
          <t>biosphere</t>
        </is>
      </c>
      <c r="I215" t="n">
        <v>1000</v>
      </c>
      <c r="J215" s="11">
        <f>J194</f>
        <v>0.45991335825767021</v>
      </c>
      <c r="K215" t="n">
        <v>2</v>
      </c>
      <c r="L215" s="3">
        <f>LN(B215)</f>
        <v>-20.401370707131452</v>
      </c>
      <c r="M215" t="n">
        <v>1</v>
      </c>
      <c r="N215" t="n">
        <v>1</v>
      </c>
      <c r="O215" t="n">
        <v>1</v>
      </c>
      <c r="P215" t="n">
        <v>1.02</v>
      </c>
      <c r="Q215" t="n">
        <v>1.2</v>
      </c>
      <c r="R215" t="n">
        <v>1</v>
      </c>
      <c r="S215" t="n">
        <v>5</v>
      </c>
      <c r="T215">
        <f>LN(SQRT(EXP(
SQRT(
+POWER(LN(M215),2)
+POWER(LN(N215),2)
+POWER(LN(O215),2)
+POWER(LN(P215),2)
+POWER(LN(Q215),2)
+POWER(LN(R215),2)
+POWER(LN(S215),2)
)
)))</f>
        <v>0.80992649174166365</v>
      </c>
    </row>
    <row r="216">
      <c r="A216" t="inlineStr">
        <is>
          <t>Arsenic ion</t>
        </is>
      </c>
      <c r="B216">
        <f>unallocated!B109/I216*J216</f>
        <v>1.3797400747730105E-9</v>
      </c>
      <c r="D216" t="inlineStr">
        <is>
          <t>kilogram</t>
        </is>
      </c>
      <c r="E216" t="inlineStr">
        <is>
          <t>air::urban air close to ground</t>
        </is>
      </c>
      <c r="F216" t="inlineStr">
        <is>
          <t>biosphere</t>
        </is>
      </c>
      <c r="I216" t="n">
        <v>1000</v>
      </c>
      <c r="J216" s="11">
        <f>J194</f>
        <v>0.45991335825767021</v>
      </c>
      <c r="K216" t="n">
        <v>2</v>
      </c>
      <c r="L216" s="3">
        <f>LN(B216)</f>
        <v>-20.401370707131452</v>
      </c>
      <c r="M216" t="n">
        <v>1</v>
      </c>
      <c r="N216" t="n">
        <v>1</v>
      </c>
      <c r="O216" t="n">
        <v>1</v>
      </c>
      <c r="P216" t="n">
        <v>1.02</v>
      </c>
      <c r="Q216" t="n">
        <v>1.2</v>
      </c>
      <c r="R216" t="n">
        <v>1</v>
      </c>
      <c r="S216" t="n">
        <v>5</v>
      </c>
      <c r="T216">
        <f>LN(SQRT(EXP(
SQRT(
+POWER(LN(M216),2)
+POWER(LN(N216),2)
+POWER(LN(O216),2)
+POWER(LN(P216),2)
+POWER(LN(Q216),2)
+POWER(LN(R216),2)
+POWER(LN(S216),2)
)
)))</f>
        <v>0.80992649174166365</v>
      </c>
    </row>
    <row r="217">
      <c r="A217" t="inlineStr">
        <is>
          <t>Dioxins, measured as 2,3,7,8-tetrachlorodibenzo-p-dioxin</t>
        </is>
      </c>
      <c r="B217">
        <f>unallocated!B110/I217*J217</f>
        <v>5.0590469408343731E-14</v>
      </c>
      <c r="D217" t="inlineStr">
        <is>
          <t>kilogram</t>
        </is>
      </c>
      <c r="E217" t="inlineStr">
        <is>
          <t>air::urban air close to ground</t>
        </is>
      </c>
      <c r="F217" t="inlineStr">
        <is>
          <t>biosphere</t>
        </is>
      </c>
      <c r="I217" t="n">
        <v>1000</v>
      </c>
      <c r="J217" s="11">
        <f>J194</f>
        <v>0.45991335825767021</v>
      </c>
      <c r="K217" t="n">
        <v>2</v>
      </c>
      <c r="L217" s="3">
        <f>LN(B217)</f>
        <v>-30.615013187971417</v>
      </c>
      <c r="M217" t="n">
        <v>1</v>
      </c>
      <c r="N217" t="n">
        <v>1</v>
      </c>
      <c r="O217" t="n">
        <v>1</v>
      </c>
      <c r="P217" t="n">
        <v>1.02</v>
      </c>
      <c r="Q217" t="n">
        <v>1.2</v>
      </c>
      <c r="R217" t="n">
        <v>1</v>
      </c>
      <c r="S217" t="n">
        <v>5</v>
      </c>
      <c r="T217">
        <f>LN(SQRT(EXP(
SQRT(
+POWER(LN(M217),2)
+POWER(LN(N217),2)
+POWER(LN(O217),2)
+POWER(LN(P217),2)
+POWER(LN(Q217),2)
+POWER(LN(R217),2)
+POWER(LN(S217),2)
)
)))</f>
        <v>0.80992649174166365</v>
      </c>
    </row>
    <row r="218">
      <c r="A218" t="inlineStr">
        <is>
          <t>Carbon dioxide, fossil</t>
        </is>
      </c>
      <c r="B218">
        <f>unallocated!B111/I218*J218</f>
        <v>0.17200759598836865</v>
      </c>
      <c r="D218" t="inlineStr">
        <is>
          <t>kilogram</t>
        </is>
      </c>
      <c r="E218" t="inlineStr">
        <is>
          <t>air::urban air close to ground</t>
        </is>
      </c>
      <c r="F218" t="inlineStr">
        <is>
          <t>biosphere</t>
        </is>
      </c>
      <c r="I218" t="n">
        <v>1000</v>
      </c>
      <c r="J218" s="11">
        <f>J194</f>
        <v>0.45991335825767021</v>
      </c>
      <c r="K218" t="n">
        <v>2</v>
      </c>
      <c r="L218" s="3">
        <f>LN(B218)</f>
        <v>-1.7602166404207549</v>
      </c>
      <c r="M218" t="n">
        <v>1</v>
      </c>
      <c r="N218" t="n">
        <v>1</v>
      </c>
      <c r="O218" t="n">
        <v>1</v>
      </c>
      <c r="P218" t="n">
        <v>1.02</v>
      </c>
      <c r="Q218" t="n">
        <v>1.2</v>
      </c>
      <c r="R218" t="n">
        <v>1</v>
      </c>
      <c r="S218" t="n">
        <v>1.05</v>
      </c>
      <c r="T218">
        <f>LN(SQRT(EXP(
SQRT(
+POWER(LN(M218),2)
+POWER(LN(N218),2)
+POWER(LN(O218),2)
+POWER(LN(P218),2)
+POWER(LN(Q218),2)
+POWER(LN(R218),2)
+POWER(LN(S218),2)
)
)))</f>
        <v>9.4886477223156879E-2</v>
      </c>
    </row>
    <row r="219">
      <c r="A219" t="inlineStr">
        <is>
          <t>Carbon dioxide, non-fossil</t>
        </is>
      </c>
      <c r="B219">
        <f>unallocated!B112/I219*J219</f>
        <v>0.27318853480505612</v>
      </c>
      <c r="D219" t="inlineStr">
        <is>
          <t>kilogram</t>
        </is>
      </c>
      <c r="E219" t="inlineStr">
        <is>
          <t>air::urban air close to ground</t>
        </is>
      </c>
      <c r="F219" t="inlineStr">
        <is>
          <t>biosphere</t>
        </is>
      </c>
      <c r="I219" t="n">
        <v>1000</v>
      </c>
      <c r="J219" s="11">
        <f>J194</f>
        <v>0.45991335825767021</v>
      </c>
      <c r="K219" t="n">
        <v>2</v>
      </c>
      <c r="L219" s="3">
        <f>LN(B219)</f>
        <v>-1.2975931184726417</v>
      </c>
      <c r="M219" t="n">
        <v>1</v>
      </c>
      <c r="N219" t="n">
        <v>1</v>
      </c>
      <c r="O219" t="n">
        <v>1</v>
      </c>
      <c r="P219" t="n">
        <v>1.02</v>
      </c>
      <c r="Q219" t="n">
        <v>1.2</v>
      </c>
      <c r="R219" t="n">
        <v>1</v>
      </c>
      <c r="S219" t="n">
        <v>1.05</v>
      </c>
      <c r="T219">
        <f>LN(SQRT(EXP(
SQRT(
+POWER(LN(M219),2)
+POWER(LN(N219),2)
+POWER(LN(O219),2)
+POWER(LN(P219),2)
+POWER(LN(Q219),2)
+POWER(LN(R219),2)
+POWER(LN(S219),2)
)
)))</f>
        <v>9.4886477223156879E-2</v>
      </c>
    </row>
    <row r="220"/>
    <row r="221">
      <c r="A221" s="1" t="inlineStr">
        <is>
          <t>Activity</t>
        </is>
      </c>
      <c r="B221" s="1" t="inlineStr">
        <is>
          <t>municipal waste incineration, at incineration plant, with semi-dry air pollution control, with flue gas condensation, with electricity and heat recovery, economic allocation</t>
        </is>
      </c>
    </row>
    <row r="222">
      <c r="A222" t="inlineStr">
        <is>
          <t>location</t>
        </is>
      </c>
      <c r="B222" t="inlineStr">
        <is>
          <t>RER</t>
        </is>
      </c>
    </row>
    <row r="223">
      <c r="A223" t="inlineStr">
        <is>
          <t>production amount</t>
        </is>
      </c>
      <c r="B223" t="n">
        <v>1</v>
      </c>
    </row>
    <row r="224">
      <c r="A224" s="2" t="inlineStr">
        <is>
          <t>source</t>
        </is>
      </c>
      <c r="B224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225">
      <c r="A225" t="inlineStr">
        <is>
          <t>reference product</t>
        </is>
      </c>
      <c r="B225" t="inlineStr">
        <is>
          <t>electricity, medium voltage</t>
        </is>
      </c>
    </row>
    <row r="226">
      <c r="A226" t="inlineStr">
        <is>
          <t>type</t>
        </is>
      </c>
      <c r="B226" t="inlineStr">
        <is>
          <t>process</t>
        </is>
      </c>
    </row>
    <row r="227">
      <c r="A227" t="inlineStr">
        <is>
          <t>unit</t>
        </is>
      </c>
      <c r="B227" t="inlineStr">
        <is>
          <t>kilowatt hour</t>
        </is>
      </c>
    </row>
    <row r="228">
      <c r="A228" t="inlineStr">
        <is>
          <t>comment</t>
        </is>
      </c>
      <c r="B228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623 kWh. Heat production per ton MSWI incinerated: 7'860 MJ.</t>
        </is>
      </c>
    </row>
    <row r="229">
      <c r="A229" s="1" t="inlineStr">
        <is>
          <t>Exchanges</t>
        </is>
      </c>
    </row>
    <row r="230">
      <c r="A230" s="7" t="inlineStr">
        <is>
          <t>name</t>
        </is>
      </c>
      <c r="B230" s="7" t="inlineStr">
        <is>
          <t>amount</t>
        </is>
      </c>
      <c r="C230" s="7" t="inlineStr">
        <is>
          <t>location</t>
        </is>
      </c>
      <c r="D230" s="7" t="inlineStr">
        <is>
          <t>unit</t>
        </is>
      </c>
      <c r="E230" s="7" t="inlineStr">
        <is>
          <t>categories</t>
        </is>
      </c>
      <c r="F230" s="7" t="inlineStr">
        <is>
          <t>type</t>
        </is>
      </c>
      <c r="G230" s="7" t="inlineStr">
        <is>
          <t>reference product</t>
        </is>
      </c>
      <c r="H230" s="7" t="inlineStr">
        <is>
          <t>comment</t>
        </is>
      </c>
      <c r="I230" s="7" t="inlineStr">
        <is>
          <t>normalization</t>
        </is>
      </c>
      <c r="J230" s="7" t="inlineStr">
        <is>
          <t>allocation</t>
        </is>
      </c>
      <c r="K230" s="7" t="inlineStr">
        <is>
          <t>uncertainty type</t>
        </is>
      </c>
      <c r="L230" s="7" t="inlineStr">
        <is>
          <t>loc</t>
        </is>
      </c>
      <c r="M230" s="1" t="inlineStr">
        <is>
          <t>u1</t>
        </is>
      </c>
      <c r="N230" s="1" t="inlineStr">
        <is>
          <t>u2</t>
        </is>
      </c>
      <c r="O230" s="1" t="inlineStr">
        <is>
          <t>u3</t>
        </is>
      </c>
      <c r="P230" s="1" t="inlineStr">
        <is>
          <t>u4</t>
        </is>
      </c>
      <c r="Q230" s="1" t="inlineStr">
        <is>
          <t>u5</t>
        </is>
      </c>
      <c r="R230" s="1" t="inlineStr">
        <is>
          <t>u6</t>
        </is>
      </c>
      <c r="S230" s="1" t="inlineStr">
        <is>
          <t>ub</t>
        </is>
      </c>
      <c r="T230" s="1" t="inlineStr">
        <is>
          <t>scale</t>
        </is>
      </c>
      <c r="U230" s="1" t="inlineStr">
        <is>
          <t>negative</t>
        </is>
      </c>
    </row>
    <row r="231">
      <c r="A231" t="inlineStr">
        <is>
          <t>municipal waste incineration, at incineration plant, with semi-dry air pollution control, with flue gas condensation, with electricity and heat recovery, economic allocation</t>
        </is>
      </c>
      <c r="B231" t="n">
        <v>0</v>
      </c>
      <c r="C231" t="inlineStr">
        <is>
          <t>RER</t>
        </is>
      </c>
      <c r="D231" t="inlineStr">
        <is>
          <t>kilogram</t>
        </is>
      </c>
      <c r="F231" t="inlineStr">
        <is>
          <t>technosphere</t>
        </is>
      </c>
      <c r="G231" t="inlineStr">
        <is>
          <t>municipal solid waste</t>
        </is>
      </c>
      <c r="H231" t="inlineStr"/>
      <c r="I231" t="n">
        <v>623</v>
      </c>
      <c r="J231" s="14">
        <f>INDEX('allocation keys'!$L$4:$N$30,MATCH('allocated (economic)'!$B$221,'allocation keys'!$B$4:$B$28,0),MATCH('allocated (economic)'!$B$225,'allocation keys'!$L$3:$N$3,0))</f>
        <v>0.23106937273752301</v>
      </c>
      <c r="K231" t="n">
        <v>0</v>
      </c>
      <c r="M231" s="5" t="n"/>
      <c r="N231" s="5" t="n"/>
      <c r="O231" s="5" t="n"/>
      <c r="P231" s="5" t="n"/>
      <c r="Q231" s="5" t="n"/>
      <c r="R231" s="5" t="n"/>
    </row>
    <row r="232">
      <c r="A232" t="inlineStr">
        <is>
          <t>municipal waste incineration, at incineration plant, with semi-dry air pollution control, with flue gas condensation, with electricity and heat recovery, economic allocation</t>
        </is>
      </c>
      <c r="B232" s="6" t="n">
        <v>1</v>
      </c>
      <c r="C232" t="inlineStr">
        <is>
          <t>RER</t>
        </is>
      </c>
      <c r="D232" t="inlineStr">
        <is>
          <t>kilowatt hour</t>
        </is>
      </c>
      <c r="F232" t="inlineStr">
        <is>
          <t>production</t>
        </is>
      </c>
      <c r="G232" t="inlineStr">
        <is>
          <t>electricity, medium voltage</t>
        </is>
      </c>
      <c r="H232" t="inlineStr"/>
      <c r="I232" t="n">
        <v>623</v>
      </c>
      <c r="J232" s="11">
        <f>J231</f>
        <v>0.23106937273752301</v>
      </c>
      <c r="K232" t="n">
        <v>0</v>
      </c>
      <c r="L232" s="3" t="n"/>
    </row>
    <row r="233">
      <c r="A233" t="inlineStr">
        <is>
          <t>municipal waste incineration, at incineration plant, with semi-dry air pollution control, with flue gas condensation, with electricity and heat recovery, economic allocation</t>
        </is>
      </c>
      <c r="B233" t="n">
        <v>0</v>
      </c>
      <c r="C233" t="inlineStr">
        <is>
          <t>RER</t>
        </is>
      </c>
      <c r="D233" t="inlineStr">
        <is>
          <t>megajoule</t>
        </is>
      </c>
      <c r="F233" t="inlineStr">
        <is>
          <t>technosphere</t>
        </is>
      </c>
      <c r="G233" t="inlineStr">
        <is>
          <t>heat, district or industrial, other than natural gas</t>
        </is>
      </c>
      <c r="H233" t="inlineStr"/>
      <c r="I233" t="n">
        <v>623</v>
      </c>
      <c r="J233" s="11">
        <f>J231</f>
        <v>0.23106937273752301</v>
      </c>
      <c r="K233" t="n">
        <v>0</v>
      </c>
      <c r="L233" s="3" t="n"/>
    </row>
    <row r="234">
      <c r="A234" t="inlineStr">
        <is>
          <t>market for diesel, low-sulfur</t>
        </is>
      </c>
      <c r="B234">
        <f>unallocated!B90/I234*J234</f>
        <v>3.1526318912824171E-5</v>
      </c>
      <c r="C234" t="inlineStr">
        <is>
          <t>Europe without Switzerland</t>
        </is>
      </c>
      <c r="D234" t="inlineStr">
        <is>
          <t>kilogram</t>
        </is>
      </c>
      <c r="F234" t="inlineStr">
        <is>
          <t>technosphere</t>
        </is>
      </c>
      <c r="G234" t="inlineStr">
        <is>
          <t>diesel, low-sulfur</t>
        </is>
      </c>
      <c r="H234" t="inlineStr">
        <is>
          <t>Diesel density: 0.85 kg/l</t>
        </is>
      </c>
      <c r="I234" t="n">
        <v>623</v>
      </c>
      <c r="J234" s="11">
        <f>J231</f>
        <v>0.23106937273752301</v>
      </c>
      <c r="K234" t="n">
        <v>2</v>
      </c>
      <c r="L234" s="3">
        <f>LN(B234)</f>
        <v>-10.364687839944052</v>
      </c>
      <c r="M234" t="n">
        <v>1</v>
      </c>
      <c r="N234" t="n">
        <v>1</v>
      </c>
      <c r="O234" t="n">
        <v>1</v>
      </c>
      <c r="P234" t="n">
        <v>1.02</v>
      </c>
      <c r="Q234" t="n">
        <v>1.2</v>
      </c>
      <c r="R234" t="n">
        <v>1</v>
      </c>
      <c r="S234" t="n">
        <v>1.05</v>
      </c>
      <c r="T234">
        <f>LN(SQRT(EXP(
SQRT(
+POWER(LN(M234),2)
+POWER(LN(N234),2)
+POWER(LN(O234),2)
+POWER(LN(P234),2)
+POWER(LN(Q234),2)
+POWER(LN(R234),2)
+POWER(LN(S234),2)
)
)))</f>
        <v>9.4886477223156879E-2</v>
      </c>
    </row>
    <row r="235">
      <c r="A235" t="inlineStr">
        <is>
          <t>market for activated carbon, granular</t>
        </is>
      </c>
      <c r="B235">
        <f>unallocated!B91/I235*J235</f>
        <v>1.4835914782505491E-4</v>
      </c>
      <c r="C235" t="inlineStr">
        <is>
          <t>GLO</t>
        </is>
      </c>
      <c r="D235" t="inlineStr">
        <is>
          <t>kilogram</t>
        </is>
      </c>
      <c r="F235" t="inlineStr">
        <is>
          <t>technosphere</t>
        </is>
      </c>
      <c r="G235" t="inlineStr">
        <is>
          <t>activated carbon, granular</t>
        </is>
      </c>
      <c r="I235" t="n">
        <v>623</v>
      </c>
      <c r="J235" s="11">
        <f>J231</f>
        <v>0.23106937273752301</v>
      </c>
      <c r="K235" t="n">
        <v>2</v>
      </c>
      <c r="L235" s="3">
        <f>LN(B235)</f>
        <v>-8.8158745493263879</v>
      </c>
      <c r="M235" t="n">
        <v>1</v>
      </c>
      <c r="N235" t="n">
        <v>1</v>
      </c>
      <c r="O235" t="n">
        <v>1</v>
      </c>
      <c r="P235" t="n">
        <v>1.02</v>
      </c>
      <c r="Q235" t="n">
        <v>1.2</v>
      </c>
      <c r="R235" t="n">
        <v>1</v>
      </c>
      <c r="S235" t="n">
        <v>1.05</v>
      </c>
      <c r="T235">
        <f>LN(SQRT(EXP(
SQRT(
+POWER(LN(M235),2)
+POWER(LN(N235),2)
+POWER(LN(O235),2)
+POWER(LN(P235),2)
+POWER(LN(Q235),2)
+POWER(LN(R235),2)
+POWER(LN(S235),2)
)
)))</f>
        <v>9.4886477223156879E-2</v>
      </c>
    </row>
    <row r="236">
      <c r="A236" t="inlineStr">
        <is>
          <t>market for ammonia, anhydrous, liquid</t>
        </is>
      </c>
      <c r="B236">
        <f>unallocated!B92/I236*J236</f>
        <v>3.6347991217138454E-4</v>
      </c>
      <c r="C236" t="inlineStr">
        <is>
          <t>RER</t>
        </is>
      </c>
      <c r="D236" t="inlineStr">
        <is>
          <t>kilogram</t>
        </is>
      </c>
      <c r="F236" t="inlineStr">
        <is>
          <t>technosphere</t>
        </is>
      </c>
      <c r="G236" t="inlineStr">
        <is>
          <t>ammonia, anhydrous, liquid</t>
        </is>
      </c>
      <c r="H236" t="inlineStr">
        <is>
          <t>100% liquid ammonia. In original publication, it is dilluated to 23.5% in water. We discount the original value by 75%.</t>
        </is>
      </c>
      <c r="I236" t="n">
        <v>623</v>
      </c>
      <c r="J236" s="11">
        <f>J231</f>
        <v>0.23106937273752301</v>
      </c>
      <c r="K236" t="n">
        <v>2</v>
      </c>
      <c r="L236" s="3">
        <f>LN(B236)</f>
        <v>-7.9197865247697514</v>
      </c>
      <c r="M236" t="n">
        <v>1</v>
      </c>
      <c r="N236" t="n">
        <v>1</v>
      </c>
      <c r="O236" t="n">
        <v>1</v>
      </c>
      <c r="P236" t="n">
        <v>1.02</v>
      </c>
      <c r="Q236" t="n">
        <v>1.2</v>
      </c>
      <c r="R236" t="n">
        <v>1</v>
      </c>
      <c r="S236" t="n">
        <v>1.05</v>
      </c>
      <c r="T236">
        <f>LN(SQRT(EXP(
SQRT(
+POWER(LN(M236),2)
+POWER(LN(N236),2)
+POWER(LN(O236),2)
+POWER(LN(P236),2)
+POWER(LN(Q236),2)
+POWER(LN(R236),2)
+POWER(LN(S236),2)
)
)))</f>
        <v>9.4886477223156879E-2</v>
      </c>
    </row>
    <row r="237">
      <c r="A237" t="inlineStr">
        <is>
          <t>market for tap water</t>
        </is>
      </c>
      <c r="B237">
        <f>unallocated!B93/I237*J237</f>
        <v>1.1201115660791647E-3</v>
      </c>
      <c r="C237" t="inlineStr">
        <is>
          <t>Europe without Switzerland</t>
        </is>
      </c>
      <c r="D237" t="inlineStr">
        <is>
          <t>kilogram</t>
        </is>
      </c>
      <c r="F237" t="inlineStr">
        <is>
          <t>technosphere</t>
        </is>
      </c>
      <c r="G237" t="inlineStr">
        <is>
          <t>tap water</t>
        </is>
      </c>
      <c r="H237" t="inlineStr">
        <is>
          <t>Used to dilute the ammonia.</t>
        </is>
      </c>
      <c r="I237" t="n">
        <v>623</v>
      </c>
      <c r="J237" s="11">
        <f>J231</f>
        <v>0.23106937273752301</v>
      </c>
      <c r="K237" t="n">
        <v>2</v>
      </c>
      <c r="L237" s="3">
        <f>LN(B237)</f>
        <v>-6.794326986065454</v>
      </c>
      <c r="M237" t="n">
        <v>1</v>
      </c>
      <c r="N237" t="n">
        <v>1</v>
      </c>
      <c r="O237" t="n">
        <v>1</v>
      </c>
      <c r="P237" t="n">
        <v>1.02</v>
      </c>
      <c r="Q237" t="n">
        <v>1.2</v>
      </c>
      <c r="R237" t="n">
        <v>1</v>
      </c>
      <c r="S237" t="n">
        <v>1.05</v>
      </c>
      <c r="T237">
        <f>LN(SQRT(EXP(
SQRT(
+POWER(LN(M237),2)
+POWER(LN(N237),2)
+POWER(LN(O237),2)
+POWER(LN(P237),2)
+POWER(LN(Q237),2)
+POWER(LN(R237),2)
+POWER(LN(S237),2)
)
)))</f>
        <v>9.4886477223156879E-2</v>
      </c>
    </row>
    <row r="238">
      <c r="A238" t="inlineStr">
        <is>
          <t>market for calcium carbonate, precipitated</t>
        </is>
      </c>
      <c r="B238">
        <f>unallocated!B94/I238*J238</f>
        <v>0</v>
      </c>
      <c r="C238" t="inlineStr">
        <is>
          <t>RER</t>
        </is>
      </c>
      <c r="D238" t="inlineStr">
        <is>
          <t>kilogram</t>
        </is>
      </c>
      <c r="F238" t="inlineStr">
        <is>
          <t>technosphere</t>
        </is>
      </c>
      <c r="G238" t="inlineStr">
        <is>
          <t>calcium carbonate, precipitated</t>
        </is>
      </c>
      <c r="I238" t="n">
        <v>623</v>
      </c>
      <c r="J238" s="11">
        <f>J231</f>
        <v>0.23106937273752301</v>
      </c>
      <c r="K238" t="n">
        <v>0</v>
      </c>
      <c r="L238" s="3" t="n"/>
    </row>
    <row r="239">
      <c r="A239" t="inlineStr">
        <is>
          <t>market for iron(III) chloride, without water, in 40% solution state</t>
        </is>
      </c>
      <c r="B239">
        <f>unallocated!B95/I239*J239</f>
        <v>0</v>
      </c>
      <c r="C239" t="inlineStr">
        <is>
          <t>GLO</t>
        </is>
      </c>
      <c r="D239" t="inlineStr">
        <is>
          <t>kilogram</t>
        </is>
      </c>
      <c r="F239" t="inlineStr">
        <is>
          <t>technosphere</t>
        </is>
      </c>
      <c r="G239" t="inlineStr">
        <is>
          <t>iron(III) chloride, without water, in 40% solution state</t>
        </is>
      </c>
      <c r="I239" t="n">
        <v>623</v>
      </c>
      <c r="J239" s="11">
        <f>J231</f>
        <v>0.23106937273752301</v>
      </c>
      <c r="K239" t="n">
        <v>0</v>
      </c>
      <c r="L239" s="3" t="n"/>
    </row>
    <row r="240">
      <c r="A240" t="inlineStr">
        <is>
          <t>market for lime, hydrated, packed</t>
        </is>
      </c>
      <c r="B240">
        <f>unallocated!B96/I240*J240</f>
        <v>3.7089786956263724E-3</v>
      </c>
      <c r="C240" t="inlineStr">
        <is>
          <t>RER</t>
        </is>
      </c>
      <c r="D240" t="inlineStr">
        <is>
          <t>kilogram</t>
        </is>
      </c>
      <c r="F240" t="inlineStr">
        <is>
          <t>technosphere</t>
        </is>
      </c>
      <c r="G240" t="inlineStr">
        <is>
          <t>lime, hydrated, packed</t>
        </is>
      </c>
      <c r="I240" t="n">
        <v>623</v>
      </c>
      <c r="J240" s="11">
        <f>J231</f>
        <v>0.23106937273752301</v>
      </c>
      <c r="K240" t="n">
        <v>2</v>
      </c>
      <c r="L240" s="3">
        <f>LN(B240)</f>
        <v>-5.5969987244581869</v>
      </c>
      <c r="M240" t="n">
        <v>1</v>
      </c>
      <c r="N240" t="n">
        <v>1</v>
      </c>
      <c r="O240" t="n">
        <v>1</v>
      </c>
      <c r="P240" t="n">
        <v>1.02</v>
      </c>
      <c r="Q240" t="n">
        <v>1.2</v>
      </c>
      <c r="R240" t="n">
        <v>1</v>
      </c>
      <c r="S240" t="n">
        <v>1.05</v>
      </c>
      <c r="T240">
        <f>LN(SQRT(EXP(
SQRT(
+POWER(LN(M240),2)
+POWER(LN(N240),2)
+POWER(LN(O240),2)
+POWER(LN(P240),2)
+POWER(LN(Q240),2)
+POWER(LN(R240),2)
+POWER(LN(S240),2)
)
)))</f>
        <v>9.4886477223156879E-2</v>
      </c>
    </row>
    <row r="241">
      <c r="A241" t="inlineStr">
        <is>
          <t>market for sodium hydroxide, without water, in 50% solution state</t>
        </is>
      </c>
      <c r="B241">
        <f>unallocated!B97/I241*J241</f>
        <v>9.2724467390659313E-5</v>
      </c>
      <c r="C241" t="inlineStr">
        <is>
          <t>RER</t>
        </is>
      </c>
      <c r="D241" t="inlineStr">
        <is>
          <t>kilogram</t>
        </is>
      </c>
      <c r="F241" t="inlineStr">
        <is>
          <t>technosphere</t>
        </is>
      </c>
      <c r="G241" t="inlineStr">
        <is>
          <t>sodium hydroxide, without water, in 50% solution state</t>
        </is>
      </c>
      <c r="H241" t="inlineStr">
        <is>
          <t>50% liquid ammonia. In original publication, it is dilluated to 27% in water. We discount the original value by 50%.</t>
        </is>
      </c>
      <c r="I241" t="n">
        <v>623</v>
      </c>
      <c r="J241" s="11">
        <f>J231</f>
        <v>0.23106937273752301</v>
      </c>
      <c r="K241" t="n">
        <v>0</v>
      </c>
      <c r="L241" s="3" t="n"/>
    </row>
    <row r="242">
      <c r="A242" t="inlineStr">
        <is>
          <t>market for monoethanolamine</t>
        </is>
      </c>
      <c r="B242">
        <f>unallocated!B98/I242*J242</f>
        <v>0</v>
      </c>
      <c r="C242" t="inlineStr">
        <is>
          <t>GLO</t>
        </is>
      </c>
      <c r="D242" t="inlineStr">
        <is>
          <t>kilogram</t>
        </is>
      </c>
      <c r="F242" t="inlineStr">
        <is>
          <t>technosphere</t>
        </is>
      </c>
      <c r="G242" t="inlineStr">
        <is>
          <t>monoethanolamine</t>
        </is>
      </c>
      <c r="I242" t="n">
        <v>623</v>
      </c>
      <c r="J242" s="11">
        <f>J231</f>
        <v>0.23106937273752301</v>
      </c>
      <c r="K242" t="n">
        <v>0</v>
      </c>
      <c r="L242" s="3" t="n"/>
    </row>
    <row r="243">
      <c r="A243" t="inlineStr">
        <is>
          <t>municipal waste incineration facility construction</t>
        </is>
      </c>
      <c r="B243">
        <f>unallocated!B99/I243*J243</f>
        <v>9.2724467390659313E-11</v>
      </c>
      <c r="C243" t="inlineStr">
        <is>
          <t>CH</t>
        </is>
      </c>
      <c r="D243" t="inlineStr">
        <is>
          <t>unit</t>
        </is>
      </c>
      <c r="F243" t="inlineStr">
        <is>
          <t>technosphere</t>
        </is>
      </c>
      <c r="G243" t="inlineStr">
        <is>
          <t>municipal waste incineration facility</t>
        </is>
      </c>
      <c r="H243" t="inlineStr">
        <is>
          <t>Lifetime: 4'000'000 tons MSWI treated.</t>
        </is>
      </c>
      <c r="I243" t="n">
        <v>623</v>
      </c>
      <c r="J243" s="11">
        <f>J231</f>
        <v>0.23106937273752301</v>
      </c>
      <c r="K243" t="n">
        <v>2</v>
      </c>
      <c r="L243" s="3">
        <f>LN(B243)</f>
        <v>-23.101388736536396</v>
      </c>
      <c r="M243" t="n">
        <v>1</v>
      </c>
      <c r="N243" t="n">
        <v>1</v>
      </c>
      <c r="O243" t="n">
        <v>1</v>
      </c>
      <c r="P243" t="n">
        <v>1.02</v>
      </c>
      <c r="Q243" t="n">
        <v>1.2</v>
      </c>
      <c r="R243" t="n">
        <v>1</v>
      </c>
      <c r="S243" t="n">
        <v>3</v>
      </c>
      <c r="T243">
        <f>LN(SQRT(EXP(
SQRT(
+POWER(LN(M243),2)
+POWER(LN(N243),2)
+POWER(LN(O243),2)
+POWER(LN(P243),2)
+POWER(LN(Q243),2)
+POWER(LN(R243),2)
+POWER(LN(S243),2)
)
)))</f>
        <v>0.5569071410325479</v>
      </c>
    </row>
    <row r="244">
      <c r="A244" t="inlineStr">
        <is>
          <t>Water, cooling, unspecified natural origin</t>
        </is>
      </c>
      <c r="B244">
        <f>unallocated!B100/I244*J244</f>
        <v>0</v>
      </c>
      <c r="D244" t="inlineStr">
        <is>
          <t>cubic meter</t>
        </is>
      </c>
      <c r="E244" t="inlineStr">
        <is>
          <t>natural resource::in water</t>
        </is>
      </c>
      <c r="F244" t="inlineStr">
        <is>
          <t>biosphere</t>
        </is>
      </c>
      <c r="I244" t="n">
        <v>623</v>
      </c>
      <c r="J244" s="11">
        <f>J231</f>
        <v>0.23106937273752301</v>
      </c>
      <c r="K244" t="n">
        <v>0</v>
      </c>
      <c r="L244" s="3" t="n"/>
    </row>
    <row r="245">
      <c r="A245" t="inlineStr">
        <is>
          <t>Sulfur dioxide</t>
        </is>
      </c>
      <c r="B245">
        <f>unallocated!B101/I245*J245</f>
        <v>2.2253872173758235E-6</v>
      </c>
      <c r="D245" t="inlineStr">
        <is>
          <t>kilogram</t>
        </is>
      </c>
      <c r="E245" t="inlineStr">
        <is>
          <t>air::urban air close to ground</t>
        </is>
      </c>
      <c r="F245" t="inlineStr">
        <is>
          <t>biosphere</t>
        </is>
      </c>
      <c r="I245" t="n">
        <v>623</v>
      </c>
      <c r="J245" s="11">
        <f>J231</f>
        <v>0.23106937273752301</v>
      </c>
      <c r="K245" t="n">
        <v>2</v>
      </c>
      <c r="L245" s="3">
        <f>LN(B245)</f>
        <v>-13.015579627206314</v>
      </c>
      <c r="M245" t="n">
        <v>1</v>
      </c>
      <c r="N245" t="n">
        <v>1</v>
      </c>
      <c r="O245" t="n">
        <v>1</v>
      </c>
      <c r="P245" t="n">
        <v>1.02</v>
      </c>
      <c r="Q245" t="n">
        <v>1.2</v>
      </c>
      <c r="R245" t="n">
        <v>1</v>
      </c>
      <c r="S245" t="n">
        <v>1.05</v>
      </c>
      <c r="T245">
        <f>LN(SQRT(EXP(
SQRT(
+POWER(LN(M245),2)
+POWER(LN(N245),2)
+POWER(LN(O245),2)
+POWER(LN(P245),2)
+POWER(LN(Q245),2)
+POWER(LN(R245),2)
+POWER(LN(S245),2)
)
)))</f>
        <v>9.4886477223156879E-2</v>
      </c>
    </row>
    <row r="246">
      <c r="A246" t="inlineStr">
        <is>
          <t>Hydrochloric acid</t>
        </is>
      </c>
      <c r="B246">
        <f>unallocated!B102/I246*J246</f>
        <v>1.1126936086879117E-6</v>
      </c>
      <c r="D246" t="inlineStr">
        <is>
          <t>kilogram</t>
        </is>
      </c>
      <c r="E246" t="inlineStr">
        <is>
          <t>air</t>
        </is>
      </c>
      <c r="F246" t="inlineStr">
        <is>
          <t>biosphere</t>
        </is>
      </c>
      <c r="I246" t="n">
        <v>623</v>
      </c>
      <c r="J246" s="11">
        <f>J231</f>
        <v>0.23106937273752301</v>
      </c>
      <c r="K246" t="n">
        <v>2</v>
      </c>
      <c r="L246" s="3">
        <f>LN(B246)</f>
        <v>-13.70872680776626</v>
      </c>
      <c r="M246" t="n">
        <v>1</v>
      </c>
      <c r="N246" t="n">
        <v>1</v>
      </c>
      <c r="O246" t="n">
        <v>1</v>
      </c>
      <c r="P246" t="n">
        <v>1.02</v>
      </c>
      <c r="Q246" t="n">
        <v>1.2</v>
      </c>
      <c r="R246" t="n">
        <v>1</v>
      </c>
      <c r="S246" t="n">
        <v>1.5</v>
      </c>
      <c r="T246">
        <f>LN(SQRT(EXP(
SQRT(
+POWER(LN(M246),2)
+POWER(LN(N246),2)
+POWER(LN(O246),2)
+POWER(LN(P246),2)
+POWER(LN(Q246),2)
+POWER(LN(R246),2)
+POWER(LN(S246),2)
)
)))</f>
        <v>0.22250575723605889</v>
      </c>
    </row>
    <row r="247">
      <c r="A247" t="inlineStr">
        <is>
          <t>Nitrogen oxides</t>
        </is>
      </c>
      <c r="B247">
        <f>unallocated!B103/I247*J247</f>
        <v>2.5109785769390541E-4</v>
      </c>
      <c r="D247" t="inlineStr">
        <is>
          <t>kilogram</t>
        </is>
      </c>
      <c r="E247" t="inlineStr">
        <is>
          <t>air::urban air close to ground</t>
        </is>
      </c>
      <c r="F247" t="inlineStr">
        <is>
          <t>biosphere</t>
        </is>
      </c>
      <c r="I247" t="n">
        <v>623</v>
      </c>
      <c r="J247" s="11">
        <f>J231</f>
        <v>0.23106937273752301</v>
      </c>
      <c r="K247" t="n">
        <v>2</v>
      </c>
      <c r="L247" s="3">
        <f>LN(B247)</f>
        <v>-8.2896678235220946</v>
      </c>
      <c r="M247" t="n">
        <v>1</v>
      </c>
      <c r="N247" t="n">
        <v>1</v>
      </c>
      <c r="O247" t="n">
        <v>1</v>
      </c>
      <c r="P247" t="n">
        <v>1.02</v>
      </c>
      <c r="Q247" t="n">
        <v>1.2</v>
      </c>
      <c r="R247" t="n">
        <v>1</v>
      </c>
      <c r="S247" t="n">
        <v>1.5</v>
      </c>
      <c r="T247">
        <f>LN(SQRT(EXP(
SQRT(
+POWER(LN(M247),2)
+POWER(LN(N247),2)
+POWER(LN(O247),2)
+POWER(LN(P247),2)
+POWER(LN(Q247),2)
+POWER(LN(R247),2)
+POWER(LN(S247),2)
)
)))</f>
        <v>0.22250575723605889</v>
      </c>
    </row>
    <row r="248">
      <c r="A248" t="inlineStr">
        <is>
          <t>Ammonia</t>
        </is>
      </c>
      <c r="B248">
        <f>unallocated!B104/I248*J248</f>
        <v>3.7089786956263726E-7</v>
      </c>
      <c r="D248" t="inlineStr">
        <is>
          <t>kilogram</t>
        </is>
      </c>
      <c r="E248" t="inlineStr">
        <is>
          <t>air::urban air close to ground</t>
        </is>
      </c>
      <c r="F248" t="inlineStr">
        <is>
          <t>biosphere</t>
        </is>
      </c>
      <c r="I248" t="n">
        <v>623</v>
      </c>
      <c r="J248" s="11">
        <f>J231</f>
        <v>0.23106937273752301</v>
      </c>
      <c r="K248" t="n">
        <v>2</v>
      </c>
      <c r="L248" s="3">
        <f>LN(B248)</f>
        <v>-14.807339096434369</v>
      </c>
      <c r="M248" t="n">
        <v>1</v>
      </c>
      <c r="N248" t="n">
        <v>1</v>
      </c>
      <c r="O248" t="n">
        <v>1</v>
      </c>
      <c r="P248" t="n">
        <v>1.02</v>
      </c>
      <c r="Q248" t="n">
        <v>1.2</v>
      </c>
      <c r="R248" t="n">
        <v>1</v>
      </c>
      <c r="S248" t="n">
        <v>1.5</v>
      </c>
      <c r="T248">
        <f>LN(SQRT(EXP(
SQRT(
+POWER(LN(M248),2)
+POWER(LN(N248),2)
+POWER(LN(O248),2)
+POWER(LN(P248),2)
+POWER(LN(Q248),2)
+POWER(LN(R248),2)
+POWER(LN(S248),2)
)
)))</f>
        <v>0.22250575723605889</v>
      </c>
    </row>
    <row r="249">
      <c r="A249" t="inlineStr">
        <is>
          <t>Particulate Matter, &lt; 2.5 um</t>
        </is>
      </c>
      <c r="B249">
        <f>unallocated!B105/I249*J249</f>
        <v>2.2253872173758235E-6</v>
      </c>
      <c r="D249" t="inlineStr">
        <is>
          <t>kilogram</t>
        </is>
      </c>
      <c r="E249" t="inlineStr">
        <is>
          <t>air::urban air close to ground</t>
        </is>
      </c>
      <c r="F249" t="inlineStr">
        <is>
          <t>biosphere</t>
        </is>
      </c>
      <c r="I249" t="n">
        <v>623</v>
      </c>
      <c r="J249" s="11">
        <f>J231</f>
        <v>0.23106937273752301</v>
      </c>
      <c r="K249" t="n">
        <v>2</v>
      </c>
      <c r="L249" s="3">
        <f>LN(B249)</f>
        <v>-13.015579627206314</v>
      </c>
      <c r="M249" t="n">
        <v>1</v>
      </c>
      <c r="N249" t="n">
        <v>1</v>
      </c>
      <c r="O249" t="n">
        <v>1</v>
      </c>
      <c r="P249" t="n">
        <v>1.02</v>
      </c>
      <c r="Q249" t="n">
        <v>1.2</v>
      </c>
      <c r="R249" t="n">
        <v>1</v>
      </c>
      <c r="S249" t="n">
        <v>3</v>
      </c>
      <c r="T249">
        <f>LN(SQRT(EXP(
SQRT(
+POWER(LN(M249),2)
+POWER(LN(N249),2)
+POWER(LN(O249),2)
+POWER(LN(P249),2)
+POWER(LN(Q249),2)
+POWER(LN(R249),2)
+POWER(LN(S249),2)
)
)))</f>
        <v>0.5569071410325479</v>
      </c>
    </row>
    <row r="250">
      <c r="A250" t="inlineStr">
        <is>
          <t>Mercury II</t>
        </is>
      </c>
      <c r="B250">
        <f>unallocated!B106/I250*J250</f>
        <v>2.2253872173758236E-9</v>
      </c>
      <c r="D250" t="inlineStr">
        <is>
          <t>kilogram</t>
        </is>
      </c>
      <c r="E250" t="inlineStr">
        <is>
          <t>air::urban air close to ground</t>
        </is>
      </c>
      <c r="F250" t="inlineStr">
        <is>
          <t>biosphere</t>
        </is>
      </c>
      <c r="I250" t="n">
        <v>623</v>
      </c>
      <c r="J250" s="11">
        <f>J231</f>
        <v>0.23106937273752301</v>
      </c>
      <c r="K250" t="n">
        <v>2</v>
      </c>
      <c r="L250" s="3">
        <f>LN(B250)</f>
        <v>-19.923334906188451</v>
      </c>
      <c r="M250" t="n">
        <v>1</v>
      </c>
      <c r="N250" t="n">
        <v>1</v>
      </c>
      <c r="O250" t="n">
        <v>1</v>
      </c>
      <c r="P250" t="n">
        <v>1.02</v>
      </c>
      <c r="Q250" t="n">
        <v>1.2</v>
      </c>
      <c r="R250" t="n">
        <v>1</v>
      </c>
      <c r="S250" t="n">
        <v>5</v>
      </c>
      <c r="T250">
        <f>LN(SQRT(EXP(
SQRT(
+POWER(LN(M250),2)
+POWER(LN(N250),2)
+POWER(LN(O250),2)
+POWER(LN(P250),2)
+POWER(LN(Q250),2)
+POWER(LN(R250),2)
+POWER(LN(S250),2)
)
)))</f>
        <v>0.80992649174166365</v>
      </c>
    </row>
    <row r="251">
      <c r="A251" t="inlineStr">
        <is>
          <t>Lead II</t>
        </is>
      </c>
      <c r="B251">
        <f>unallocated!B107/I251*J251</f>
        <v>2.2253872173758236E-9</v>
      </c>
      <c r="D251" t="inlineStr">
        <is>
          <t>kilogram</t>
        </is>
      </c>
      <c r="E251" t="inlineStr">
        <is>
          <t>air::urban air close to ground</t>
        </is>
      </c>
      <c r="F251" t="inlineStr">
        <is>
          <t>biosphere</t>
        </is>
      </c>
      <c r="I251" t="n">
        <v>623</v>
      </c>
      <c r="J251" s="11">
        <f>J231</f>
        <v>0.23106937273752301</v>
      </c>
      <c r="K251" t="n">
        <v>2</v>
      </c>
      <c r="L251" s="3">
        <f>LN(B251)</f>
        <v>-19.923334906188451</v>
      </c>
      <c r="M251" t="n">
        <v>1</v>
      </c>
      <c r="N251" t="n">
        <v>1</v>
      </c>
      <c r="O251" t="n">
        <v>1</v>
      </c>
      <c r="P251" t="n">
        <v>1.02</v>
      </c>
      <c r="Q251" t="n">
        <v>1.2</v>
      </c>
      <c r="R251" t="n">
        <v>1</v>
      </c>
      <c r="S251" t="n">
        <v>5</v>
      </c>
      <c r="T251">
        <f>LN(SQRT(EXP(
SQRT(
+POWER(LN(M251),2)
+POWER(LN(N251),2)
+POWER(LN(O251),2)
+POWER(LN(P251),2)
+POWER(LN(Q251),2)
+POWER(LN(R251),2)
+POWER(LN(S251),2)
)
)))</f>
        <v>0.80992649174166365</v>
      </c>
    </row>
    <row r="252">
      <c r="A252" t="inlineStr">
        <is>
          <t>Cadmium II</t>
        </is>
      </c>
      <c r="B252">
        <f>unallocated!B108/I252*J252</f>
        <v>1.1126936086879118E-9</v>
      </c>
      <c r="D252" t="inlineStr">
        <is>
          <t>kilogram</t>
        </is>
      </c>
      <c r="E252" t="inlineStr">
        <is>
          <t>air::urban air close to ground</t>
        </is>
      </c>
      <c r="F252" t="inlineStr">
        <is>
          <t>biosphere</t>
        </is>
      </c>
      <c r="I252" t="n">
        <v>623</v>
      </c>
      <c r="J252" s="11">
        <f>J231</f>
        <v>0.23106937273752301</v>
      </c>
      <c r="K252" t="n">
        <v>2</v>
      </c>
      <c r="L252" s="3">
        <f>LN(B252)</f>
        <v>-20.616482086748398</v>
      </c>
      <c r="M252" t="n">
        <v>1</v>
      </c>
      <c r="N252" t="n">
        <v>1</v>
      </c>
      <c r="O252" t="n">
        <v>1</v>
      </c>
      <c r="P252" t="n">
        <v>1.02</v>
      </c>
      <c r="Q252" t="n">
        <v>1.2</v>
      </c>
      <c r="R252" t="n">
        <v>1</v>
      </c>
      <c r="S252" t="n">
        <v>5</v>
      </c>
      <c r="T252">
        <f>LN(SQRT(EXP(
SQRT(
+POWER(LN(M252),2)
+POWER(LN(N252),2)
+POWER(LN(O252),2)
+POWER(LN(P252),2)
+POWER(LN(Q252),2)
+POWER(LN(R252),2)
+POWER(LN(S252),2)
)
)))</f>
        <v>0.80992649174166365</v>
      </c>
    </row>
    <row r="253">
      <c r="A253" t="inlineStr">
        <is>
          <t>Arsenic ion</t>
        </is>
      </c>
      <c r="B253">
        <f>unallocated!B109/I253*J253</f>
        <v>1.1126936086879118E-9</v>
      </c>
      <c r="D253" t="inlineStr">
        <is>
          <t>kilogram</t>
        </is>
      </c>
      <c r="E253" t="inlineStr">
        <is>
          <t>air::urban air close to ground</t>
        </is>
      </c>
      <c r="F253" t="inlineStr">
        <is>
          <t>biosphere</t>
        </is>
      </c>
      <c r="I253" t="n">
        <v>623</v>
      </c>
      <c r="J253" s="11">
        <f>J231</f>
        <v>0.23106937273752301</v>
      </c>
      <c r="K253" t="n">
        <v>2</v>
      </c>
      <c r="L253" s="3">
        <f>LN(B253)</f>
        <v>-20.616482086748398</v>
      </c>
      <c r="M253" t="n">
        <v>1</v>
      </c>
      <c r="N253" t="n">
        <v>1</v>
      </c>
      <c r="O253" t="n">
        <v>1</v>
      </c>
      <c r="P253" t="n">
        <v>1.02</v>
      </c>
      <c r="Q253" t="n">
        <v>1.2</v>
      </c>
      <c r="R253" t="n">
        <v>1</v>
      </c>
      <c r="S253" t="n">
        <v>5</v>
      </c>
      <c r="T253">
        <f>LN(SQRT(EXP(
SQRT(
+POWER(LN(M253),2)
+POWER(LN(N253),2)
+POWER(LN(O253),2)
+POWER(LN(P253),2)
+POWER(LN(Q253),2)
+POWER(LN(R253),2)
+POWER(LN(S253),2)
)
)))</f>
        <v>0.80992649174166365</v>
      </c>
    </row>
    <row r="254">
      <c r="A254" t="inlineStr">
        <is>
          <t>Dioxins, measured as 2,3,7,8-tetrachlorodibenzo-p-dioxin</t>
        </is>
      </c>
      <c r="B254">
        <f>unallocated!B110/I254*J254</f>
        <v>4.0798765651890098E-14</v>
      </c>
      <c r="D254" t="inlineStr">
        <is>
          <t>kilogram</t>
        </is>
      </c>
      <c r="E254" t="inlineStr">
        <is>
          <t>air::urban air close to ground</t>
        </is>
      </c>
      <c r="F254" t="inlineStr">
        <is>
          <t>biosphere</t>
        </is>
      </c>
      <c r="I254" t="n">
        <v>623</v>
      </c>
      <c r="J254" s="11">
        <f>J231</f>
        <v>0.23106937273752301</v>
      </c>
      <c r="K254" t="n">
        <v>2</v>
      </c>
      <c r="L254" s="3">
        <f>LN(B254)</f>
        <v>-30.830124567588364</v>
      </c>
      <c r="M254" t="n">
        <v>1</v>
      </c>
      <c r="N254" t="n">
        <v>1</v>
      </c>
      <c r="O254" t="n">
        <v>1</v>
      </c>
      <c r="P254" t="n">
        <v>1.02</v>
      </c>
      <c r="Q254" t="n">
        <v>1.2</v>
      </c>
      <c r="R254" t="n">
        <v>1</v>
      </c>
      <c r="S254" t="n">
        <v>5</v>
      </c>
      <c r="T254">
        <f>LN(SQRT(EXP(
SQRT(
+POWER(LN(M254),2)
+POWER(LN(N254),2)
+POWER(LN(O254),2)
+POWER(LN(P254),2)
+POWER(LN(Q254),2)
+POWER(LN(R254),2)
+POWER(LN(S254),2)
)
)))</f>
        <v>0.80992649174166365</v>
      </c>
    </row>
    <row r="255">
      <c r="A255" t="inlineStr">
        <is>
          <t>Carbon dioxide, fossil</t>
        </is>
      </c>
      <c r="B255">
        <f>unallocated!B111/I255*J255</f>
        <v>0.13871580321642632</v>
      </c>
      <c r="D255" t="inlineStr">
        <is>
          <t>kilogram</t>
        </is>
      </c>
      <c r="E255" t="inlineStr">
        <is>
          <t>air::urban air close to ground</t>
        </is>
      </c>
      <c r="F255" t="inlineStr">
        <is>
          <t>biosphere</t>
        </is>
      </c>
      <c r="I255" t="n">
        <v>623</v>
      </c>
      <c r="J255" s="11">
        <f>J231</f>
        <v>0.23106937273752301</v>
      </c>
      <c r="K255" t="n">
        <v>2</v>
      </c>
      <c r="L255" s="3">
        <f>LN(B255)</f>
        <v>-1.9753280200377004</v>
      </c>
      <c r="M255" t="n">
        <v>1</v>
      </c>
      <c r="N255" t="n">
        <v>1</v>
      </c>
      <c r="O255" t="n">
        <v>1</v>
      </c>
      <c r="P255" t="n">
        <v>1.02</v>
      </c>
      <c r="Q255" t="n">
        <v>1.2</v>
      </c>
      <c r="R255" t="n">
        <v>1</v>
      </c>
      <c r="S255" t="n">
        <v>1.05</v>
      </c>
      <c r="T255">
        <f>LN(SQRT(EXP(
SQRT(
+POWER(LN(M255),2)
+POWER(LN(N255),2)
+POWER(LN(O255),2)
+POWER(LN(P255),2)
+POWER(LN(Q255),2)
+POWER(LN(R255),2)
+POWER(LN(S255),2)
)
)))</f>
        <v>9.4886477223156879E-2</v>
      </c>
    </row>
    <row r="256">
      <c r="A256" t="inlineStr">
        <is>
          <t>Carbon dioxide, non-fossil</t>
        </is>
      </c>
      <c r="B256">
        <f>unallocated!B112/I256*J256</f>
        <v>0.22031333452020654</v>
      </c>
      <c r="D256" t="inlineStr">
        <is>
          <t>kilogram</t>
        </is>
      </c>
      <c r="E256" t="inlineStr">
        <is>
          <t>air::urban air close to ground</t>
        </is>
      </c>
      <c r="F256" t="inlineStr">
        <is>
          <t>biosphere</t>
        </is>
      </c>
      <c r="I256" t="n">
        <v>623</v>
      </c>
      <c r="J256" s="11">
        <f>J231</f>
        <v>0.23106937273752301</v>
      </c>
      <c r="K256" t="n">
        <v>2</v>
      </c>
      <c r="L256" s="3">
        <f>LN(B256)</f>
        <v>-1.5127044980895872</v>
      </c>
      <c r="M256" t="n">
        <v>1</v>
      </c>
      <c r="N256" t="n">
        <v>1</v>
      </c>
      <c r="O256" t="n">
        <v>1</v>
      </c>
      <c r="P256" t="n">
        <v>1.02</v>
      </c>
      <c r="Q256" t="n">
        <v>1.2</v>
      </c>
      <c r="R256" t="n">
        <v>1</v>
      </c>
      <c r="S256" t="n">
        <v>1.05</v>
      </c>
      <c r="T256">
        <f>LN(SQRT(EXP(
SQRT(
+POWER(LN(M256),2)
+POWER(LN(N256),2)
+POWER(LN(O256),2)
+POWER(LN(P256),2)
+POWER(LN(Q256),2)
+POWER(LN(R256),2)
+POWER(LN(S256),2)
)
)))</f>
        <v>9.4886477223156879E-2</v>
      </c>
    </row>
    <row r="257"/>
    <row r="258">
      <c r="A258" s="1" t="inlineStr">
        <is>
          <t>Activity</t>
        </is>
      </c>
      <c r="B258" s="1" t="inlineStr">
        <is>
          <t>municipal waste incineration, at incineration plant, with semi-dry air pollution control, with flue gas condensation, with electricity and heat recovery, economic allocation</t>
        </is>
      </c>
    </row>
    <row r="259">
      <c r="A259" t="inlineStr">
        <is>
          <t>location</t>
        </is>
      </c>
      <c r="B259" t="inlineStr">
        <is>
          <t>RER</t>
        </is>
      </c>
    </row>
    <row r="260">
      <c r="A260" t="inlineStr">
        <is>
          <t>production amount</t>
        </is>
      </c>
      <c r="B260" t="n">
        <v>1</v>
      </c>
    </row>
    <row r="261">
      <c r="A261" s="2" t="inlineStr">
        <is>
          <t>source</t>
        </is>
      </c>
      <c r="B261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262">
      <c r="A262" t="inlineStr">
        <is>
          <t>reference product</t>
        </is>
      </c>
      <c r="B262" t="inlineStr">
        <is>
          <t>heat, district or industrial, other than natural gas</t>
        </is>
      </c>
    </row>
    <row r="263">
      <c r="A263" t="inlineStr">
        <is>
          <t>type</t>
        </is>
      </c>
      <c r="B263" t="inlineStr">
        <is>
          <t>process</t>
        </is>
      </c>
    </row>
    <row r="264">
      <c r="A264" t="inlineStr">
        <is>
          <t>unit</t>
        </is>
      </c>
      <c r="B264" t="inlineStr">
        <is>
          <t>megajoule</t>
        </is>
      </c>
    </row>
    <row r="265">
      <c r="A265" t="inlineStr">
        <is>
          <t>comment</t>
        </is>
      </c>
      <c r="B265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623 kWh. Heat production per ton MSWI incinerated: 7'860 MJ.</t>
        </is>
      </c>
    </row>
    <row r="266">
      <c r="A266" s="1" t="inlineStr">
        <is>
          <t>Exchanges</t>
        </is>
      </c>
    </row>
    <row r="267">
      <c r="A267" s="7" t="inlineStr">
        <is>
          <t>name</t>
        </is>
      </c>
      <c r="B267" s="7" t="inlineStr">
        <is>
          <t>amount</t>
        </is>
      </c>
      <c r="C267" s="7" t="inlineStr">
        <is>
          <t>location</t>
        </is>
      </c>
      <c r="D267" s="7" t="inlineStr">
        <is>
          <t>unit</t>
        </is>
      </c>
      <c r="E267" s="7" t="inlineStr">
        <is>
          <t>categories</t>
        </is>
      </c>
      <c r="F267" s="7" t="inlineStr">
        <is>
          <t>type</t>
        </is>
      </c>
      <c r="G267" s="7" t="inlineStr">
        <is>
          <t>reference product</t>
        </is>
      </c>
      <c r="H267" s="7" t="inlineStr">
        <is>
          <t>comment</t>
        </is>
      </c>
      <c r="I267" s="7" t="inlineStr">
        <is>
          <t>normalization</t>
        </is>
      </c>
      <c r="J267" s="7" t="inlineStr">
        <is>
          <t>allocation</t>
        </is>
      </c>
      <c r="K267" s="7" t="inlineStr">
        <is>
          <t>uncertainty type</t>
        </is>
      </c>
      <c r="L267" s="7" t="inlineStr">
        <is>
          <t>loc</t>
        </is>
      </c>
      <c r="M267" s="1" t="inlineStr">
        <is>
          <t>u1</t>
        </is>
      </c>
      <c r="N267" s="1" t="inlineStr">
        <is>
          <t>u2</t>
        </is>
      </c>
      <c r="O267" s="1" t="inlineStr">
        <is>
          <t>u3</t>
        </is>
      </c>
      <c r="P267" s="1" t="inlineStr">
        <is>
          <t>u4</t>
        </is>
      </c>
      <c r="Q267" s="1" t="inlineStr">
        <is>
          <t>u5</t>
        </is>
      </c>
      <c r="R267" s="1" t="inlineStr">
        <is>
          <t>u6</t>
        </is>
      </c>
      <c r="S267" s="1" t="inlineStr">
        <is>
          <t>ub</t>
        </is>
      </c>
      <c r="T267" s="1" t="inlineStr">
        <is>
          <t>scale</t>
        </is>
      </c>
      <c r="U267" s="1" t="inlineStr">
        <is>
          <t>negative</t>
        </is>
      </c>
    </row>
    <row r="268">
      <c r="A268" t="inlineStr">
        <is>
          <t>municipal waste incineration, at incineration plant, with semi-dry air pollution control, with flue gas condensation, with electricity and heat recovery, economic allocation</t>
        </is>
      </c>
      <c r="B268" t="n">
        <v>0</v>
      </c>
      <c r="C268" t="inlineStr">
        <is>
          <t>RER</t>
        </is>
      </c>
      <c r="D268" t="inlineStr">
        <is>
          <t>kilogram</t>
        </is>
      </c>
      <c r="F268" t="inlineStr">
        <is>
          <t>technosphere</t>
        </is>
      </c>
      <c r="G268" t="inlineStr">
        <is>
          <t>municipal solid waste</t>
        </is>
      </c>
      <c r="H268" t="inlineStr"/>
      <c r="I268" t="n">
        <v>7860</v>
      </c>
      <c r="J268" s="14">
        <f>INDEX('allocation keys'!$L$4:$N$30,MATCH('allocated (economic)'!$B$258,'allocation keys'!$B$4:$B$28,0),MATCH('allocated (economic)'!$B$262,'allocation keys'!$L$3:$N$3,0))</f>
        <v>0.30901726900480686</v>
      </c>
      <c r="K268" t="n">
        <v>0</v>
      </c>
      <c r="M268" s="5" t="n"/>
      <c r="N268" s="5" t="n"/>
      <c r="O268" s="5" t="n"/>
      <c r="P268" s="5" t="n"/>
      <c r="Q268" s="5" t="n"/>
      <c r="R268" s="5" t="n"/>
    </row>
    <row r="269">
      <c r="A269" t="inlineStr">
        <is>
          <t>municipal waste incineration, at incineration plant, with semi-dry air pollution control, with flue gas condensation, with electricity and heat recovery, economic allocation</t>
        </is>
      </c>
      <c r="B269" s="6" t="n">
        <v>0</v>
      </c>
      <c r="C269" t="inlineStr">
        <is>
          <t>RER</t>
        </is>
      </c>
      <c r="D269" t="inlineStr">
        <is>
          <t>kilowatt hour</t>
        </is>
      </c>
      <c r="F269" t="inlineStr">
        <is>
          <t>technosphere</t>
        </is>
      </c>
      <c r="G269" t="inlineStr">
        <is>
          <t>electricity, medium voltage</t>
        </is>
      </c>
      <c r="H269" t="inlineStr"/>
      <c r="I269" t="n">
        <v>7860</v>
      </c>
      <c r="J269" s="11">
        <f>J268</f>
        <v>0.30901726900480686</v>
      </c>
      <c r="K269" t="n">
        <v>0</v>
      </c>
      <c r="L269" s="3" t="n"/>
    </row>
    <row r="270">
      <c r="A270" t="inlineStr">
        <is>
          <t>municipal waste incineration, at incineration plant, with semi-dry air pollution control, with flue gas condensation, with electricity and heat recovery, economic allocation</t>
        </is>
      </c>
      <c r="B270" t="n">
        <v>1</v>
      </c>
      <c r="C270" t="inlineStr">
        <is>
          <t>RER</t>
        </is>
      </c>
      <c r="D270" t="inlineStr">
        <is>
          <t>megajoule</t>
        </is>
      </c>
      <c r="F270" t="inlineStr">
        <is>
          <t>production</t>
        </is>
      </c>
      <c r="G270" t="inlineStr">
        <is>
          <t>heat, district or industrial, other than natural gas</t>
        </is>
      </c>
      <c r="H270" t="inlineStr"/>
      <c r="I270" t="n">
        <v>7860</v>
      </c>
      <c r="J270" s="11">
        <f>J268</f>
        <v>0.30901726900480686</v>
      </c>
      <c r="K270" t="n">
        <v>0</v>
      </c>
      <c r="L270" s="3" t="n"/>
    </row>
    <row r="271">
      <c r="A271" t="inlineStr">
        <is>
          <t>market for diesel, low-sulfur</t>
        </is>
      </c>
      <c r="B271">
        <f>unallocated!B90/I271*J271</f>
        <v>3.3417898047593619E-6</v>
      </c>
      <c r="C271" t="inlineStr">
        <is>
          <t>Europe without Switzerland</t>
        </is>
      </c>
      <c r="D271" t="inlineStr">
        <is>
          <t>kilogram</t>
        </is>
      </c>
      <c r="F271" t="inlineStr">
        <is>
          <t>technosphere</t>
        </is>
      </c>
      <c r="G271" t="inlineStr">
        <is>
          <t>diesel, low-sulfur</t>
        </is>
      </c>
      <c r="H271" t="inlineStr">
        <is>
          <t>Diesel density: 0.85 kg/l</t>
        </is>
      </c>
      <c r="I271" t="n">
        <v>7860</v>
      </c>
      <c r="J271" s="11">
        <f>J268</f>
        <v>0.30901726900480686</v>
      </c>
      <c r="K271" t="n">
        <v>2</v>
      </c>
      <c r="L271" s="3">
        <f>LN(B271)</f>
        <v>-12.609004024814123</v>
      </c>
      <c r="M271" t="n">
        <v>1</v>
      </c>
      <c r="N271" t="n">
        <v>1</v>
      </c>
      <c r="O271" t="n">
        <v>1</v>
      </c>
      <c r="P271" t="n">
        <v>1.02</v>
      </c>
      <c r="Q271" t="n">
        <v>1.2</v>
      </c>
      <c r="R271" t="n">
        <v>1</v>
      </c>
      <c r="S271" t="n">
        <v>1.05</v>
      </c>
      <c r="T271">
        <f>LN(SQRT(EXP(
SQRT(
+POWER(LN(M271),2)
+POWER(LN(N271),2)
+POWER(LN(O271),2)
+POWER(LN(P271),2)
+POWER(LN(Q271),2)
+POWER(LN(R271),2)
+POWER(LN(S271),2)
)
)))</f>
        <v>9.4886477223156879E-2</v>
      </c>
    </row>
    <row r="272">
      <c r="A272" t="inlineStr">
        <is>
          <t>market for activated carbon, granular</t>
        </is>
      </c>
      <c r="B272">
        <f>unallocated!B91/I272*J272</f>
        <v>1.5726069669455821E-5</v>
      </c>
      <c r="C272" t="inlineStr">
        <is>
          <t>GLO</t>
        </is>
      </c>
      <c r="D272" t="inlineStr">
        <is>
          <t>kilogram</t>
        </is>
      </c>
      <c r="F272" t="inlineStr">
        <is>
          <t>technosphere</t>
        </is>
      </c>
      <c r="G272" t="inlineStr">
        <is>
          <t>activated carbon, granular</t>
        </is>
      </c>
      <c r="I272" t="n">
        <v>7860</v>
      </c>
      <c r="J272" s="11">
        <f>J268</f>
        <v>0.30901726900480686</v>
      </c>
      <c r="K272" t="n">
        <v>2</v>
      </c>
      <c r="L272" s="3">
        <f>LN(B272)</f>
        <v>-11.060190734196457</v>
      </c>
      <c r="M272" t="n">
        <v>1</v>
      </c>
      <c r="N272" t="n">
        <v>1</v>
      </c>
      <c r="O272" t="n">
        <v>1</v>
      </c>
      <c r="P272" t="n">
        <v>1.02</v>
      </c>
      <c r="Q272" t="n">
        <v>1.2</v>
      </c>
      <c r="R272" t="n">
        <v>1</v>
      </c>
      <c r="S272" t="n">
        <v>1.05</v>
      </c>
      <c r="T272">
        <f>LN(SQRT(EXP(
SQRT(
+POWER(LN(M272),2)
+POWER(LN(N272),2)
+POWER(LN(O272),2)
+POWER(LN(P272),2)
+POWER(LN(Q272),2)
+POWER(LN(R272),2)
+POWER(LN(S272),2)
)
)))</f>
        <v>9.4886477223156879E-2</v>
      </c>
    </row>
    <row r="273">
      <c r="A273" t="inlineStr">
        <is>
          <t>market for ammonia, anhydrous, liquid</t>
        </is>
      </c>
      <c r="B273">
        <f>unallocated!B92/I273*J273</f>
        <v>3.8528870690166756E-5</v>
      </c>
      <c r="C273" t="inlineStr">
        <is>
          <t>RER</t>
        </is>
      </c>
      <c r="D273" t="inlineStr">
        <is>
          <t>kilogram</t>
        </is>
      </c>
      <c r="F273" t="inlineStr">
        <is>
          <t>technosphere</t>
        </is>
      </c>
      <c r="G273" t="inlineStr">
        <is>
          <t>ammonia, anhydrous, liquid</t>
        </is>
      </c>
      <c r="H273" t="inlineStr">
        <is>
          <t>100% liquid ammonia. In original publication, it is dilluated to 23.5% in water. We discount the original value by 75%.</t>
        </is>
      </c>
      <c r="I273" t="n">
        <v>7860</v>
      </c>
      <c r="J273" s="11">
        <f>J268</f>
        <v>0.30901726900480686</v>
      </c>
      <c r="K273" t="n">
        <v>2</v>
      </c>
      <c r="L273" s="3">
        <f>LN(B273)</f>
        <v>-10.164102709639822</v>
      </c>
      <c r="M273" t="n">
        <v>1</v>
      </c>
      <c r="N273" t="n">
        <v>1</v>
      </c>
      <c r="O273" t="n">
        <v>1</v>
      </c>
      <c r="P273" t="n">
        <v>1.02</v>
      </c>
      <c r="Q273" t="n">
        <v>1.2</v>
      </c>
      <c r="R273" t="n">
        <v>1</v>
      </c>
      <c r="S273" t="n">
        <v>1.05</v>
      </c>
      <c r="T273">
        <f>LN(SQRT(EXP(
SQRT(
+POWER(LN(M273),2)
+POWER(LN(N273),2)
+POWER(LN(O273),2)
+POWER(LN(P273),2)
+POWER(LN(Q273),2)
+POWER(LN(R273),2)
+POWER(LN(S273),2)
)
)))</f>
        <v>9.4886477223156879E-2</v>
      </c>
    </row>
    <row r="274">
      <c r="A274" t="inlineStr">
        <is>
          <t>market for tap water</t>
        </is>
      </c>
      <c r="B274">
        <f>unallocated!B93/I274*J274</f>
        <v>1.1873182600439144E-4</v>
      </c>
      <c r="C274" t="inlineStr">
        <is>
          <t>Europe without Switzerland</t>
        </is>
      </c>
      <c r="D274" t="inlineStr">
        <is>
          <t>kilogram</t>
        </is>
      </c>
      <c r="F274" t="inlineStr">
        <is>
          <t>technosphere</t>
        </is>
      </c>
      <c r="G274" t="inlineStr">
        <is>
          <t>tap water</t>
        </is>
      </c>
      <c r="H274" t="inlineStr">
        <is>
          <t>Used to dilute the ammonia.</t>
        </is>
      </c>
      <c r="I274" t="n">
        <v>7860</v>
      </c>
      <c r="J274" s="11">
        <f>J268</f>
        <v>0.30901726900480686</v>
      </c>
      <c r="K274" t="n">
        <v>2</v>
      </c>
      <c r="L274" s="3">
        <f>LN(B274)</f>
        <v>-9.0386431709355239</v>
      </c>
      <c r="M274" t="n">
        <v>1</v>
      </c>
      <c r="N274" t="n">
        <v>1</v>
      </c>
      <c r="O274" t="n">
        <v>1</v>
      </c>
      <c r="P274" t="n">
        <v>1.02</v>
      </c>
      <c r="Q274" t="n">
        <v>1.2</v>
      </c>
      <c r="R274" t="n">
        <v>1</v>
      </c>
      <c r="S274" t="n">
        <v>1.05</v>
      </c>
      <c r="T274">
        <f>LN(SQRT(EXP(
SQRT(
+POWER(LN(M274),2)
+POWER(LN(N274),2)
+POWER(LN(O274),2)
+POWER(LN(P274),2)
+POWER(LN(Q274),2)
+POWER(LN(R274),2)
+POWER(LN(S274),2)
)
)))</f>
        <v>9.4886477223156879E-2</v>
      </c>
    </row>
    <row r="275">
      <c r="A275" t="inlineStr">
        <is>
          <t>market for calcium carbonate, precipitated</t>
        </is>
      </c>
      <c r="B275">
        <f>unallocated!B94/I275*J275</f>
        <v>0</v>
      </c>
      <c r="C275" t="inlineStr">
        <is>
          <t>RER</t>
        </is>
      </c>
      <c r="D275" t="inlineStr">
        <is>
          <t>kilogram</t>
        </is>
      </c>
      <c r="F275" t="inlineStr">
        <is>
          <t>technosphere</t>
        </is>
      </c>
      <c r="G275" t="inlineStr">
        <is>
          <t>calcium carbonate, precipitated</t>
        </is>
      </c>
      <c r="I275" t="n">
        <v>7860</v>
      </c>
      <c r="J275" s="11">
        <f>J268</f>
        <v>0.30901726900480686</v>
      </c>
      <c r="K275" t="n">
        <v>0</v>
      </c>
      <c r="L275" s="3" t="n"/>
    </row>
    <row r="276">
      <c r="A276" t="inlineStr">
        <is>
          <t>market for iron(III) chloride, without water, in 40% solution state</t>
        </is>
      </c>
      <c r="B276">
        <f>unallocated!B95/I276*J276</f>
        <v>0</v>
      </c>
      <c r="C276" t="inlineStr">
        <is>
          <t>GLO</t>
        </is>
      </c>
      <c r="D276" t="inlineStr">
        <is>
          <t>kilogram</t>
        </is>
      </c>
      <c r="F276" t="inlineStr">
        <is>
          <t>technosphere</t>
        </is>
      </c>
      <c r="G276" t="inlineStr">
        <is>
          <t>iron(III) chloride, without water, in 40% solution state</t>
        </is>
      </c>
      <c r="I276" t="n">
        <v>7860</v>
      </c>
      <c r="J276" s="11">
        <f>J268</f>
        <v>0.30901726900480686</v>
      </c>
      <c r="K276" t="n">
        <v>0</v>
      </c>
      <c r="L276" s="3" t="n"/>
    </row>
    <row r="277">
      <c r="A277" t="inlineStr">
        <is>
          <t>market for lime, hydrated, packed</t>
        </is>
      </c>
      <c r="B277">
        <f>unallocated!B96/I277*J277</f>
        <v>3.9315174173639551E-4</v>
      </c>
      <c r="C277" t="inlineStr">
        <is>
          <t>RER</t>
        </is>
      </c>
      <c r="D277" t="inlineStr">
        <is>
          <t>kilogram</t>
        </is>
      </c>
      <c r="F277" t="inlineStr">
        <is>
          <t>technosphere</t>
        </is>
      </c>
      <c r="G277" t="inlineStr">
        <is>
          <t>lime, hydrated, packed</t>
        </is>
      </c>
      <c r="I277" t="n">
        <v>7860</v>
      </c>
      <c r="J277" s="11">
        <f>J268</f>
        <v>0.30901726900480686</v>
      </c>
      <c r="K277" t="n">
        <v>2</v>
      </c>
      <c r="L277" s="3">
        <f>LN(B277)</f>
        <v>-7.8413149093282568</v>
      </c>
      <c r="M277" t="n">
        <v>1</v>
      </c>
      <c r="N277" t="n">
        <v>1</v>
      </c>
      <c r="O277" t="n">
        <v>1</v>
      </c>
      <c r="P277" t="n">
        <v>1.02</v>
      </c>
      <c r="Q277" t="n">
        <v>1.2</v>
      </c>
      <c r="R277" t="n">
        <v>1</v>
      </c>
      <c r="S277" t="n">
        <v>1.05</v>
      </c>
      <c r="T277">
        <f>LN(SQRT(EXP(
SQRT(
+POWER(LN(M277),2)
+POWER(LN(N277),2)
+POWER(LN(O277),2)
+POWER(LN(P277),2)
+POWER(LN(Q277),2)
+POWER(LN(R277),2)
+POWER(LN(S277),2)
)
)))</f>
        <v>9.4886477223156879E-2</v>
      </c>
    </row>
    <row r="278">
      <c r="A278" t="inlineStr">
        <is>
          <t>market for sodium hydroxide, without water, in 50% solution state</t>
        </is>
      </c>
      <c r="B278">
        <f>unallocated!B97/I278*J278</f>
        <v>9.8287935434098867E-6</v>
      </c>
      <c r="C278" t="inlineStr">
        <is>
          <t>RER</t>
        </is>
      </c>
      <c r="D278" t="inlineStr">
        <is>
          <t>kilogram</t>
        </is>
      </c>
      <c r="F278" t="inlineStr">
        <is>
          <t>technosphere</t>
        </is>
      </c>
      <c r="G278" t="inlineStr">
        <is>
          <t>sodium hydroxide, without water, in 50% solution state</t>
        </is>
      </c>
      <c r="H278" t="inlineStr">
        <is>
          <t>50% liquid ammonia. In original publication, it is dilluated to 27% in water. We discount the original value by 50%.</t>
        </is>
      </c>
      <c r="I278" t="n">
        <v>7860</v>
      </c>
      <c r="J278" s="11">
        <f>J268</f>
        <v>0.30901726900480686</v>
      </c>
      <c r="K278" t="n">
        <v>0</v>
      </c>
      <c r="L278" s="3" t="n"/>
    </row>
    <row r="279">
      <c r="A279" t="inlineStr">
        <is>
          <t>market for monoethanolamine</t>
        </is>
      </c>
      <c r="B279">
        <f>unallocated!B98/I279*J279</f>
        <v>0</v>
      </c>
      <c r="C279" t="inlineStr">
        <is>
          <t>GLO</t>
        </is>
      </c>
      <c r="D279" t="inlineStr">
        <is>
          <t>kilogram</t>
        </is>
      </c>
      <c r="F279" t="inlineStr">
        <is>
          <t>technosphere</t>
        </is>
      </c>
      <c r="G279" t="inlineStr">
        <is>
          <t>monoethanolamine</t>
        </is>
      </c>
      <c r="I279" t="n">
        <v>7860</v>
      </c>
      <c r="J279" s="11">
        <f>J268</f>
        <v>0.30901726900480686</v>
      </c>
      <c r="K279" t="n">
        <v>0</v>
      </c>
      <c r="L279" s="3" t="n"/>
    </row>
    <row r="280">
      <c r="A280" t="inlineStr">
        <is>
          <t>municipal waste incineration facility construction</t>
        </is>
      </c>
      <c r="B280">
        <f>unallocated!B99/I280*J280</f>
        <v>9.8287935434098874E-12</v>
      </c>
      <c r="C280" t="inlineStr">
        <is>
          <t>CH</t>
        </is>
      </c>
      <c r="D280" t="inlineStr">
        <is>
          <t>unit</t>
        </is>
      </c>
      <c r="F280" t="inlineStr">
        <is>
          <t>technosphere</t>
        </is>
      </c>
      <c r="G280" t="inlineStr">
        <is>
          <t>municipal waste incineration facility</t>
        </is>
      </c>
      <c r="H280" t="inlineStr">
        <is>
          <t>Lifetime: 4'000'000 tons MSWI treated.</t>
        </is>
      </c>
      <c r="I280" t="n">
        <v>7860</v>
      </c>
      <c r="J280" s="11">
        <f>J268</f>
        <v>0.30901726900480686</v>
      </c>
      <c r="K280" t="n">
        <v>2</v>
      </c>
      <c r="L280" s="3">
        <f>LN(B280)</f>
        <v>-25.345704921406465</v>
      </c>
      <c r="M280" t="n">
        <v>1</v>
      </c>
      <c r="N280" t="n">
        <v>1</v>
      </c>
      <c r="O280" t="n">
        <v>1</v>
      </c>
      <c r="P280" t="n">
        <v>1.02</v>
      </c>
      <c r="Q280" t="n">
        <v>1.2</v>
      </c>
      <c r="R280" t="n">
        <v>1</v>
      </c>
      <c r="S280" t="n">
        <v>3</v>
      </c>
      <c r="T280">
        <f>LN(SQRT(EXP(
SQRT(
+POWER(LN(M280),2)
+POWER(LN(N280),2)
+POWER(LN(O280),2)
+POWER(LN(P280),2)
+POWER(LN(Q280),2)
+POWER(LN(R280),2)
+POWER(LN(S280),2)
)
)))</f>
        <v>0.5569071410325479</v>
      </c>
    </row>
    <row r="281">
      <c r="A281" t="inlineStr">
        <is>
          <t>Water, cooling, unspecified natural origin</t>
        </is>
      </c>
      <c r="B281">
        <f>unallocated!B100/I281*J281</f>
        <v>0</v>
      </c>
      <c r="D281" t="inlineStr">
        <is>
          <t>cubic meter</t>
        </is>
      </c>
      <c r="E281" t="inlineStr">
        <is>
          <t>natural resource::in water</t>
        </is>
      </c>
      <c r="F281" t="inlineStr">
        <is>
          <t>biosphere</t>
        </is>
      </c>
      <c r="I281" t="n">
        <v>7860</v>
      </c>
      <c r="J281" s="11">
        <f>J268</f>
        <v>0.30901726900480686</v>
      </c>
      <c r="K281" t="n">
        <v>0</v>
      </c>
      <c r="L281" s="3" t="n"/>
    </row>
    <row r="282">
      <c r="A282" t="inlineStr">
        <is>
          <t>Sulfur dioxide</t>
        </is>
      </c>
      <c r="B282">
        <f>unallocated!B101/I282*J282</f>
        <v>2.358910450418373E-7</v>
      </c>
      <c r="D282" t="inlineStr">
        <is>
          <t>kilogram</t>
        </is>
      </c>
      <c r="E282" t="inlineStr">
        <is>
          <t>air::urban air close to ground</t>
        </is>
      </c>
      <c r="F282" t="inlineStr">
        <is>
          <t>biosphere</t>
        </is>
      </c>
      <c r="I282" t="n">
        <v>7860</v>
      </c>
      <c r="J282" s="11">
        <f>J268</f>
        <v>0.30901726900480686</v>
      </c>
      <c r="K282" t="n">
        <v>2</v>
      </c>
      <c r="L282" s="3">
        <f>LN(B282)</f>
        <v>-15.259895812076385</v>
      </c>
      <c r="M282" t="n">
        <v>1</v>
      </c>
      <c r="N282" t="n">
        <v>1</v>
      </c>
      <c r="O282" t="n">
        <v>1</v>
      </c>
      <c r="P282" t="n">
        <v>1.02</v>
      </c>
      <c r="Q282" t="n">
        <v>1.2</v>
      </c>
      <c r="R282" t="n">
        <v>1</v>
      </c>
      <c r="S282" t="n">
        <v>1.05</v>
      </c>
      <c r="T282">
        <f>LN(SQRT(EXP(
SQRT(
+POWER(LN(M282),2)
+POWER(LN(N282),2)
+POWER(LN(O282),2)
+POWER(LN(P282),2)
+POWER(LN(Q282),2)
+POWER(LN(R282),2)
+POWER(LN(S282),2)
)
)))</f>
        <v>9.4886477223156879E-2</v>
      </c>
    </row>
    <row r="283">
      <c r="A283" t="inlineStr">
        <is>
          <t>Hydrochloric acid</t>
        </is>
      </c>
      <c r="B283">
        <f>unallocated!B102/I283*J283</f>
        <v>1.1794552252091865E-7</v>
      </c>
      <c r="D283" t="inlineStr">
        <is>
          <t>kilogram</t>
        </is>
      </c>
      <c r="E283" t="inlineStr">
        <is>
          <t>air</t>
        </is>
      </c>
      <c r="F283" t="inlineStr">
        <is>
          <t>biosphere</t>
        </is>
      </c>
      <c r="I283" t="n">
        <v>7860</v>
      </c>
      <c r="J283" s="11">
        <f>J268</f>
        <v>0.30901726900480686</v>
      </c>
      <c r="K283" t="n">
        <v>2</v>
      </c>
      <c r="L283" s="3">
        <f>LN(B283)</f>
        <v>-15.953042992636329</v>
      </c>
      <c r="M283" t="n">
        <v>1</v>
      </c>
      <c r="N283" t="n">
        <v>1</v>
      </c>
      <c r="O283" t="n">
        <v>1</v>
      </c>
      <c r="P283" t="n">
        <v>1.02</v>
      </c>
      <c r="Q283" t="n">
        <v>1.2</v>
      </c>
      <c r="R283" t="n">
        <v>1</v>
      </c>
      <c r="S283" t="n">
        <v>1.5</v>
      </c>
      <c r="T283">
        <f>LN(SQRT(EXP(
SQRT(
+POWER(LN(M283),2)
+POWER(LN(N283),2)
+POWER(LN(O283),2)
+POWER(LN(P283),2)
+POWER(LN(Q283),2)
+POWER(LN(R283),2)
+POWER(LN(S283),2)
)
)))</f>
        <v>0.22250575723605889</v>
      </c>
    </row>
    <row r="284">
      <c r="A284" t="inlineStr">
        <is>
          <t>Nitrogen oxides</t>
        </is>
      </c>
      <c r="B284">
        <f>unallocated!B103/I284*J284</f>
        <v>2.6616372915553974E-5</v>
      </c>
      <c r="D284" t="inlineStr">
        <is>
          <t>kilogram</t>
        </is>
      </c>
      <c r="E284" t="inlineStr">
        <is>
          <t>air::urban air close to ground</t>
        </is>
      </c>
      <c r="F284" t="inlineStr">
        <is>
          <t>biosphere</t>
        </is>
      </c>
      <c r="I284" t="n">
        <v>7860</v>
      </c>
      <c r="J284" s="11">
        <f>J268</f>
        <v>0.30901726900480686</v>
      </c>
      <c r="K284" t="n">
        <v>2</v>
      </c>
      <c r="L284" s="3">
        <f>LN(B284)</f>
        <v>-10.533984008392164</v>
      </c>
      <c r="M284" t="n">
        <v>1</v>
      </c>
      <c r="N284" t="n">
        <v>1</v>
      </c>
      <c r="O284" t="n">
        <v>1</v>
      </c>
      <c r="P284" t="n">
        <v>1.02</v>
      </c>
      <c r="Q284" t="n">
        <v>1.2</v>
      </c>
      <c r="R284" t="n">
        <v>1</v>
      </c>
      <c r="S284" t="n">
        <v>1.5</v>
      </c>
      <c r="T284">
        <f>LN(SQRT(EXP(
SQRT(
+POWER(LN(M284),2)
+POWER(LN(N284),2)
+POWER(LN(O284),2)
+POWER(LN(P284),2)
+POWER(LN(Q284),2)
+POWER(LN(R284),2)
+POWER(LN(S284),2)
)
)))</f>
        <v>0.22250575723605889</v>
      </c>
    </row>
    <row r="285">
      <c r="A285" t="inlineStr">
        <is>
          <t>Ammonia</t>
        </is>
      </c>
      <c r="B285">
        <f>unallocated!B104/I285*J285</f>
        <v>3.9315174173639551E-8</v>
      </c>
      <c r="D285" t="inlineStr">
        <is>
          <t>kilogram</t>
        </is>
      </c>
      <c r="E285" t="inlineStr">
        <is>
          <t>air::urban air close to ground</t>
        </is>
      </c>
      <c r="F285" t="inlineStr">
        <is>
          <t>biosphere</t>
        </is>
      </c>
      <c r="I285" t="n">
        <v>7860</v>
      </c>
      <c r="J285" s="11">
        <f>J268</f>
        <v>0.30901726900480686</v>
      </c>
      <c r="K285" t="n">
        <v>2</v>
      </c>
      <c r="L285" s="3">
        <f>LN(B285)</f>
        <v>-17.051655281304438</v>
      </c>
      <c r="M285" t="n">
        <v>1</v>
      </c>
      <c r="N285" t="n">
        <v>1</v>
      </c>
      <c r="O285" t="n">
        <v>1</v>
      </c>
      <c r="P285" t="n">
        <v>1.02</v>
      </c>
      <c r="Q285" t="n">
        <v>1.2</v>
      </c>
      <c r="R285" t="n">
        <v>1</v>
      </c>
      <c r="S285" t="n">
        <v>1.5</v>
      </c>
      <c r="T285">
        <f>LN(SQRT(EXP(
SQRT(
+POWER(LN(M285),2)
+POWER(LN(N285),2)
+POWER(LN(O285),2)
+POWER(LN(P285),2)
+POWER(LN(Q285),2)
+POWER(LN(R285),2)
+POWER(LN(S285),2)
)
)))</f>
        <v>0.22250575723605889</v>
      </c>
    </row>
    <row r="286">
      <c r="A286" t="inlineStr">
        <is>
          <t>Particulate Matter, &lt; 2.5 um</t>
        </is>
      </c>
      <c r="B286">
        <f>unallocated!B105/I286*J286</f>
        <v>2.358910450418373E-7</v>
      </c>
      <c r="D286" t="inlineStr">
        <is>
          <t>kilogram</t>
        </is>
      </c>
      <c r="E286" t="inlineStr">
        <is>
          <t>air::urban air close to ground</t>
        </is>
      </c>
      <c r="F286" t="inlineStr">
        <is>
          <t>biosphere</t>
        </is>
      </c>
      <c r="I286" t="n">
        <v>7860</v>
      </c>
      <c r="J286" s="11">
        <f>J268</f>
        <v>0.30901726900480686</v>
      </c>
      <c r="K286" t="n">
        <v>2</v>
      </c>
      <c r="L286" s="3">
        <f>LN(B286)</f>
        <v>-15.259895812076385</v>
      </c>
      <c r="M286" t="n">
        <v>1</v>
      </c>
      <c r="N286" t="n">
        <v>1</v>
      </c>
      <c r="O286" t="n">
        <v>1</v>
      </c>
      <c r="P286" t="n">
        <v>1.02</v>
      </c>
      <c r="Q286" t="n">
        <v>1.2</v>
      </c>
      <c r="R286" t="n">
        <v>1</v>
      </c>
      <c r="S286" t="n">
        <v>3</v>
      </c>
      <c r="T286">
        <f>LN(SQRT(EXP(
SQRT(
+POWER(LN(M286),2)
+POWER(LN(N286),2)
+POWER(LN(O286),2)
+POWER(LN(P286),2)
+POWER(LN(Q286),2)
+POWER(LN(R286),2)
+POWER(LN(S286),2)
)
)))</f>
        <v>0.5569071410325479</v>
      </c>
    </row>
    <row r="287">
      <c r="A287" t="inlineStr">
        <is>
          <t>Mercury II</t>
        </is>
      </c>
      <c r="B287">
        <f>unallocated!B106/I287*J287</f>
        <v>2.358910450418373E-10</v>
      </c>
      <c r="D287" t="inlineStr">
        <is>
          <t>kilogram</t>
        </is>
      </c>
      <c r="E287" t="inlineStr">
        <is>
          <t>air::urban air close to ground</t>
        </is>
      </c>
      <c r="F287" t="inlineStr">
        <is>
          <t>biosphere</t>
        </is>
      </c>
      <c r="I287" t="n">
        <v>7860</v>
      </c>
      <c r="J287" s="11">
        <f>J268</f>
        <v>0.30901726900480686</v>
      </c>
      <c r="K287" t="n">
        <v>2</v>
      </c>
      <c r="L287" s="3">
        <f>LN(B287)</f>
        <v>-22.16765109105852</v>
      </c>
      <c r="M287" t="n">
        <v>1</v>
      </c>
      <c r="N287" t="n">
        <v>1</v>
      </c>
      <c r="O287" t="n">
        <v>1</v>
      </c>
      <c r="P287" t="n">
        <v>1.02</v>
      </c>
      <c r="Q287" t="n">
        <v>1.2</v>
      </c>
      <c r="R287" t="n">
        <v>1</v>
      </c>
      <c r="S287" t="n">
        <v>5</v>
      </c>
      <c r="T287">
        <f>LN(SQRT(EXP(
SQRT(
+POWER(LN(M287),2)
+POWER(LN(N287),2)
+POWER(LN(O287),2)
+POWER(LN(P287),2)
+POWER(LN(Q287),2)
+POWER(LN(R287),2)
+POWER(LN(S287),2)
)
)))</f>
        <v>0.80992649174166365</v>
      </c>
    </row>
    <row r="288">
      <c r="A288" t="inlineStr">
        <is>
          <t>Lead II</t>
        </is>
      </c>
      <c r="B288">
        <f>unallocated!B107/I288*J288</f>
        <v>2.358910450418373E-10</v>
      </c>
      <c r="D288" t="inlineStr">
        <is>
          <t>kilogram</t>
        </is>
      </c>
      <c r="E288" t="inlineStr">
        <is>
          <t>air::urban air close to ground</t>
        </is>
      </c>
      <c r="F288" t="inlineStr">
        <is>
          <t>biosphere</t>
        </is>
      </c>
      <c r="I288" t="n">
        <v>7860</v>
      </c>
      <c r="J288" s="11">
        <f>J268</f>
        <v>0.30901726900480686</v>
      </c>
      <c r="K288" t="n">
        <v>2</v>
      </c>
      <c r="L288" s="3">
        <f>LN(B288)</f>
        <v>-22.16765109105852</v>
      </c>
      <c r="M288" t="n">
        <v>1</v>
      </c>
      <c r="N288" t="n">
        <v>1</v>
      </c>
      <c r="O288" t="n">
        <v>1</v>
      </c>
      <c r="P288" t="n">
        <v>1.02</v>
      </c>
      <c r="Q288" t="n">
        <v>1.2</v>
      </c>
      <c r="R288" t="n">
        <v>1</v>
      </c>
      <c r="S288" t="n">
        <v>5</v>
      </c>
      <c r="T288">
        <f>LN(SQRT(EXP(
SQRT(
+POWER(LN(M288),2)
+POWER(LN(N288),2)
+POWER(LN(O288),2)
+POWER(LN(P288),2)
+POWER(LN(Q288),2)
+POWER(LN(R288),2)
+POWER(LN(S288),2)
)
)))</f>
        <v>0.80992649174166365</v>
      </c>
    </row>
    <row r="289">
      <c r="A289" t="inlineStr">
        <is>
          <t>Cadmium II</t>
        </is>
      </c>
      <c r="B289">
        <f>unallocated!B108/I289*J289</f>
        <v>1.1794552252091865E-10</v>
      </c>
      <c r="D289" t="inlineStr">
        <is>
          <t>kilogram</t>
        </is>
      </c>
      <c r="E289" t="inlineStr">
        <is>
          <t>air::urban air close to ground</t>
        </is>
      </c>
      <c r="F289" t="inlineStr">
        <is>
          <t>biosphere</t>
        </is>
      </c>
      <c r="I289" t="n">
        <v>7860</v>
      </c>
      <c r="J289" s="11">
        <f>J268</f>
        <v>0.30901726900480686</v>
      </c>
      <c r="K289" t="n">
        <v>2</v>
      </c>
      <c r="L289" s="3">
        <f>LN(B289)</f>
        <v>-22.860798271618467</v>
      </c>
      <c r="M289" t="n">
        <v>1</v>
      </c>
      <c r="N289" t="n">
        <v>1</v>
      </c>
      <c r="O289" t="n">
        <v>1</v>
      </c>
      <c r="P289" t="n">
        <v>1.02</v>
      </c>
      <c r="Q289" t="n">
        <v>1.2</v>
      </c>
      <c r="R289" t="n">
        <v>1</v>
      </c>
      <c r="S289" t="n">
        <v>5</v>
      </c>
      <c r="T289">
        <f>LN(SQRT(EXP(
SQRT(
+POWER(LN(M289),2)
+POWER(LN(N289),2)
+POWER(LN(O289),2)
+POWER(LN(P289),2)
+POWER(LN(Q289),2)
+POWER(LN(R289),2)
+POWER(LN(S289),2)
)
)))</f>
        <v>0.80992649174166365</v>
      </c>
    </row>
    <row r="290">
      <c r="A290" t="inlineStr">
        <is>
          <t>Arsenic ion</t>
        </is>
      </c>
      <c r="B290">
        <f>unallocated!B109/I290*J290</f>
        <v>1.1794552252091865E-10</v>
      </c>
      <c r="D290" t="inlineStr">
        <is>
          <t>kilogram</t>
        </is>
      </c>
      <c r="E290" t="inlineStr">
        <is>
          <t>air::urban air close to ground</t>
        </is>
      </c>
      <c r="F290" t="inlineStr">
        <is>
          <t>biosphere</t>
        </is>
      </c>
      <c r="I290" t="n">
        <v>7860</v>
      </c>
      <c r="J290" s="11">
        <f>J268</f>
        <v>0.30901726900480686</v>
      </c>
      <c r="K290" t="n">
        <v>2</v>
      </c>
      <c r="L290" s="3">
        <f>LN(B290)</f>
        <v>-22.860798271618467</v>
      </c>
      <c r="M290" t="n">
        <v>1</v>
      </c>
      <c r="N290" t="n">
        <v>1</v>
      </c>
      <c r="O290" t="n">
        <v>1</v>
      </c>
      <c r="P290" t="n">
        <v>1.02</v>
      </c>
      <c r="Q290" t="n">
        <v>1.2</v>
      </c>
      <c r="R290" t="n">
        <v>1</v>
      </c>
      <c r="S290" t="n">
        <v>5</v>
      </c>
      <c r="T290">
        <f>LN(SQRT(EXP(
SQRT(
+POWER(LN(M290),2)
+POWER(LN(N290),2)
+POWER(LN(O290),2)
+POWER(LN(P290),2)
+POWER(LN(Q290),2)
+POWER(LN(R290),2)
+POWER(LN(S290),2)
)
)))</f>
        <v>0.80992649174166365</v>
      </c>
    </row>
    <row r="291">
      <c r="A291" t="inlineStr">
        <is>
          <t>Dioxins, measured as 2,3,7,8-tetrachlorodibenzo-p-dioxin</t>
        </is>
      </c>
      <c r="B291">
        <f>unallocated!B110/I291*J291</f>
        <v>4.324669159100351E-15</v>
      </c>
      <c r="D291" t="inlineStr">
        <is>
          <t>kilogram</t>
        </is>
      </c>
      <c r="E291" t="inlineStr">
        <is>
          <t>air::urban air close to ground</t>
        </is>
      </c>
      <c r="F291" t="inlineStr">
        <is>
          <t>biosphere</t>
        </is>
      </c>
      <c r="I291" t="n">
        <v>7860</v>
      </c>
      <c r="J291" s="11">
        <f>J268</f>
        <v>0.30901726900480686</v>
      </c>
      <c r="K291" t="n">
        <v>2</v>
      </c>
      <c r="L291" s="3">
        <f>LN(B291)</f>
        <v>-33.074440752458436</v>
      </c>
      <c r="M291" t="n">
        <v>1</v>
      </c>
      <c r="N291" t="n">
        <v>1</v>
      </c>
      <c r="O291" t="n">
        <v>1</v>
      </c>
      <c r="P291" t="n">
        <v>1.02</v>
      </c>
      <c r="Q291" t="n">
        <v>1.2</v>
      </c>
      <c r="R291" t="n">
        <v>1</v>
      </c>
      <c r="S291" t="n">
        <v>5</v>
      </c>
      <c r="T291">
        <f>LN(SQRT(EXP(
SQRT(
+POWER(LN(M291),2)
+POWER(LN(N291),2)
+POWER(LN(O291),2)
+POWER(LN(P291),2)
+POWER(LN(Q291),2)
+POWER(LN(R291),2)
+POWER(LN(S291),2)
)
)))</f>
        <v>0.80992649174166365</v>
      </c>
    </row>
    <row r="292">
      <c r="A292" t="inlineStr">
        <is>
          <t>Carbon dioxide, fossil</t>
        </is>
      </c>
      <c r="B292">
        <f>unallocated!B111/I292*J292</f>
        <v>1.4703875140941193E-2</v>
      </c>
      <c r="D292" t="inlineStr">
        <is>
          <t>kilogram</t>
        </is>
      </c>
      <c r="E292" t="inlineStr">
        <is>
          <t>air::urban air close to ground</t>
        </is>
      </c>
      <c r="F292" t="inlineStr">
        <is>
          <t>biosphere</t>
        </is>
      </c>
      <c r="I292" t="n">
        <v>7860</v>
      </c>
      <c r="J292" s="11">
        <f>J268</f>
        <v>0.30901726900480686</v>
      </c>
      <c r="K292" t="n">
        <v>2</v>
      </c>
      <c r="L292" s="3">
        <f>LN(B292)</f>
        <v>-4.2196442049077705</v>
      </c>
      <c r="M292" t="n">
        <v>1</v>
      </c>
      <c r="N292" t="n">
        <v>1</v>
      </c>
      <c r="O292" t="n">
        <v>1</v>
      </c>
      <c r="P292" t="n">
        <v>1.02</v>
      </c>
      <c r="Q292" t="n">
        <v>1.2</v>
      </c>
      <c r="R292" t="n">
        <v>1</v>
      </c>
      <c r="S292" t="n">
        <v>1.05</v>
      </c>
      <c r="T292">
        <f>LN(SQRT(EXP(
SQRT(
+POWER(LN(M292),2)
+POWER(LN(N292),2)
+POWER(LN(O292),2)
+POWER(LN(P292),2)
+POWER(LN(Q292),2)
+POWER(LN(R292),2)
+POWER(LN(S292),2)
)
)))</f>
        <v>9.4886477223156879E-2</v>
      </c>
    </row>
    <row r="293">
      <c r="A293" t="inlineStr">
        <is>
          <t>Carbon dioxide, non-fossil</t>
        </is>
      </c>
      <c r="B293">
        <f>unallocated!B112/I293*J293</f>
        <v>2.3353213459141892E-2</v>
      </c>
      <c r="D293" t="inlineStr">
        <is>
          <t>kilogram</t>
        </is>
      </c>
      <c r="E293" t="inlineStr">
        <is>
          <t>air::urban air close to ground</t>
        </is>
      </c>
      <c r="F293" t="inlineStr">
        <is>
          <t>biosphere</t>
        </is>
      </c>
      <c r="I293" t="n">
        <v>7860</v>
      </c>
      <c r="J293" s="11">
        <f>J268</f>
        <v>0.30901726900480686</v>
      </c>
      <c r="K293" t="n">
        <v>2</v>
      </c>
      <c r="L293" s="3">
        <f>LN(B293)</f>
        <v>-3.7570206829596571</v>
      </c>
      <c r="M293" t="n">
        <v>1</v>
      </c>
      <c r="N293" t="n">
        <v>1</v>
      </c>
      <c r="O293" t="n">
        <v>1</v>
      </c>
      <c r="P293" t="n">
        <v>1.02</v>
      </c>
      <c r="Q293" t="n">
        <v>1.2</v>
      </c>
      <c r="R293" t="n">
        <v>1</v>
      </c>
      <c r="S293" t="n">
        <v>1.05</v>
      </c>
      <c r="T293">
        <f>LN(SQRT(EXP(
SQRT(
+POWER(LN(M293),2)
+POWER(LN(N293),2)
+POWER(LN(O293),2)
+POWER(LN(P293),2)
+POWER(LN(Q293),2)
+POWER(LN(R293),2)
+POWER(LN(S293),2)
)
)))</f>
        <v>9.4886477223156879E-2</v>
      </c>
    </row>
    <row r="294"/>
    <row r="295">
      <c r="A295" s="1" t="inlineStr">
        <is>
          <t>Activity</t>
        </is>
      </c>
      <c r="B295" s="1" t="inlineStr">
        <is>
          <t>municipal waste incineration, at incineration plant, with wet air pollution control, without flue gas condensation, with electricity and heat recovery, economic allocation</t>
        </is>
      </c>
    </row>
    <row r="296">
      <c r="A296" t="inlineStr">
        <is>
          <t>location</t>
        </is>
      </c>
      <c r="B296" t="inlineStr">
        <is>
          <t>RER</t>
        </is>
      </c>
    </row>
    <row r="297">
      <c r="A297" t="inlineStr">
        <is>
          <t>production amount</t>
        </is>
      </c>
      <c r="B297" t="n">
        <v>1</v>
      </c>
    </row>
    <row r="298">
      <c r="A298" s="2" t="inlineStr">
        <is>
          <t>source</t>
        </is>
      </c>
      <c r="B298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299">
      <c r="A299" t="inlineStr">
        <is>
          <t>reference product</t>
        </is>
      </c>
      <c r="B299" t="inlineStr">
        <is>
          <t>municipal solid waste</t>
        </is>
      </c>
    </row>
    <row r="300">
      <c r="A300" t="inlineStr">
        <is>
          <t>type</t>
        </is>
      </c>
      <c r="B300" t="inlineStr">
        <is>
          <t>process</t>
        </is>
      </c>
    </row>
    <row r="301">
      <c r="A301" t="inlineStr">
        <is>
          <t>unit</t>
        </is>
      </c>
      <c r="B301" t="inlineStr">
        <is>
          <t>kilogram</t>
        </is>
      </c>
    </row>
    <row r="302">
      <c r="A302" t="inlineStr">
        <is>
          <t>comment</t>
        </is>
      </c>
      <c r="B302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628 kWh. Heat production per ton MSWI incinerated: 6'170 MJ.</t>
        </is>
      </c>
    </row>
    <row r="303">
      <c r="A303" s="1" t="inlineStr">
        <is>
          <t>Exchanges</t>
        </is>
      </c>
    </row>
    <row r="304">
      <c r="A304" s="7" t="inlineStr">
        <is>
          <t>name</t>
        </is>
      </c>
      <c r="B304" s="7" t="inlineStr">
        <is>
          <t>amount</t>
        </is>
      </c>
      <c r="C304" s="7" t="inlineStr">
        <is>
          <t>location</t>
        </is>
      </c>
      <c r="D304" s="7" t="inlineStr">
        <is>
          <t>unit</t>
        </is>
      </c>
      <c r="E304" s="7" t="inlineStr">
        <is>
          <t>categories</t>
        </is>
      </c>
      <c r="F304" s="7" t="inlineStr">
        <is>
          <t>type</t>
        </is>
      </c>
      <c r="G304" s="7" t="inlineStr">
        <is>
          <t>reference product</t>
        </is>
      </c>
      <c r="H304" s="7" t="inlineStr">
        <is>
          <t>comment</t>
        </is>
      </c>
      <c r="I304" s="7" t="inlineStr">
        <is>
          <t>normalization</t>
        </is>
      </c>
      <c r="J304" s="7" t="inlineStr">
        <is>
          <t>allocation</t>
        </is>
      </c>
      <c r="K304" s="7" t="inlineStr">
        <is>
          <t>uncertainty type</t>
        </is>
      </c>
      <c r="L304" s="7" t="inlineStr">
        <is>
          <t>loc</t>
        </is>
      </c>
      <c r="M304" s="1" t="inlineStr">
        <is>
          <t>u1</t>
        </is>
      </c>
      <c r="N304" s="1" t="inlineStr">
        <is>
          <t>u2</t>
        </is>
      </c>
      <c r="O304" s="1" t="inlineStr">
        <is>
          <t>u3</t>
        </is>
      </c>
      <c r="P304" s="1" t="inlineStr">
        <is>
          <t>u4</t>
        </is>
      </c>
      <c r="Q304" s="1" t="inlineStr">
        <is>
          <t>u5</t>
        </is>
      </c>
      <c r="R304" s="1" t="inlineStr">
        <is>
          <t>u6</t>
        </is>
      </c>
      <c r="S304" s="1" t="inlineStr">
        <is>
          <t>ub</t>
        </is>
      </c>
      <c r="T304" s="1" t="inlineStr">
        <is>
          <t>scale</t>
        </is>
      </c>
    </row>
    <row r="305">
      <c r="A305" t="inlineStr">
        <is>
          <t>municipal waste incineration, at incineration plant, with wet air pollution control, without flue gas condensation, with electricity and heat recovery, economic allocation</t>
        </is>
      </c>
      <c r="B305" t="n">
        <v>1</v>
      </c>
      <c r="C305" t="inlineStr">
        <is>
          <t>RER</t>
        </is>
      </c>
      <c r="D305" t="inlineStr">
        <is>
          <t>kilogram</t>
        </is>
      </c>
      <c r="F305" t="inlineStr">
        <is>
          <t>production</t>
        </is>
      </c>
      <c r="G305" t="inlineStr">
        <is>
          <t>municipal solid waste</t>
        </is>
      </c>
      <c r="H305" t="inlineStr"/>
      <c r="I305" t="n">
        <v>1000</v>
      </c>
      <c r="J305" s="14">
        <f>INDEX('allocation keys'!$L$4:$N$30,MATCH('allocated (economic)'!$B$295,'allocation keys'!$B$4:$B$28,0),MATCH('allocated (economic)'!$B$299,'allocation keys'!$L$3:$N$3,0))</f>
        <v>0.49166937613500289</v>
      </c>
      <c r="K305" t="n">
        <v>0</v>
      </c>
      <c r="M305" s="5" t="n"/>
      <c r="N305" s="5" t="n"/>
      <c r="O305" s="5" t="n"/>
      <c r="P305" s="5" t="n"/>
      <c r="Q305" s="5" t="n"/>
      <c r="R305" s="5" t="n"/>
    </row>
    <row r="306">
      <c r="A306" t="inlineStr">
        <is>
          <t>municipal waste incineration, at incineration plant, with wet air pollution control, without flue gas condensation, with electricity and heat recovery, economic allocation</t>
        </is>
      </c>
      <c r="B306" s="6" t="n">
        <v>0</v>
      </c>
      <c r="C306" t="inlineStr">
        <is>
          <t>RER</t>
        </is>
      </c>
      <c r="D306" t="inlineStr">
        <is>
          <t>kilowatt hour</t>
        </is>
      </c>
      <c r="F306" t="inlineStr">
        <is>
          <t>technosphere</t>
        </is>
      </c>
      <c r="G306" t="inlineStr">
        <is>
          <t>electricity, medium voltage</t>
        </is>
      </c>
      <c r="H306" t="inlineStr"/>
      <c r="I306" t="n">
        <v>1000</v>
      </c>
      <c r="J306" s="11">
        <f>J305</f>
        <v>0.49166937613500289</v>
      </c>
      <c r="K306" t="n">
        <v>0</v>
      </c>
      <c r="L306" s="3" t="n"/>
    </row>
    <row r="307">
      <c r="A307" t="inlineStr">
        <is>
          <t>municipal waste incineration, at incineration plant, with wet air pollution control, without flue gas condensation, with electricity and heat recovery, economic allocation</t>
        </is>
      </c>
      <c r="B307" t="n">
        <v>0</v>
      </c>
      <c r="C307" t="inlineStr">
        <is>
          <t>RER</t>
        </is>
      </c>
      <c r="D307" t="inlineStr">
        <is>
          <t>megajoule</t>
        </is>
      </c>
      <c r="F307" t="inlineStr">
        <is>
          <t>technosphere</t>
        </is>
      </c>
      <c r="G307" t="inlineStr">
        <is>
          <t>heat, district or industrial, other than natural gas</t>
        </is>
      </c>
      <c r="H307" t="inlineStr"/>
      <c r="I307" t="n">
        <v>1000</v>
      </c>
      <c r="J307" s="11">
        <f>J305</f>
        <v>0.49166937613500289</v>
      </c>
      <c r="K307" t="n">
        <v>0</v>
      </c>
      <c r="L307" s="3" t="n"/>
    </row>
    <row r="308">
      <c r="A308" t="inlineStr">
        <is>
          <t>market for diesel, low-sulfur</t>
        </is>
      </c>
      <c r="B308">
        <f>unallocated!B127/I308*J308</f>
        <v>4.1791896971475251E-5</v>
      </c>
      <c r="C308" t="inlineStr">
        <is>
          <t>Europe without Switzerland</t>
        </is>
      </c>
      <c r="D308" t="inlineStr">
        <is>
          <t>kilogram</t>
        </is>
      </c>
      <c r="F308" t="inlineStr">
        <is>
          <t>technosphere</t>
        </is>
      </c>
      <c r="G308" t="inlineStr">
        <is>
          <t>diesel, low-sulfur</t>
        </is>
      </c>
      <c r="H308" t="inlineStr">
        <is>
          <t>Diesel density: 0.85 kg/l</t>
        </is>
      </c>
      <c r="I308" t="n">
        <v>1000</v>
      </c>
      <c r="J308" s="11">
        <f>J305</f>
        <v>0.49166937613500289</v>
      </c>
      <c r="K308" t="n">
        <v>2</v>
      </c>
      <c r="L308" s="3">
        <f>LN(B308)</f>
        <v>-10.082808089582411</v>
      </c>
      <c r="M308" t="n">
        <v>1</v>
      </c>
      <c r="N308" t="n">
        <v>1</v>
      </c>
      <c r="O308" t="n">
        <v>1</v>
      </c>
      <c r="P308" t="n">
        <v>1.02</v>
      </c>
      <c r="Q308" t="n">
        <v>1.2</v>
      </c>
      <c r="R308" t="n">
        <v>1</v>
      </c>
      <c r="S308" t="n">
        <v>1.05</v>
      </c>
      <c r="T308">
        <f>LN(SQRT(EXP(
SQRT(
+POWER(LN(M308),2)
+POWER(LN(N308),2)
+POWER(LN(O308),2)
+POWER(LN(P308),2)
+POWER(LN(Q308),2)
+POWER(LN(R308),2)
+POWER(LN(S308),2)
)
)))</f>
        <v>9.4886477223156879E-2</v>
      </c>
    </row>
    <row r="309">
      <c r="A309" t="inlineStr">
        <is>
          <t>market for activated carbon, granular</t>
        </is>
      </c>
      <c r="B309">
        <f>unallocated!B128/I309*J309</f>
        <v>1.9666775045400117E-4</v>
      </c>
      <c r="C309" t="inlineStr">
        <is>
          <t>GLO</t>
        </is>
      </c>
      <c r="D309" t="inlineStr">
        <is>
          <t>kilogram</t>
        </is>
      </c>
      <c r="F309" t="inlineStr">
        <is>
          <t>technosphere</t>
        </is>
      </c>
      <c r="G309" t="inlineStr">
        <is>
          <t>activated carbon, granular</t>
        </is>
      </c>
      <c r="I309" t="n">
        <v>1000</v>
      </c>
      <c r="J309" s="11">
        <f>J305</f>
        <v>0.49166937613500289</v>
      </c>
      <c r="K309" t="n">
        <v>2</v>
      </c>
      <c r="L309" s="3">
        <f>LN(B309)</f>
        <v>-8.5339947989647467</v>
      </c>
      <c r="M309" t="n">
        <v>1</v>
      </c>
      <c r="N309" t="n">
        <v>1</v>
      </c>
      <c r="O309" t="n">
        <v>1</v>
      </c>
      <c r="P309" t="n">
        <v>1.02</v>
      </c>
      <c r="Q309" t="n">
        <v>1.2</v>
      </c>
      <c r="R309" t="n">
        <v>1</v>
      </c>
      <c r="S309" t="n">
        <v>1.05</v>
      </c>
      <c r="T309">
        <f>LN(SQRT(EXP(
SQRT(
+POWER(LN(M309),2)
+POWER(LN(N309),2)
+POWER(LN(O309),2)
+POWER(LN(P309),2)
+POWER(LN(Q309),2)
+POWER(LN(R309),2)
+POWER(LN(S309),2)
)
)))</f>
        <v>9.4886477223156879E-2</v>
      </c>
    </row>
    <row r="310">
      <c r="A310" t="inlineStr">
        <is>
          <t>market for ammonia, anhydrous, liquid</t>
        </is>
      </c>
      <c r="B310">
        <f>unallocated!B129/I310*J310</f>
        <v>4.8183598861230282E-4</v>
      </c>
      <c r="C310" t="inlineStr">
        <is>
          <t>RER</t>
        </is>
      </c>
      <c r="D310" t="inlineStr">
        <is>
          <t>kilogram</t>
        </is>
      </c>
      <c r="F310" t="inlineStr">
        <is>
          <t>technosphere</t>
        </is>
      </c>
      <c r="G310" t="inlineStr">
        <is>
          <t>ammonia, anhydrous, liquid</t>
        </is>
      </c>
      <c r="H310" t="inlineStr">
        <is>
          <t>100% liquid ammonia. In original publication, it is dilluated to 23.5% in water. We discount the original value by 75%.</t>
        </is>
      </c>
      <c r="I310" t="n">
        <v>1000</v>
      </c>
      <c r="J310" s="11">
        <f>J305</f>
        <v>0.49166937613500289</v>
      </c>
      <c r="K310" t="n">
        <v>2</v>
      </c>
      <c r="L310" s="3">
        <f>LN(B310)</f>
        <v>-7.6379067744081111</v>
      </c>
      <c r="M310" t="n">
        <v>1</v>
      </c>
      <c r="N310" t="n">
        <v>1</v>
      </c>
      <c r="O310" t="n">
        <v>1</v>
      </c>
      <c r="P310" t="n">
        <v>1.02</v>
      </c>
      <c r="Q310" t="n">
        <v>1.2</v>
      </c>
      <c r="R310" t="n">
        <v>1</v>
      </c>
      <c r="S310" t="n">
        <v>1.05</v>
      </c>
      <c r="T310">
        <f>LN(SQRT(EXP(
SQRT(
+POWER(LN(M310),2)
+POWER(LN(N310),2)
+POWER(LN(O310),2)
+POWER(LN(P310),2)
+POWER(LN(Q310),2)
+POWER(LN(R310),2)
+POWER(LN(S310),2)
)
)))</f>
        <v>9.4886477223156879E-2</v>
      </c>
    </row>
    <row r="311">
      <c r="A311" t="inlineStr">
        <is>
          <t>market for tap water</t>
        </is>
      </c>
      <c r="B311">
        <f>unallocated!B130/I311*J311</f>
        <v>1.4848415159277087E-3</v>
      </c>
      <c r="C311" t="inlineStr">
        <is>
          <t>Europe without Switzerland</t>
        </is>
      </c>
      <c r="D311" t="inlineStr">
        <is>
          <t>kilogram</t>
        </is>
      </c>
      <c r="F311" t="inlineStr">
        <is>
          <t>technosphere</t>
        </is>
      </c>
      <c r="G311" t="inlineStr">
        <is>
          <t>tap water</t>
        </is>
      </c>
      <c r="H311" t="inlineStr">
        <is>
          <t>Used to dilute the ammonia.</t>
        </is>
      </c>
      <c r="I311" t="n">
        <v>1000</v>
      </c>
      <c r="J311" s="11">
        <f>J305</f>
        <v>0.49166937613500289</v>
      </c>
      <c r="K311" t="n">
        <v>2</v>
      </c>
      <c r="L311" s="3">
        <f>LN(B311)</f>
        <v>-6.5124472357038128</v>
      </c>
      <c r="M311" t="n">
        <v>1</v>
      </c>
      <c r="N311" t="n">
        <v>1</v>
      </c>
      <c r="O311" t="n">
        <v>1</v>
      </c>
      <c r="P311" t="n">
        <v>1.02</v>
      </c>
      <c r="Q311" t="n">
        <v>1.2</v>
      </c>
      <c r="R311" t="n">
        <v>1</v>
      </c>
      <c r="S311" t="n">
        <v>1.05</v>
      </c>
      <c r="T311">
        <f>LN(SQRT(EXP(
SQRT(
+POWER(LN(M311),2)
+POWER(LN(N311),2)
+POWER(LN(O311),2)
+POWER(LN(P311),2)
+POWER(LN(Q311),2)
+POWER(LN(R311),2)
+POWER(LN(S311),2)
)
)))</f>
        <v>9.4886477223156879E-2</v>
      </c>
    </row>
    <row r="312">
      <c r="A312" t="inlineStr">
        <is>
          <t>market for calcium carbonate, precipitated</t>
        </is>
      </c>
      <c r="B312">
        <f>unallocated!B131/I312*J312</f>
        <v>3.4416856329450205E-3</v>
      </c>
      <c r="C312" t="inlineStr">
        <is>
          <t>RER</t>
        </is>
      </c>
      <c r="D312" t="inlineStr">
        <is>
          <t>kilogram</t>
        </is>
      </c>
      <c r="F312" t="inlineStr">
        <is>
          <t>technosphere</t>
        </is>
      </c>
      <c r="G312" t="inlineStr">
        <is>
          <t>calcium carbonate, precipitated</t>
        </is>
      </c>
      <c r="I312" t="n">
        <v>1000</v>
      </c>
      <c r="J312" s="11">
        <f>J305</f>
        <v>0.49166937613500289</v>
      </c>
      <c r="K312" t="n">
        <v>0</v>
      </c>
      <c r="L312" s="3" t="n"/>
    </row>
    <row r="313">
      <c r="A313" t="inlineStr">
        <is>
          <t>market for iron(III) chloride, without water, in 40% solution state</t>
        </is>
      </c>
      <c r="B313">
        <f>unallocated!B132/I313*J313</f>
        <v>2.4583468806750146E-5</v>
      </c>
      <c r="C313" t="inlineStr">
        <is>
          <t>GLO</t>
        </is>
      </c>
      <c r="D313" t="inlineStr">
        <is>
          <t>kilogram</t>
        </is>
      </c>
      <c r="F313" t="inlineStr">
        <is>
          <t>technosphere</t>
        </is>
      </c>
      <c r="G313" t="inlineStr">
        <is>
          <t>iron(III) chloride, without water, in 40% solution state</t>
        </is>
      </c>
      <c r="I313" t="n">
        <v>1000</v>
      </c>
      <c r="J313" s="11">
        <f>J305</f>
        <v>0.49166937613500289</v>
      </c>
      <c r="K313" t="n">
        <v>0</v>
      </c>
      <c r="L313" s="3" t="n"/>
    </row>
    <row r="314">
      <c r="A314" t="inlineStr">
        <is>
          <t>market for lime, hydrated, packed</t>
        </is>
      </c>
      <c r="B314">
        <f>unallocated!B133/I314*J314</f>
        <v>0</v>
      </c>
      <c r="C314" t="inlineStr">
        <is>
          <t>RER</t>
        </is>
      </c>
      <c r="D314" t="inlineStr">
        <is>
          <t>kilogram</t>
        </is>
      </c>
      <c r="F314" t="inlineStr">
        <is>
          <t>technosphere</t>
        </is>
      </c>
      <c r="G314" t="inlineStr">
        <is>
          <t>lime, hydrated, packed</t>
        </is>
      </c>
      <c r="I314" t="n">
        <v>1000</v>
      </c>
      <c r="J314" s="11">
        <f>J305</f>
        <v>0.49166937613500289</v>
      </c>
      <c r="K314" t="n">
        <v>0</v>
      </c>
      <c r="L314" s="3" t="n"/>
    </row>
    <row r="315">
      <c r="A315" t="inlineStr">
        <is>
          <t>market for sodium hydroxide, without water, in 50% solution state</t>
        </is>
      </c>
      <c r="B315">
        <f>unallocated!B134/I315*J315</f>
        <v>1.2291734403375074E-4</v>
      </c>
      <c r="C315" t="inlineStr">
        <is>
          <t>RER</t>
        </is>
      </c>
      <c r="D315" t="inlineStr">
        <is>
          <t>kilogram</t>
        </is>
      </c>
      <c r="F315" t="inlineStr">
        <is>
          <t>technosphere</t>
        </is>
      </c>
      <c r="G315" t="inlineStr">
        <is>
          <t>sodium hydroxide, without water, in 50% solution state</t>
        </is>
      </c>
      <c r="H315" t="inlineStr">
        <is>
          <t>50% liquid ammonia. In original publication, it is dilluated to 27% in water. We discount the original value by 50%.</t>
        </is>
      </c>
      <c r="I315" t="n">
        <v>1000</v>
      </c>
      <c r="J315" s="11">
        <f>J305</f>
        <v>0.49166937613500289</v>
      </c>
      <c r="K315" t="n">
        <v>0</v>
      </c>
      <c r="L315" s="3" t="n"/>
    </row>
    <row r="316">
      <c r="A316" t="inlineStr">
        <is>
          <t>market for monoethanolamine</t>
        </is>
      </c>
      <c r="B316">
        <f>unallocated!B135/I316*J316</f>
        <v>0</v>
      </c>
      <c r="C316" t="inlineStr">
        <is>
          <t>GLO</t>
        </is>
      </c>
      <c r="D316" t="inlineStr">
        <is>
          <t>kilogram</t>
        </is>
      </c>
      <c r="F316" t="inlineStr">
        <is>
          <t>technosphere</t>
        </is>
      </c>
      <c r="G316" t="inlineStr">
        <is>
          <t>monoethanolamine</t>
        </is>
      </c>
      <c r="I316" t="n">
        <v>1000</v>
      </c>
      <c r="J316" s="11">
        <f>J305</f>
        <v>0.49166937613500289</v>
      </c>
      <c r="K316" t="n">
        <v>0</v>
      </c>
      <c r="L316" s="3" t="n"/>
    </row>
    <row r="317">
      <c r="A317" t="inlineStr">
        <is>
          <t>municipal waste incineration facility construction</t>
        </is>
      </c>
      <c r="B317">
        <f>unallocated!B136/I317*J317</f>
        <v>1.2291734403375069E-10</v>
      </c>
      <c r="C317" t="inlineStr">
        <is>
          <t>CH</t>
        </is>
      </c>
      <c r="D317" t="inlineStr">
        <is>
          <t>unit</t>
        </is>
      </c>
      <c r="F317" t="inlineStr">
        <is>
          <t>technosphere</t>
        </is>
      </c>
      <c r="G317" t="inlineStr">
        <is>
          <t>municipal waste incineration facility</t>
        </is>
      </c>
      <c r="H317" t="inlineStr">
        <is>
          <t>Lifetime: 4'000'000 tons MSWI treated.</t>
        </is>
      </c>
      <c r="I317" t="n">
        <v>1000</v>
      </c>
      <c r="J317" s="11">
        <f>J305</f>
        <v>0.49166937613500289</v>
      </c>
      <c r="K317" t="n">
        <v>2</v>
      </c>
      <c r="L317" s="3">
        <f>LN(B317)</f>
        <v>-22.819508986174757</v>
      </c>
      <c r="M317" t="n">
        <v>1</v>
      </c>
      <c r="N317" t="n">
        <v>1</v>
      </c>
      <c r="O317" t="n">
        <v>1</v>
      </c>
      <c r="P317" t="n">
        <v>1.02</v>
      </c>
      <c r="Q317" t="n">
        <v>1.2</v>
      </c>
      <c r="R317" t="n">
        <v>1</v>
      </c>
      <c r="S317" t="n">
        <v>3</v>
      </c>
      <c r="T317">
        <f>LN(SQRT(EXP(
SQRT(
+POWER(LN(M317),2)
+POWER(LN(N317),2)
+POWER(LN(O317),2)
+POWER(LN(P317),2)
+POWER(LN(Q317),2)
+POWER(LN(R317),2)
+POWER(LN(S317),2)
)
)))</f>
        <v>0.5569071410325479</v>
      </c>
    </row>
    <row r="318">
      <c r="A318" t="inlineStr">
        <is>
          <t>Water, cooling, unspecified natural origin</t>
        </is>
      </c>
      <c r="B318">
        <f>unallocated!B137/I318*J318</f>
        <v>1.4750081284050086E-4</v>
      </c>
      <c r="D318" t="inlineStr">
        <is>
          <t>cubic meter</t>
        </is>
      </c>
      <c r="E318" t="inlineStr">
        <is>
          <t>natural resource::in water</t>
        </is>
      </c>
      <c r="F318" t="inlineStr">
        <is>
          <t>biosphere</t>
        </is>
      </c>
      <c r="I318" t="n">
        <v>1000</v>
      </c>
      <c r="J318" s="11">
        <f>J305</f>
        <v>0.49166937613500289</v>
      </c>
      <c r="K318" t="n">
        <v>2</v>
      </c>
      <c r="L318" s="3">
        <f>LN(B318)</f>
        <v>-8.8216768714165266</v>
      </c>
      <c r="M318" t="n">
        <v>1</v>
      </c>
      <c r="N318" t="n">
        <v>1</v>
      </c>
      <c r="O318" t="n">
        <v>1</v>
      </c>
      <c r="P318" t="n">
        <v>1.02</v>
      </c>
      <c r="Q318" t="n">
        <v>1.2</v>
      </c>
      <c r="R318" t="n">
        <v>1</v>
      </c>
      <c r="S318" t="n">
        <v>1.05</v>
      </c>
      <c r="T318">
        <f>LN(SQRT(EXP(
SQRT(
+POWER(LN(M318),2)
+POWER(LN(N318),2)
+POWER(LN(O318),2)
+POWER(LN(P318),2)
+POWER(LN(Q318),2)
+POWER(LN(R318),2)
+POWER(LN(S318),2)
)
)))</f>
        <v>9.4886477223156879E-2</v>
      </c>
    </row>
    <row r="319">
      <c r="A319" t="inlineStr">
        <is>
          <t>Sulfur dioxide</t>
        </is>
      </c>
      <c r="B319">
        <f>unallocated!B138/I319*J319</f>
        <v>2.7533485063560162E-5</v>
      </c>
      <c r="D319" t="inlineStr">
        <is>
          <t>kilogram</t>
        </is>
      </c>
      <c r="E319" t="inlineStr">
        <is>
          <t>air::urban air close to ground</t>
        </is>
      </c>
      <c r="F319" t="inlineStr">
        <is>
          <t>biosphere</t>
        </is>
      </c>
      <c r="I319" t="n">
        <v>1000</v>
      </c>
      <c r="J319" s="11">
        <f>J305</f>
        <v>0.49166937613500289</v>
      </c>
      <c r="K319" t="n">
        <v>2</v>
      </c>
      <c r="L319" s="3">
        <f>LN(B319)</f>
        <v>-10.50010765533758</v>
      </c>
      <c r="M319" t="n">
        <v>1</v>
      </c>
      <c r="N319" t="n">
        <v>1</v>
      </c>
      <c r="O319" t="n">
        <v>1</v>
      </c>
      <c r="P319" t="n">
        <v>1.02</v>
      </c>
      <c r="Q319" t="n">
        <v>1.2</v>
      </c>
      <c r="R319" t="n">
        <v>1</v>
      </c>
      <c r="S319" t="n">
        <v>1.05</v>
      </c>
      <c r="T319">
        <f>LN(SQRT(EXP(
SQRT(
+POWER(LN(M319),2)
+POWER(LN(N319),2)
+POWER(LN(O319),2)
+POWER(LN(P319),2)
+POWER(LN(Q319),2)
+POWER(LN(R319),2)
+POWER(LN(S319),2)
)
)))</f>
        <v>9.4886477223156879E-2</v>
      </c>
    </row>
    <row r="320">
      <c r="A320" t="inlineStr">
        <is>
          <t>Hydrochloric acid</t>
        </is>
      </c>
      <c r="B320">
        <f>unallocated!B139/I320*J320</f>
        <v>2.9500162568100174E-6</v>
      </c>
      <c r="D320" t="inlineStr">
        <is>
          <t>kilogram</t>
        </is>
      </c>
      <c r="E320" t="inlineStr">
        <is>
          <t>air</t>
        </is>
      </c>
      <c r="F320" t="inlineStr">
        <is>
          <t>biosphere</t>
        </is>
      </c>
      <c r="I320" t="n">
        <v>1000</v>
      </c>
      <c r="J320" s="11">
        <f>J305</f>
        <v>0.49166937613500289</v>
      </c>
      <c r="K320" t="n">
        <v>2</v>
      </c>
      <c r="L320" s="3">
        <f>LN(B320)</f>
        <v>-12.733699876844673</v>
      </c>
      <c r="M320" t="n">
        <v>1</v>
      </c>
      <c r="N320" t="n">
        <v>1</v>
      </c>
      <c r="O320" t="n">
        <v>1</v>
      </c>
      <c r="P320" t="n">
        <v>1.02</v>
      </c>
      <c r="Q320" t="n">
        <v>1.2</v>
      </c>
      <c r="R320" t="n">
        <v>1</v>
      </c>
      <c r="S320" t="n">
        <v>1.5</v>
      </c>
      <c r="T320">
        <f>LN(SQRT(EXP(
SQRT(
+POWER(LN(M320),2)
+POWER(LN(N320),2)
+POWER(LN(O320),2)
+POWER(LN(P320),2)
+POWER(LN(Q320),2)
+POWER(LN(R320),2)
+POWER(LN(S320),2)
)
)))</f>
        <v>0.22250575723605889</v>
      </c>
    </row>
    <row r="321">
      <c r="A321" t="inlineStr">
        <is>
          <t>Nitrogen oxides</t>
        </is>
      </c>
      <c r="B321">
        <f>unallocated!B140/I321*J321</f>
        <v>3.3286016764339698E-4</v>
      </c>
      <c r="D321" t="inlineStr">
        <is>
          <t>kilogram</t>
        </is>
      </c>
      <c r="E321" t="inlineStr">
        <is>
          <t>air::urban air close to ground</t>
        </is>
      </c>
      <c r="F321" t="inlineStr">
        <is>
          <t>biosphere</t>
        </is>
      </c>
      <c r="I321" t="n">
        <v>1000</v>
      </c>
      <c r="J321" s="11">
        <f>J305</f>
        <v>0.49166937613500289</v>
      </c>
      <c r="K321" t="n">
        <v>2</v>
      </c>
      <c r="L321" s="3">
        <f>LN(B321)</f>
        <v>-8.0077880731604534</v>
      </c>
      <c r="M321" t="n">
        <v>1</v>
      </c>
      <c r="N321" t="n">
        <v>1</v>
      </c>
      <c r="O321" t="n">
        <v>1</v>
      </c>
      <c r="P321" t="n">
        <v>1.02</v>
      </c>
      <c r="Q321" t="n">
        <v>1.2</v>
      </c>
      <c r="R321" t="n">
        <v>1</v>
      </c>
      <c r="S321" t="n">
        <v>1.5</v>
      </c>
      <c r="T321">
        <f>LN(SQRT(EXP(
SQRT(
+POWER(LN(M321),2)
+POWER(LN(N321),2)
+POWER(LN(O321),2)
+POWER(LN(P321),2)
+POWER(LN(Q321),2)
+POWER(LN(R321),2)
+POWER(LN(S321),2)
)
)))</f>
        <v>0.22250575723605889</v>
      </c>
    </row>
    <row r="322">
      <c r="A322" t="inlineStr">
        <is>
          <t>Ammonia</t>
        </is>
      </c>
      <c r="B322">
        <f>unallocated!B141/I322*J322</f>
        <v>1.4750081284050087E-6</v>
      </c>
      <c r="D322" t="inlineStr">
        <is>
          <t>kilogram</t>
        </is>
      </c>
      <c r="E322" t="inlineStr">
        <is>
          <t>air::urban air close to ground</t>
        </is>
      </c>
      <c r="F322" t="inlineStr">
        <is>
          <t>biosphere</t>
        </is>
      </c>
      <c r="I322" t="n">
        <v>1000</v>
      </c>
      <c r="J322" s="11">
        <f>J305</f>
        <v>0.49166937613500289</v>
      </c>
      <c r="K322" t="n">
        <v>2</v>
      </c>
      <c r="L322" s="3">
        <f>LN(B322)</f>
        <v>-13.426847057404618</v>
      </c>
      <c r="M322" t="n">
        <v>1</v>
      </c>
      <c r="N322" t="n">
        <v>1</v>
      </c>
      <c r="O322" t="n">
        <v>1</v>
      </c>
      <c r="P322" t="n">
        <v>1.02</v>
      </c>
      <c r="Q322" t="n">
        <v>1.2</v>
      </c>
      <c r="R322" t="n">
        <v>1</v>
      </c>
      <c r="S322" t="n">
        <v>1.5</v>
      </c>
      <c r="T322">
        <f>LN(SQRT(EXP(
SQRT(
+POWER(LN(M322),2)
+POWER(LN(N322),2)
+POWER(LN(O322),2)
+POWER(LN(P322),2)
+POWER(LN(Q322),2)
+POWER(LN(R322),2)
+POWER(LN(S322),2)
)
)))</f>
        <v>0.22250575723605889</v>
      </c>
    </row>
    <row r="323">
      <c r="A323" t="inlineStr">
        <is>
          <t>Particulate Matter, &lt; 2.5 um</t>
        </is>
      </c>
      <c r="B323">
        <f>unallocated!B142/I323*J323</f>
        <v>2.9500162568100174E-6</v>
      </c>
      <c r="D323" t="inlineStr">
        <is>
          <t>kilogram</t>
        </is>
      </c>
      <c r="E323" t="inlineStr">
        <is>
          <t>air::urban air close to ground</t>
        </is>
      </c>
      <c r="F323" t="inlineStr">
        <is>
          <t>biosphere</t>
        </is>
      </c>
      <c r="I323" t="n">
        <v>1000</v>
      </c>
      <c r="J323" s="11">
        <f>J305</f>
        <v>0.49166937613500289</v>
      </c>
      <c r="K323" t="n">
        <v>2</v>
      </c>
      <c r="L323" s="3">
        <f>LN(B323)</f>
        <v>-12.733699876844673</v>
      </c>
      <c r="M323" t="n">
        <v>1</v>
      </c>
      <c r="N323" t="n">
        <v>1</v>
      </c>
      <c r="O323" t="n">
        <v>1</v>
      </c>
      <c r="P323" t="n">
        <v>1.02</v>
      </c>
      <c r="Q323" t="n">
        <v>1.2</v>
      </c>
      <c r="R323" t="n">
        <v>1</v>
      </c>
      <c r="S323" t="n">
        <v>3</v>
      </c>
      <c r="T323">
        <f>LN(SQRT(EXP(
SQRT(
+POWER(LN(M323),2)
+POWER(LN(N323),2)
+POWER(LN(O323),2)
+POWER(LN(P323),2)
+POWER(LN(Q323),2)
+POWER(LN(R323),2)
+POWER(LN(S323),2)
)
)))</f>
        <v>0.5569071410325479</v>
      </c>
    </row>
    <row r="324">
      <c r="A324" t="inlineStr">
        <is>
          <t>Mercury II</t>
        </is>
      </c>
      <c r="B324">
        <f>unallocated!B143/I324*J324</f>
        <v>1.1308395651105068E-8</v>
      </c>
      <c r="D324" t="inlineStr">
        <is>
          <t>kilogram</t>
        </is>
      </c>
      <c r="E324" t="inlineStr">
        <is>
          <t>air::urban air close to ground</t>
        </is>
      </c>
      <c r="F324" t="inlineStr">
        <is>
          <t>biosphere</t>
        </is>
      </c>
      <c r="I324" t="n">
        <v>1000</v>
      </c>
      <c r="J324" s="11">
        <f>J305</f>
        <v>0.49166937613500289</v>
      </c>
      <c r="K324" t="n">
        <v>2</v>
      </c>
      <c r="L324" s="3">
        <f>LN(B324)</f>
        <v>-18.297720409125716</v>
      </c>
      <c r="M324" t="n">
        <v>1</v>
      </c>
      <c r="N324" t="n">
        <v>1</v>
      </c>
      <c r="O324" t="n">
        <v>1</v>
      </c>
      <c r="P324" t="n">
        <v>1.02</v>
      </c>
      <c r="Q324" t="n">
        <v>1.2</v>
      </c>
      <c r="R324" t="n">
        <v>1</v>
      </c>
      <c r="S324" t="n">
        <v>5</v>
      </c>
      <c r="T324">
        <f>LN(SQRT(EXP(
SQRT(
+POWER(LN(M324),2)
+POWER(LN(N324),2)
+POWER(LN(O324),2)
+POWER(LN(P324),2)
+POWER(LN(Q324),2)
+POWER(LN(R324),2)
+POWER(LN(S324),2)
)
)))</f>
        <v>0.80992649174166365</v>
      </c>
    </row>
    <row r="325">
      <c r="A325" t="inlineStr">
        <is>
          <t>Lead II</t>
        </is>
      </c>
      <c r="B325">
        <f>unallocated!B144/I325*J325</f>
        <v>2.7533485063560159E-8</v>
      </c>
      <c r="D325" t="inlineStr">
        <is>
          <t>kilogram</t>
        </is>
      </c>
      <c r="E325" t="inlineStr">
        <is>
          <t>air::urban air close to ground</t>
        </is>
      </c>
      <c r="F325" t="inlineStr">
        <is>
          <t>biosphere</t>
        </is>
      </c>
      <c r="I325" t="n">
        <v>1000</v>
      </c>
      <c r="J325" s="11">
        <f>J305</f>
        <v>0.49166937613500289</v>
      </c>
      <c r="K325" t="n">
        <v>2</v>
      </c>
      <c r="L325" s="3">
        <f>LN(B325)</f>
        <v>-17.407862934319716</v>
      </c>
      <c r="M325" t="n">
        <v>1</v>
      </c>
      <c r="N325" t="n">
        <v>1</v>
      </c>
      <c r="O325" t="n">
        <v>1</v>
      </c>
      <c r="P325" t="n">
        <v>1.02</v>
      </c>
      <c r="Q325" t="n">
        <v>1.2</v>
      </c>
      <c r="R325" t="n">
        <v>1</v>
      </c>
      <c r="S325" t="n">
        <v>5</v>
      </c>
      <c r="T325">
        <f>LN(SQRT(EXP(
SQRT(
+POWER(LN(M325),2)
+POWER(LN(N325),2)
+POWER(LN(O325),2)
+POWER(LN(P325),2)
+POWER(LN(Q325),2)
+POWER(LN(R325),2)
+POWER(LN(S325),2)
)
)))</f>
        <v>0.80992649174166365</v>
      </c>
    </row>
    <row r="326">
      <c r="A326" t="inlineStr">
        <is>
          <t>Cadmium II</t>
        </is>
      </c>
      <c r="B326">
        <f>unallocated!B145/I326*J326</f>
        <v>5.4083631374850314E-9</v>
      </c>
      <c r="D326" t="inlineStr">
        <is>
          <t>kilogram</t>
        </is>
      </c>
      <c r="E326" t="inlineStr">
        <is>
          <t>air::urban air close to ground</t>
        </is>
      </c>
      <c r="F326" t="inlineStr">
        <is>
          <t>biosphere</t>
        </is>
      </c>
      <c r="I326" t="n">
        <v>1000</v>
      </c>
      <c r="J326" s="11">
        <f>J305</f>
        <v>0.49166937613500289</v>
      </c>
      <c r="K326" t="n">
        <v>2</v>
      </c>
      <c r="L326" s="3">
        <f>LN(B326)</f>
        <v>-19.035319352256494</v>
      </c>
      <c r="M326" t="n">
        <v>1</v>
      </c>
      <c r="N326" t="n">
        <v>1</v>
      </c>
      <c r="O326" t="n">
        <v>1</v>
      </c>
      <c r="P326" t="n">
        <v>1.02</v>
      </c>
      <c r="Q326" t="n">
        <v>1.2</v>
      </c>
      <c r="R326" t="n">
        <v>1</v>
      </c>
      <c r="S326" t="n">
        <v>5</v>
      </c>
      <c r="T326">
        <f>LN(SQRT(EXP(
SQRT(
+POWER(LN(M326),2)
+POWER(LN(N326),2)
+POWER(LN(O326),2)
+POWER(LN(P326),2)
+POWER(LN(Q326),2)
+POWER(LN(R326),2)
+POWER(LN(S326),2)
)
)))</f>
        <v>0.80992649174166365</v>
      </c>
    </row>
    <row r="327">
      <c r="A327" t="inlineStr">
        <is>
          <t>Arsenic ion</t>
        </is>
      </c>
      <c r="B327">
        <f>unallocated!B146/I327*J327</f>
        <v>2.9500162568100173E-9</v>
      </c>
      <c r="D327" t="inlineStr">
        <is>
          <t>kilogram</t>
        </is>
      </c>
      <c r="E327" t="inlineStr">
        <is>
          <t>air::urban air close to ground</t>
        </is>
      </c>
      <c r="F327" t="inlineStr">
        <is>
          <t>biosphere</t>
        </is>
      </c>
      <c r="I327" t="n">
        <v>1000</v>
      </c>
      <c r="J327" s="11">
        <f>J305</f>
        <v>0.49166937613500289</v>
      </c>
      <c r="K327" t="n">
        <v>2</v>
      </c>
      <c r="L327" s="3">
        <f>LN(B327)</f>
        <v>-19.641455155826812</v>
      </c>
      <c r="M327" t="n">
        <v>1</v>
      </c>
      <c r="N327" t="n">
        <v>1</v>
      </c>
      <c r="O327" t="n">
        <v>1</v>
      </c>
      <c r="P327" t="n">
        <v>1.02</v>
      </c>
      <c r="Q327" t="n">
        <v>1.2</v>
      </c>
      <c r="R327" t="n">
        <v>1</v>
      </c>
      <c r="S327" t="n">
        <v>5</v>
      </c>
      <c r="T327">
        <f>LN(SQRT(EXP(
SQRT(
+POWER(LN(M327),2)
+POWER(LN(N327),2)
+POWER(LN(O327),2)
+POWER(LN(P327),2)
+POWER(LN(Q327),2)
+POWER(LN(R327),2)
+POWER(LN(S327),2)
)
)))</f>
        <v>0.80992649174166365</v>
      </c>
    </row>
    <row r="328">
      <c r="A328" t="inlineStr">
        <is>
          <t>Dioxins, measured as 2,3,7,8-tetrachlorodibenzo-p-dioxin</t>
        </is>
      </c>
      <c r="B328">
        <f>unallocated!B147/I328*J328</f>
        <v>5.4083631374850323E-14</v>
      </c>
      <c r="D328" t="inlineStr">
        <is>
          <t>kilogram</t>
        </is>
      </c>
      <c r="E328" t="inlineStr">
        <is>
          <t>air::urban air close to ground</t>
        </is>
      </c>
      <c r="F328" t="inlineStr">
        <is>
          <t>biosphere</t>
        </is>
      </c>
      <c r="I328" t="n">
        <v>1000</v>
      </c>
      <c r="J328" s="11">
        <f>J305</f>
        <v>0.49166937613500289</v>
      </c>
      <c r="K328" t="n">
        <v>2</v>
      </c>
      <c r="L328" s="3">
        <f>LN(B328)</f>
        <v>-30.548244817226724</v>
      </c>
      <c r="M328" t="n">
        <v>1</v>
      </c>
      <c r="N328" t="n">
        <v>1</v>
      </c>
      <c r="O328" t="n">
        <v>1</v>
      </c>
      <c r="P328" t="n">
        <v>1.02</v>
      </c>
      <c r="Q328" t="n">
        <v>1.2</v>
      </c>
      <c r="R328" t="n">
        <v>1</v>
      </c>
      <c r="S328" t="n">
        <v>5</v>
      </c>
      <c r="T328">
        <f>LN(SQRT(EXP(
SQRT(
+POWER(LN(M328),2)
+POWER(LN(N328),2)
+POWER(LN(O328),2)
+POWER(LN(P328),2)
+POWER(LN(Q328),2)
+POWER(LN(R328),2)
+POWER(LN(S328),2)
)
)))</f>
        <v>0.80992649174166365</v>
      </c>
    </row>
    <row r="329">
      <c r="A329" t="inlineStr">
        <is>
          <t>Carbon dioxide, fossil</t>
        </is>
      </c>
      <c r="B329">
        <f>unallocated!B148/I329*J329</f>
        <v>0.18388434667449108</v>
      </c>
      <c r="D329" t="inlineStr">
        <is>
          <t>kilogram</t>
        </is>
      </c>
      <c r="E329" t="inlineStr">
        <is>
          <t>air::urban air close to ground</t>
        </is>
      </c>
      <c r="F329" t="inlineStr">
        <is>
          <t>biosphere</t>
        </is>
      </c>
      <c r="I329" t="n">
        <v>1000</v>
      </c>
      <c r="J329" s="11">
        <f>J305</f>
        <v>0.49166937613500289</v>
      </c>
      <c r="K329" t="n">
        <v>2</v>
      </c>
      <c r="L329" s="3">
        <f>LN(B329)</f>
        <v>-1.6934482696760593</v>
      </c>
      <c r="M329" t="n">
        <v>1</v>
      </c>
      <c r="N329" t="n">
        <v>1</v>
      </c>
      <c r="O329" t="n">
        <v>1</v>
      </c>
      <c r="P329" t="n">
        <v>1.02</v>
      </c>
      <c r="Q329" t="n">
        <v>1.2</v>
      </c>
      <c r="R329" t="n">
        <v>1</v>
      </c>
      <c r="S329" t="n">
        <v>1.05</v>
      </c>
      <c r="T329">
        <f>LN(SQRT(EXP(
SQRT(
+POWER(LN(M329),2)
+POWER(LN(N329),2)
+POWER(LN(O329),2)
+POWER(LN(P329),2)
+POWER(LN(Q329),2)
+POWER(LN(R329),2)
+POWER(LN(S329),2)
)
)))</f>
        <v>9.4886477223156879E-2</v>
      </c>
    </row>
    <row r="330">
      <c r="A330" t="inlineStr">
        <is>
          <t>Carbon dioxide, non-fossil</t>
        </is>
      </c>
      <c r="B330">
        <f>unallocated!B149/I330*J330</f>
        <v>0.29205160942419173</v>
      </c>
      <c r="D330" t="inlineStr">
        <is>
          <t>kilogram</t>
        </is>
      </c>
      <c r="E330" t="inlineStr">
        <is>
          <t>air::urban air close to ground</t>
        </is>
      </c>
      <c r="F330" t="inlineStr">
        <is>
          <t>biosphere</t>
        </is>
      </c>
      <c r="I330" t="n">
        <v>1000</v>
      </c>
      <c r="J330" s="11">
        <f>J305</f>
        <v>0.49166937613500289</v>
      </c>
      <c r="K330" t="n">
        <v>2</v>
      </c>
      <c r="L330" s="3">
        <f>LN(B330)</f>
        <v>-1.2308247477279461</v>
      </c>
      <c r="M330" t="n">
        <v>1</v>
      </c>
      <c r="N330" t="n">
        <v>1</v>
      </c>
      <c r="O330" t="n">
        <v>1</v>
      </c>
      <c r="P330" t="n">
        <v>1.02</v>
      </c>
      <c r="Q330" t="n">
        <v>1.2</v>
      </c>
      <c r="R330" t="n">
        <v>1</v>
      </c>
      <c r="S330" t="n">
        <v>1.05</v>
      </c>
      <c r="T330">
        <f>LN(SQRT(EXP(
SQRT(
+POWER(LN(M330),2)
+POWER(LN(N330),2)
+POWER(LN(O330),2)
+POWER(LN(P330),2)
+POWER(LN(Q330),2)
+POWER(LN(R330),2)
+POWER(LN(S330),2)
)
)))</f>
        <v>9.4886477223156879E-2</v>
      </c>
    </row>
    <row r="331"/>
    <row r="332">
      <c r="A332" s="1" t="inlineStr">
        <is>
          <t>Activity</t>
        </is>
      </c>
      <c r="B332" s="1" t="inlineStr">
        <is>
          <t>municipal waste incineration, at incineration plant, with wet air pollution control, without flue gas condensation, with electricity and heat recovery, economic allocation</t>
        </is>
      </c>
    </row>
    <row r="333">
      <c r="A333" t="inlineStr">
        <is>
          <t>location</t>
        </is>
      </c>
      <c r="B333" t="inlineStr">
        <is>
          <t>RER</t>
        </is>
      </c>
    </row>
    <row r="334">
      <c r="A334" t="inlineStr">
        <is>
          <t>production amount</t>
        </is>
      </c>
      <c r="B334" t="n">
        <v>1</v>
      </c>
    </row>
    <row r="335">
      <c r="A335" s="2" t="inlineStr">
        <is>
          <t>source</t>
        </is>
      </c>
      <c r="B335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336">
      <c r="A336" t="inlineStr">
        <is>
          <t>reference product</t>
        </is>
      </c>
      <c r="B336" t="inlineStr">
        <is>
          <t>electricity, medium voltage</t>
        </is>
      </c>
    </row>
    <row r="337">
      <c r="A337" t="inlineStr">
        <is>
          <t>type</t>
        </is>
      </c>
      <c r="B337" t="inlineStr">
        <is>
          <t>process</t>
        </is>
      </c>
    </row>
    <row r="338">
      <c r="A338" t="inlineStr">
        <is>
          <t>unit</t>
        </is>
      </c>
      <c r="B338" t="inlineStr">
        <is>
          <t>kilowatt hour</t>
        </is>
      </c>
    </row>
    <row r="339">
      <c r="A339" t="inlineStr">
        <is>
          <t>comment</t>
        </is>
      </c>
      <c r="B339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628 kWh. Heat production per ton MSWI incinerated: 6'170 MJ.</t>
        </is>
      </c>
    </row>
    <row r="340">
      <c r="A340" s="1" t="inlineStr">
        <is>
          <t>Exchanges</t>
        </is>
      </c>
    </row>
    <row r="341">
      <c r="A341" s="7" t="inlineStr">
        <is>
          <t>name</t>
        </is>
      </c>
      <c r="B341" s="7" t="inlineStr">
        <is>
          <t>amount</t>
        </is>
      </c>
      <c r="C341" s="7" t="inlineStr">
        <is>
          <t>location</t>
        </is>
      </c>
      <c r="D341" s="7" t="inlineStr">
        <is>
          <t>unit</t>
        </is>
      </c>
      <c r="E341" s="7" t="inlineStr">
        <is>
          <t>categories</t>
        </is>
      </c>
      <c r="F341" s="7" t="inlineStr">
        <is>
          <t>type</t>
        </is>
      </c>
      <c r="G341" s="7" t="inlineStr">
        <is>
          <t>reference product</t>
        </is>
      </c>
      <c r="H341" s="7" t="inlineStr">
        <is>
          <t>comment</t>
        </is>
      </c>
      <c r="I341" s="7" t="inlineStr">
        <is>
          <t>normalization</t>
        </is>
      </c>
      <c r="J341" s="7" t="inlineStr">
        <is>
          <t>allocation</t>
        </is>
      </c>
      <c r="K341" s="7" t="inlineStr">
        <is>
          <t>uncertainty type</t>
        </is>
      </c>
      <c r="L341" s="7" t="inlineStr">
        <is>
          <t>loc</t>
        </is>
      </c>
      <c r="M341" s="1" t="inlineStr">
        <is>
          <t>u1</t>
        </is>
      </c>
      <c r="N341" s="1" t="inlineStr">
        <is>
          <t>u2</t>
        </is>
      </c>
      <c r="O341" s="1" t="inlineStr">
        <is>
          <t>u3</t>
        </is>
      </c>
      <c r="P341" s="1" t="inlineStr">
        <is>
          <t>u4</t>
        </is>
      </c>
      <c r="Q341" s="1" t="inlineStr">
        <is>
          <t>u5</t>
        </is>
      </c>
      <c r="R341" s="1" t="inlineStr">
        <is>
          <t>u6</t>
        </is>
      </c>
      <c r="S341" s="1" t="inlineStr">
        <is>
          <t>ub</t>
        </is>
      </c>
      <c r="T341" s="1" t="inlineStr">
        <is>
          <t>scale</t>
        </is>
      </c>
    </row>
    <row r="342">
      <c r="A342" t="inlineStr">
        <is>
          <t>municipal waste incineration, at incineration plant, with wet air pollution control, without flue gas condensation, with electricity and heat recovery, economic allocation</t>
        </is>
      </c>
      <c r="B342" t="n">
        <v>0</v>
      </c>
      <c r="C342" t="inlineStr">
        <is>
          <t>RER</t>
        </is>
      </c>
      <c r="D342" t="inlineStr">
        <is>
          <t>kilogram</t>
        </is>
      </c>
      <c r="F342" t="inlineStr">
        <is>
          <t>technosphere</t>
        </is>
      </c>
      <c r="G342" t="inlineStr">
        <is>
          <t>municipal solid waste</t>
        </is>
      </c>
      <c r="H342" t="inlineStr"/>
      <c r="I342" t="n">
        <v>628</v>
      </c>
      <c r="J342" s="14">
        <f>INDEX('allocation keys'!$L$4:$N$30,MATCH('allocated (economic)'!$B$332,'allocation keys'!$B$4:$B$28,0),MATCH('allocated (economic)'!$B$336,'allocation keys'!$L$3:$N$3,0))</f>
        <v>0.24900674855869501</v>
      </c>
      <c r="K342" t="n">
        <v>0</v>
      </c>
      <c r="M342" s="5" t="n"/>
      <c r="N342" s="5" t="n"/>
      <c r="O342" s="5" t="n"/>
      <c r="P342" s="5" t="n"/>
      <c r="Q342" s="5" t="n"/>
      <c r="R342" s="5" t="n"/>
    </row>
    <row r="343">
      <c r="A343" t="inlineStr">
        <is>
          <t>municipal waste incineration, at incineration plant, with wet air pollution control, without flue gas condensation, with electricity and heat recovery, economic allocation</t>
        </is>
      </c>
      <c r="B343" s="6" t="n">
        <v>1</v>
      </c>
      <c r="C343" t="inlineStr">
        <is>
          <t>RER</t>
        </is>
      </c>
      <c r="D343" t="inlineStr">
        <is>
          <t>kilowatt hour</t>
        </is>
      </c>
      <c r="F343" t="inlineStr">
        <is>
          <t>production</t>
        </is>
      </c>
      <c r="G343" t="inlineStr">
        <is>
          <t>electricity, medium voltage</t>
        </is>
      </c>
      <c r="H343" t="inlineStr"/>
      <c r="I343" t="n">
        <v>628</v>
      </c>
      <c r="J343" s="11">
        <f>J342</f>
        <v>0.24900674855869501</v>
      </c>
      <c r="K343" t="n">
        <v>0</v>
      </c>
      <c r="L343" s="3" t="n"/>
    </row>
    <row r="344">
      <c r="A344" t="inlineStr">
        <is>
          <t>municipal waste incineration, at incineration plant, with wet air pollution control, without flue gas condensation, with electricity and heat recovery, economic allocation</t>
        </is>
      </c>
      <c r="B344" t="n">
        <v>0</v>
      </c>
      <c r="C344" t="inlineStr">
        <is>
          <t>RER</t>
        </is>
      </c>
      <c r="D344" t="inlineStr">
        <is>
          <t>megajoule</t>
        </is>
      </c>
      <c r="F344" t="inlineStr">
        <is>
          <t>technosphere</t>
        </is>
      </c>
      <c r="G344" t="inlineStr">
        <is>
          <t>heat, district or industrial, other than natural gas</t>
        </is>
      </c>
      <c r="H344" t="inlineStr"/>
      <c r="I344" t="n">
        <v>628</v>
      </c>
      <c r="J344" s="11">
        <f>J342</f>
        <v>0.24900674855869501</v>
      </c>
      <c r="K344" t="n">
        <v>0</v>
      </c>
      <c r="L344" s="3" t="n"/>
    </row>
    <row r="345">
      <c r="A345" t="inlineStr">
        <is>
          <t>market for diesel, low-sulfur</t>
        </is>
      </c>
      <c r="B345">
        <f>unallocated!B127/I345*J345</f>
        <v>3.3703142718931649E-5</v>
      </c>
      <c r="C345" t="inlineStr">
        <is>
          <t>Europe without Switzerland</t>
        </is>
      </c>
      <c r="D345" t="inlineStr">
        <is>
          <t>kilogram</t>
        </is>
      </c>
      <c r="F345" t="inlineStr">
        <is>
          <t>technosphere</t>
        </is>
      </c>
      <c r="G345" t="inlineStr">
        <is>
          <t>diesel, low-sulfur</t>
        </is>
      </c>
      <c r="H345" t="inlineStr">
        <is>
          <t>Diesel density: 0.85 kg/l</t>
        </is>
      </c>
      <c r="I345" t="n">
        <v>628</v>
      </c>
      <c r="J345" s="11">
        <f>J342</f>
        <v>0.24900674855869501</v>
      </c>
      <c r="K345" t="n">
        <v>2</v>
      </c>
      <c r="L345" s="3">
        <f>LN(B345)</f>
        <v>-10.297919469199357</v>
      </c>
      <c r="M345" t="n">
        <v>1</v>
      </c>
      <c r="N345" t="n">
        <v>1</v>
      </c>
      <c r="O345" t="n">
        <v>1</v>
      </c>
      <c r="P345" t="n">
        <v>1.02</v>
      </c>
      <c r="Q345" t="n">
        <v>1.2</v>
      </c>
      <c r="R345" t="n">
        <v>1</v>
      </c>
      <c r="S345" t="n">
        <v>1.05</v>
      </c>
      <c r="T345">
        <f>LN(SQRT(EXP(
SQRT(
+POWER(LN(M345),2)
+POWER(LN(N345),2)
+POWER(LN(O345),2)
+POWER(LN(P345),2)
+POWER(LN(Q345),2)
+POWER(LN(R345),2)
+POWER(LN(S345),2)
)
)))</f>
        <v>9.4886477223156879E-2</v>
      </c>
    </row>
    <row r="346">
      <c r="A346" t="inlineStr">
        <is>
          <t>market for activated carbon, granular</t>
        </is>
      </c>
      <c r="B346">
        <f>unallocated!B128/I346*J346</f>
        <v>1.5860302455967837E-4</v>
      </c>
      <c r="C346" t="inlineStr">
        <is>
          <t>GLO</t>
        </is>
      </c>
      <c r="D346" t="inlineStr">
        <is>
          <t>kilogram</t>
        </is>
      </c>
      <c r="F346" t="inlineStr">
        <is>
          <t>technosphere</t>
        </is>
      </c>
      <c r="G346" t="inlineStr">
        <is>
          <t>activated carbon, granular</t>
        </is>
      </c>
      <c r="I346" t="n">
        <v>628</v>
      </c>
      <c r="J346" s="11">
        <f>J342</f>
        <v>0.24900674855869501</v>
      </c>
      <c r="K346" t="n">
        <v>2</v>
      </c>
      <c r="L346" s="3">
        <f>LN(B346)</f>
        <v>-8.749106178581691</v>
      </c>
      <c r="M346" t="n">
        <v>1</v>
      </c>
      <c r="N346" t="n">
        <v>1</v>
      </c>
      <c r="O346" t="n">
        <v>1</v>
      </c>
      <c r="P346" t="n">
        <v>1.02</v>
      </c>
      <c r="Q346" t="n">
        <v>1.2</v>
      </c>
      <c r="R346" t="n">
        <v>1</v>
      </c>
      <c r="S346" t="n">
        <v>1.05</v>
      </c>
      <c r="T346">
        <f>LN(SQRT(EXP(
SQRT(
+POWER(LN(M346),2)
+POWER(LN(N346),2)
+POWER(LN(O346),2)
+POWER(LN(P346),2)
+POWER(LN(Q346),2)
+POWER(LN(R346),2)
+POWER(LN(S346),2)
)
)))</f>
        <v>9.4886477223156879E-2</v>
      </c>
    </row>
    <row r="347">
      <c r="A347" t="inlineStr">
        <is>
          <t>market for ammonia, anhydrous, liquid</t>
        </is>
      </c>
      <c r="B347">
        <f>unallocated!B129/I347*J347</f>
        <v>3.8857741017121191E-4</v>
      </c>
      <c r="C347" t="inlineStr">
        <is>
          <t>RER</t>
        </is>
      </c>
      <c r="D347" t="inlineStr">
        <is>
          <t>kilogram</t>
        </is>
      </c>
      <c r="F347" t="inlineStr">
        <is>
          <t>technosphere</t>
        </is>
      </c>
      <c r="G347" t="inlineStr">
        <is>
          <t>ammonia, anhydrous, liquid</t>
        </is>
      </c>
      <c r="H347" t="inlineStr">
        <is>
          <t>100% liquid ammonia. In original publication, it is dilluated to 23.5% in water. We discount the original value by 75%.</t>
        </is>
      </c>
      <c r="I347" t="n">
        <v>628</v>
      </c>
      <c r="J347" s="11">
        <f>J342</f>
        <v>0.24900674855869501</v>
      </c>
      <c r="K347" t="n">
        <v>2</v>
      </c>
      <c r="L347" s="3">
        <f>LN(B347)</f>
        <v>-7.8530181540250563</v>
      </c>
      <c r="M347" t="n">
        <v>1</v>
      </c>
      <c r="N347" t="n">
        <v>1</v>
      </c>
      <c r="O347" t="n">
        <v>1</v>
      </c>
      <c r="P347" t="n">
        <v>1.02</v>
      </c>
      <c r="Q347" t="n">
        <v>1.2</v>
      </c>
      <c r="R347" t="n">
        <v>1</v>
      </c>
      <c r="S347" t="n">
        <v>1.05</v>
      </c>
      <c r="T347">
        <f>LN(SQRT(EXP(
SQRT(
+POWER(LN(M347),2)
+POWER(LN(N347),2)
+POWER(LN(O347),2)
+POWER(LN(P347),2)
+POWER(LN(Q347),2)
+POWER(LN(R347),2)
+POWER(LN(S347),2)
)
)))</f>
        <v>9.4886477223156879E-2</v>
      </c>
    </row>
    <row r="348">
      <c r="A348" t="inlineStr">
        <is>
          <t>market for tap water</t>
        </is>
      </c>
      <c r="B348">
        <f>unallocated!B130/I348*J348</f>
        <v>1.1974528354255715E-3</v>
      </c>
      <c r="C348" t="inlineStr">
        <is>
          <t>Europe without Switzerland</t>
        </is>
      </c>
      <c r="D348" t="inlineStr">
        <is>
          <t>kilogram</t>
        </is>
      </c>
      <c r="F348" t="inlineStr">
        <is>
          <t>technosphere</t>
        </is>
      </c>
      <c r="G348" t="inlineStr">
        <is>
          <t>tap water</t>
        </is>
      </c>
      <c r="H348" t="inlineStr">
        <is>
          <t>Used to dilute the ammonia.</t>
        </is>
      </c>
      <c r="I348" t="n">
        <v>628</v>
      </c>
      <c r="J348" s="11">
        <f>J342</f>
        <v>0.24900674855869501</v>
      </c>
      <c r="K348" t="n">
        <v>2</v>
      </c>
      <c r="L348" s="3">
        <f>LN(B348)</f>
        <v>-6.7275586153207581</v>
      </c>
      <c r="M348" t="n">
        <v>1</v>
      </c>
      <c r="N348" t="n">
        <v>1</v>
      </c>
      <c r="O348" t="n">
        <v>1</v>
      </c>
      <c r="P348" t="n">
        <v>1.02</v>
      </c>
      <c r="Q348" t="n">
        <v>1.2</v>
      </c>
      <c r="R348" t="n">
        <v>1</v>
      </c>
      <c r="S348" t="n">
        <v>1.05</v>
      </c>
      <c r="T348">
        <f>LN(SQRT(EXP(
SQRT(
+POWER(LN(M348),2)
+POWER(LN(N348),2)
+POWER(LN(O348),2)
+POWER(LN(P348),2)
+POWER(LN(Q348),2)
+POWER(LN(R348),2)
+POWER(LN(S348),2)
)
)))</f>
        <v>9.4886477223156879E-2</v>
      </c>
    </row>
    <row r="349">
      <c r="A349" t="inlineStr">
        <is>
          <t>market for calcium carbonate, precipitated</t>
        </is>
      </c>
      <c r="B349">
        <f>unallocated!B131/I349*J349</f>
        <v>2.775552929794371E-3</v>
      </c>
      <c r="C349" t="inlineStr">
        <is>
          <t>RER</t>
        </is>
      </c>
      <c r="D349" t="inlineStr">
        <is>
          <t>kilogram</t>
        </is>
      </c>
      <c r="F349" t="inlineStr">
        <is>
          <t>technosphere</t>
        </is>
      </c>
      <c r="G349" t="inlineStr">
        <is>
          <t>calcium carbonate, precipitated</t>
        </is>
      </c>
      <c r="I349" t="n">
        <v>628</v>
      </c>
      <c r="J349" s="11">
        <f>J342</f>
        <v>0.24900674855869501</v>
      </c>
      <c r="K349" t="n">
        <v>0</v>
      </c>
      <c r="L349" s="3" t="n"/>
    </row>
    <row r="350">
      <c r="A350" t="inlineStr">
        <is>
          <t>market for iron(III) chloride, without water, in 40% solution state</t>
        </is>
      </c>
      <c r="B350">
        <f>unallocated!B132/I350*J350</f>
        <v>1.9825378069959797E-5</v>
      </c>
      <c r="C350" t="inlineStr">
        <is>
          <t>GLO</t>
        </is>
      </c>
      <c r="D350" t="inlineStr">
        <is>
          <t>kilogram</t>
        </is>
      </c>
      <c r="F350" t="inlineStr">
        <is>
          <t>technosphere</t>
        </is>
      </c>
      <c r="G350" t="inlineStr">
        <is>
          <t>iron(III) chloride, without water, in 40% solution state</t>
        </is>
      </c>
      <c r="I350" t="n">
        <v>628</v>
      </c>
      <c r="J350" s="11">
        <f>J342</f>
        <v>0.24900674855869501</v>
      </c>
      <c r="K350" t="n">
        <v>0</v>
      </c>
      <c r="L350" s="3" t="n"/>
    </row>
    <row r="351">
      <c r="A351" t="inlineStr">
        <is>
          <t>market for lime, hydrated, packed</t>
        </is>
      </c>
      <c r="B351">
        <f>unallocated!B133/I351*J351</f>
        <v>0</v>
      </c>
      <c r="C351" t="inlineStr">
        <is>
          <t>RER</t>
        </is>
      </c>
      <c r="D351" t="inlineStr">
        <is>
          <t>kilogram</t>
        </is>
      </c>
      <c r="F351" t="inlineStr">
        <is>
          <t>technosphere</t>
        </is>
      </c>
      <c r="G351" t="inlineStr">
        <is>
          <t>lime, hydrated, packed</t>
        </is>
      </c>
      <c r="I351" t="n">
        <v>628</v>
      </c>
      <c r="J351" s="11">
        <f>J342</f>
        <v>0.24900674855869501</v>
      </c>
      <c r="K351" t="n">
        <v>0</v>
      </c>
      <c r="L351" s="3" t="n"/>
    </row>
    <row r="352">
      <c r="A352" t="inlineStr">
        <is>
          <t>market for sodium hydroxide, without water, in 50% solution state</t>
        </is>
      </c>
      <c r="B352">
        <f>unallocated!B134/I352*J352</f>
        <v>9.9126890349798973E-5</v>
      </c>
      <c r="C352" t="inlineStr">
        <is>
          <t>RER</t>
        </is>
      </c>
      <c r="D352" t="inlineStr">
        <is>
          <t>kilogram</t>
        </is>
      </c>
      <c r="F352" t="inlineStr">
        <is>
          <t>technosphere</t>
        </is>
      </c>
      <c r="G352" t="inlineStr">
        <is>
          <t>sodium hydroxide, without water, in 50% solution state</t>
        </is>
      </c>
      <c r="H352" t="inlineStr">
        <is>
          <t>50% liquid ammonia. In original publication, it is dilluated to 27% in water. We discount the original value by 50%.</t>
        </is>
      </c>
      <c r="I352" t="n">
        <v>628</v>
      </c>
      <c r="J352" s="11">
        <f>J342</f>
        <v>0.24900674855869501</v>
      </c>
      <c r="K352" t="n">
        <v>0</v>
      </c>
      <c r="L352" s="3" t="n"/>
    </row>
    <row r="353">
      <c r="A353" t="inlineStr">
        <is>
          <t>market for monoethanolamine</t>
        </is>
      </c>
      <c r="B353">
        <f>unallocated!B135/I353*J353</f>
        <v>0</v>
      </c>
      <c r="C353" t="inlineStr">
        <is>
          <t>GLO</t>
        </is>
      </c>
      <c r="D353" t="inlineStr">
        <is>
          <t>kilogram</t>
        </is>
      </c>
      <c r="F353" t="inlineStr">
        <is>
          <t>technosphere</t>
        </is>
      </c>
      <c r="G353" t="inlineStr">
        <is>
          <t>monoethanolamine</t>
        </is>
      </c>
      <c r="I353" t="n">
        <v>628</v>
      </c>
      <c r="J353" s="11">
        <f>J342</f>
        <v>0.24900674855869501</v>
      </c>
      <c r="K353" t="n">
        <v>0</v>
      </c>
      <c r="L353" s="3" t="n"/>
    </row>
    <row r="354">
      <c r="A354" t="inlineStr">
        <is>
          <t>municipal waste incineration facility construction</t>
        </is>
      </c>
      <c r="B354">
        <f>unallocated!B136/I354*J354</f>
        <v>9.9126890349798964E-11</v>
      </c>
      <c r="C354" t="inlineStr">
        <is>
          <t>CH</t>
        </is>
      </c>
      <c r="D354" t="inlineStr">
        <is>
          <t>unit</t>
        </is>
      </c>
      <c r="F354" t="inlineStr">
        <is>
          <t>technosphere</t>
        </is>
      </c>
      <c r="G354" t="inlineStr">
        <is>
          <t>municipal waste incineration facility</t>
        </is>
      </c>
      <c r="H354" t="inlineStr">
        <is>
          <t>Lifetime: 4'000'000 tons MSWI treated.</t>
        </is>
      </c>
      <c r="I354" t="n">
        <v>628</v>
      </c>
      <c r="J354" s="11">
        <f>J342</f>
        <v>0.24900674855869501</v>
      </c>
      <c r="K354" t="n">
        <v>2</v>
      </c>
      <c r="L354" s="3">
        <f>LN(B354)</f>
        <v>-23.034620365791703</v>
      </c>
      <c r="M354" t="n">
        <v>1</v>
      </c>
      <c r="N354" t="n">
        <v>1</v>
      </c>
      <c r="O354" t="n">
        <v>1</v>
      </c>
      <c r="P354" t="n">
        <v>1.02</v>
      </c>
      <c r="Q354" t="n">
        <v>1.2</v>
      </c>
      <c r="R354" t="n">
        <v>1</v>
      </c>
      <c r="S354" t="n">
        <v>3</v>
      </c>
      <c r="T354">
        <f>LN(SQRT(EXP(
SQRT(
+POWER(LN(M354),2)
+POWER(LN(N354),2)
+POWER(LN(O354),2)
+POWER(LN(P354),2)
+POWER(LN(Q354),2)
+POWER(LN(R354),2)
+POWER(LN(S354),2)
)
)))</f>
        <v>0.5569071410325479</v>
      </c>
    </row>
    <row r="355">
      <c r="A355" t="inlineStr">
        <is>
          <t>Water, cooling, unspecified natural origin</t>
        </is>
      </c>
      <c r="B355">
        <f>unallocated!B137/I355*J355</f>
        <v>1.1895226841975876E-4</v>
      </c>
      <c r="D355" t="inlineStr">
        <is>
          <t>cubic meter</t>
        </is>
      </c>
      <c r="E355" t="inlineStr">
        <is>
          <t>natural resource::in water</t>
        </is>
      </c>
      <c r="F355" t="inlineStr">
        <is>
          <t>biosphere</t>
        </is>
      </c>
      <c r="I355" t="n">
        <v>628</v>
      </c>
      <c r="J355" s="11">
        <f>J342</f>
        <v>0.24900674855869501</v>
      </c>
      <c r="K355" t="n">
        <v>2</v>
      </c>
      <c r="L355" s="3">
        <f>LN(B355)</f>
        <v>-9.0367882510334727</v>
      </c>
      <c r="M355" t="n">
        <v>1</v>
      </c>
      <c r="N355" t="n">
        <v>1</v>
      </c>
      <c r="O355" t="n">
        <v>1</v>
      </c>
      <c r="P355" t="n">
        <v>1.02</v>
      </c>
      <c r="Q355" t="n">
        <v>1.2</v>
      </c>
      <c r="R355" t="n">
        <v>1</v>
      </c>
      <c r="S355" t="n">
        <v>1.05</v>
      </c>
      <c r="T355">
        <f>LN(SQRT(EXP(
SQRT(
+POWER(LN(M355),2)
+POWER(LN(N355),2)
+POWER(LN(O355),2)
+POWER(LN(P355),2)
+POWER(LN(Q355),2)
+POWER(LN(R355),2)
+POWER(LN(S355),2)
)
)))</f>
        <v>9.4886477223156879E-2</v>
      </c>
    </row>
    <row r="356">
      <c r="A356" t="inlineStr">
        <is>
          <t>Sulfur dioxide</t>
        </is>
      </c>
      <c r="B356">
        <f>unallocated!B138/I356*J356</f>
        <v>2.220442343835497E-5</v>
      </c>
      <c r="D356" t="inlineStr">
        <is>
          <t>kilogram</t>
        </is>
      </c>
      <c r="E356" t="inlineStr">
        <is>
          <t>air::urban air close to ground</t>
        </is>
      </c>
      <c r="F356" t="inlineStr">
        <is>
          <t>biosphere</t>
        </is>
      </c>
      <c r="I356" t="n">
        <v>628</v>
      </c>
      <c r="J356" s="11">
        <f>J342</f>
        <v>0.24900674855869501</v>
      </c>
      <c r="K356" t="n">
        <v>2</v>
      </c>
      <c r="L356" s="3">
        <f>LN(B356)</f>
        <v>-10.715219034954524</v>
      </c>
      <c r="M356" t="n">
        <v>1</v>
      </c>
      <c r="N356" t="n">
        <v>1</v>
      </c>
      <c r="O356" t="n">
        <v>1</v>
      </c>
      <c r="P356" t="n">
        <v>1.02</v>
      </c>
      <c r="Q356" t="n">
        <v>1.2</v>
      </c>
      <c r="R356" t="n">
        <v>1</v>
      </c>
      <c r="S356" t="n">
        <v>1.05</v>
      </c>
      <c r="T356">
        <f>LN(SQRT(EXP(
SQRT(
+POWER(LN(M356),2)
+POWER(LN(N356),2)
+POWER(LN(O356),2)
+POWER(LN(P356),2)
+POWER(LN(Q356),2)
+POWER(LN(R356),2)
+POWER(LN(S356),2)
)
)))</f>
        <v>9.4886477223156879E-2</v>
      </c>
    </row>
    <row r="357">
      <c r="A357" t="inlineStr">
        <is>
          <t>Hydrochloric acid</t>
        </is>
      </c>
      <c r="B357">
        <f>unallocated!B139/I357*J357</f>
        <v>2.3790453683951754E-6</v>
      </c>
      <c r="D357" t="inlineStr">
        <is>
          <t>kilogram</t>
        </is>
      </c>
      <c r="E357" t="inlineStr">
        <is>
          <t>air</t>
        </is>
      </c>
      <c r="F357" t="inlineStr">
        <is>
          <t>biosphere</t>
        </is>
      </c>
      <c r="I357" t="n">
        <v>628</v>
      </c>
      <c r="J357" s="11">
        <f>J342</f>
        <v>0.24900674855869501</v>
      </c>
      <c r="K357" t="n">
        <v>2</v>
      </c>
      <c r="L357" s="3">
        <f>LN(B357)</f>
        <v>-12.948811256461619</v>
      </c>
      <c r="M357" t="n">
        <v>1</v>
      </c>
      <c r="N357" t="n">
        <v>1</v>
      </c>
      <c r="O357" t="n">
        <v>1</v>
      </c>
      <c r="P357" t="n">
        <v>1.02</v>
      </c>
      <c r="Q357" t="n">
        <v>1.2</v>
      </c>
      <c r="R357" t="n">
        <v>1</v>
      </c>
      <c r="S357" t="n">
        <v>1.5</v>
      </c>
      <c r="T357">
        <f>LN(SQRT(EXP(
SQRT(
+POWER(LN(M357),2)
+POWER(LN(N357),2)
+POWER(LN(O357),2)
+POWER(LN(P357),2)
+POWER(LN(Q357),2)
+POWER(LN(R357),2)
+POWER(LN(S357),2)
)
)))</f>
        <v>0.22250575723605889</v>
      </c>
    </row>
    <row r="358">
      <c r="A358" t="inlineStr">
        <is>
          <t>Nitrogen oxides</t>
        </is>
      </c>
      <c r="B358">
        <f>unallocated!B140/I358*J358</f>
        <v>2.684356190672556E-4</v>
      </c>
      <c r="D358" t="inlineStr">
        <is>
          <t>kilogram</t>
        </is>
      </c>
      <c r="E358" t="inlineStr">
        <is>
          <t>air::urban air close to ground</t>
        </is>
      </c>
      <c r="F358" t="inlineStr">
        <is>
          <t>biosphere</t>
        </is>
      </c>
      <c r="I358" t="n">
        <v>628</v>
      </c>
      <c r="J358" s="11">
        <f>J342</f>
        <v>0.24900674855869501</v>
      </c>
      <c r="K358" t="n">
        <v>2</v>
      </c>
      <c r="L358" s="3">
        <f>LN(B358)</f>
        <v>-8.2228994527773995</v>
      </c>
      <c r="M358" t="n">
        <v>1</v>
      </c>
      <c r="N358" t="n">
        <v>1</v>
      </c>
      <c r="O358" t="n">
        <v>1</v>
      </c>
      <c r="P358" t="n">
        <v>1.02</v>
      </c>
      <c r="Q358" t="n">
        <v>1.2</v>
      </c>
      <c r="R358" t="n">
        <v>1</v>
      </c>
      <c r="S358" t="n">
        <v>1.5</v>
      </c>
      <c r="T358">
        <f>LN(SQRT(EXP(
SQRT(
+POWER(LN(M358),2)
+POWER(LN(N358),2)
+POWER(LN(O358),2)
+POWER(LN(P358),2)
+POWER(LN(Q358),2)
+POWER(LN(R358),2)
+POWER(LN(S358),2)
)
)))</f>
        <v>0.22250575723605889</v>
      </c>
    </row>
    <row r="359">
      <c r="A359" t="inlineStr">
        <is>
          <t>Ammonia</t>
        </is>
      </c>
      <c r="B359">
        <f>unallocated!B141/I359*J359</f>
        <v>1.1895226841975877E-6</v>
      </c>
      <c r="D359" t="inlineStr">
        <is>
          <t>kilogram</t>
        </is>
      </c>
      <c r="E359" t="inlineStr">
        <is>
          <t>air::urban air close to ground</t>
        </is>
      </c>
      <c r="F359" t="inlineStr">
        <is>
          <t>biosphere</t>
        </is>
      </c>
      <c r="I359" t="n">
        <v>628</v>
      </c>
      <c r="J359" s="11">
        <f>J342</f>
        <v>0.24900674855869501</v>
      </c>
      <c r="K359" t="n">
        <v>2</v>
      </c>
      <c r="L359" s="3">
        <f>LN(B359)</f>
        <v>-13.641958437021565</v>
      </c>
      <c r="M359" t="n">
        <v>1</v>
      </c>
      <c r="N359" t="n">
        <v>1</v>
      </c>
      <c r="O359" t="n">
        <v>1</v>
      </c>
      <c r="P359" t="n">
        <v>1.02</v>
      </c>
      <c r="Q359" t="n">
        <v>1.2</v>
      </c>
      <c r="R359" t="n">
        <v>1</v>
      </c>
      <c r="S359" t="n">
        <v>1.5</v>
      </c>
      <c r="T359">
        <f>LN(SQRT(EXP(
SQRT(
+POWER(LN(M359),2)
+POWER(LN(N359),2)
+POWER(LN(O359),2)
+POWER(LN(P359),2)
+POWER(LN(Q359),2)
+POWER(LN(R359),2)
+POWER(LN(S359),2)
)
)))</f>
        <v>0.22250575723605889</v>
      </c>
    </row>
    <row r="360">
      <c r="A360" t="inlineStr">
        <is>
          <t>Particulate Matter, &lt; 2.5 um</t>
        </is>
      </c>
      <c r="B360">
        <f>unallocated!B142/I360*J360</f>
        <v>2.3790453683951754E-6</v>
      </c>
      <c r="D360" t="inlineStr">
        <is>
          <t>kilogram</t>
        </is>
      </c>
      <c r="E360" t="inlineStr">
        <is>
          <t>air::urban air close to ground</t>
        </is>
      </c>
      <c r="F360" t="inlineStr">
        <is>
          <t>biosphere</t>
        </is>
      </c>
      <c r="I360" t="n">
        <v>628</v>
      </c>
      <c r="J360" s="11">
        <f>J342</f>
        <v>0.24900674855869501</v>
      </c>
      <c r="K360" t="n">
        <v>2</v>
      </c>
      <c r="L360" s="3">
        <f>LN(B360)</f>
        <v>-12.948811256461619</v>
      </c>
      <c r="M360" t="n">
        <v>1</v>
      </c>
      <c r="N360" t="n">
        <v>1</v>
      </c>
      <c r="O360" t="n">
        <v>1</v>
      </c>
      <c r="P360" t="n">
        <v>1.02</v>
      </c>
      <c r="Q360" t="n">
        <v>1.2</v>
      </c>
      <c r="R360" t="n">
        <v>1</v>
      </c>
      <c r="S360" t="n">
        <v>3</v>
      </c>
      <c r="T360">
        <f>LN(SQRT(EXP(
SQRT(
+POWER(LN(M360),2)
+POWER(LN(N360),2)
+POWER(LN(O360),2)
+POWER(LN(P360),2)
+POWER(LN(Q360),2)
+POWER(LN(R360),2)
+POWER(LN(S360),2)
)
)))</f>
        <v>0.5569071410325479</v>
      </c>
    </row>
    <row r="361">
      <c r="A361" t="inlineStr">
        <is>
          <t>Mercury II</t>
        </is>
      </c>
      <c r="B361">
        <f>unallocated!B143/I361*J361</f>
        <v>9.1196739121815053E-9</v>
      </c>
      <c r="D361" t="inlineStr">
        <is>
          <t>kilogram</t>
        </is>
      </c>
      <c r="E361" t="inlineStr">
        <is>
          <t>air::urban air close to ground</t>
        </is>
      </c>
      <c r="F361" t="inlineStr">
        <is>
          <t>biosphere</t>
        </is>
      </c>
      <c r="I361" t="n">
        <v>628</v>
      </c>
      <c r="J361" s="11">
        <f>J342</f>
        <v>0.24900674855869501</v>
      </c>
      <c r="K361" t="n">
        <v>2</v>
      </c>
      <c r="L361" s="3">
        <f>LN(B361)</f>
        <v>-18.512831788742663</v>
      </c>
      <c r="M361" t="n">
        <v>1</v>
      </c>
      <c r="N361" t="n">
        <v>1</v>
      </c>
      <c r="O361" t="n">
        <v>1</v>
      </c>
      <c r="P361" t="n">
        <v>1.02</v>
      </c>
      <c r="Q361" t="n">
        <v>1.2</v>
      </c>
      <c r="R361" t="n">
        <v>1</v>
      </c>
      <c r="S361" t="n">
        <v>5</v>
      </c>
      <c r="T361">
        <f>LN(SQRT(EXP(
SQRT(
+POWER(LN(M361),2)
+POWER(LN(N361),2)
+POWER(LN(O361),2)
+POWER(LN(P361),2)
+POWER(LN(Q361),2)
+POWER(LN(R361),2)
+POWER(LN(S361),2)
)
)))</f>
        <v>0.80992649174166365</v>
      </c>
    </row>
    <row r="362">
      <c r="A362" t="inlineStr">
        <is>
          <t>Lead II</t>
        </is>
      </c>
      <c r="B362">
        <f>unallocated!B144/I362*J362</f>
        <v>2.220442343835497E-8</v>
      </c>
      <c r="D362" t="inlineStr">
        <is>
          <t>kilogram</t>
        </is>
      </c>
      <c r="E362" t="inlineStr">
        <is>
          <t>air::urban air close to ground</t>
        </is>
      </c>
      <c r="F362" t="inlineStr">
        <is>
          <t>biosphere</t>
        </is>
      </c>
      <c r="I362" t="n">
        <v>628</v>
      </c>
      <c r="J362" s="11">
        <f>J342</f>
        <v>0.24900674855869501</v>
      </c>
      <c r="K362" t="n">
        <v>2</v>
      </c>
      <c r="L362" s="3">
        <f>LN(B362)</f>
        <v>-17.622974313936663</v>
      </c>
      <c r="M362" t="n">
        <v>1</v>
      </c>
      <c r="N362" t="n">
        <v>1</v>
      </c>
      <c r="O362" t="n">
        <v>1</v>
      </c>
      <c r="P362" t="n">
        <v>1.02</v>
      </c>
      <c r="Q362" t="n">
        <v>1.2</v>
      </c>
      <c r="R362" t="n">
        <v>1</v>
      </c>
      <c r="S362" t="n">
        <v>5</v>
      </c>
      <c r="T362">
        <f>LN(SQRT(EXP(
SQRT(
+POWER(LN(M362),2)
+POWER(LN(N362),2)
+POWER(LN(O362),2)
+POWER(LN(P362),2)
+POWER(LN(Q362),2)
+POWER(LN(R362),2)
+POWER(LN(S362),2)
)
)))</f>
        <v>0.80992649174166365</v>
      </c>
    </row>
    <row r="363">
      <c r="A363" t="inlineStr">
        <is>
          <t>Cadmium II</t>
        </is>
      </c>
      <c r="B363">
        <f>unallocated!B145/I363*J363</f>
        <v>4.361583175391155E-9</v>
      </c>
      <c r="D363" t="inlineStr">
        <is>
          <t>kilogram</t>
        </is>
      </c>
      <c r="E363" t="inlineStr">
        <is>
          <t>air::urban air close to ground</t>
        </is>
      </c>
      <c r="F363" t="inlineStr">
        <is>
          <t>biosphere</t>
        </is>
      </c>
      <c r="I363" t="n">
        <v>628</v>
      </c>
      <c r="J363" s="11">
        <f>J342</f>
        <v>0.24900674855869501</v>
      </c>
      <c r="K363" t="n">
        <v>2</v>
      </c>
      <c r="L363" s="3">
        <f>LN(B363)</f>
        <v>-19.25043073187344</v>
      </c>
      <c r="M363" t="n">
        <v>1</v>
      </c>
      <c r="N363" t="n">
        <v>1</v>
      </c>
      <c r="O363" t="n">
        <v>1</v>
      </c>
      <c r="P363" t="n">
        <v>1.02</v>
      </c>
      <c r="Q363" t="n">
        <v>1.2</v>
      </c>
      <c r="R363" t="n">
        <v>1</v>
      </c>
      <c r="S363" t="n">
        <v>5</v>
      </c>
      <c r="T363">
        <f>LN(SQRT(EXP(
SQRT(
+POWER(LN(M363),2)
+POWER(LN(N363),2)
+POWER(LN(O363),2)
+POWER(LN(P363),2)
+POWER(LN(Q363),2)
+POWER(LN(R363),2)
+POWER(LN(S363),2)
)
)))</f>
        <v>0.80992649174166365</v>
      </c>
    </row>
    <row r="364">
      <c r="A364" t="inlineStr">
        <is>
          <t>Arsenic ion</t>
        </is>
      </c>
      <c r="B364">
        <f>unallocated!B146/I364*J364</f>
        <v>2.3790453683951751E-9</v>
      </c>
      <c r="D364" t="inlineStr">
        <is>
          <t>kilogram</t>
        </is>
      </c>
      <c r="E364" t="inlineStr">
        <is>
          <t>air::urban air close to ground</t>
        </is>
      </c>
      <c r="F364" t="inlineStr">
        <is>
          <t>biosphere</t>
        </is>
      </c>
      <c r="I364" t="n">
        <v>628</v>
      </c>
      <c r="J364" s="11">
        <f>J342</f>
        <v>0.24900674855869501</v>
      </c>
      <c r="K364" t="n">
        <v>2</v>
      </c>
      <c r="L364" s="3">
        <f>LN(B364)</f>
        <v>-19.856566535443754</v>
      </c>
      <c r="M364" t="n">
        <v>1</v>
      </c>
      <c r="N364" t="n">
        <v>1</v>
      </c>
      <c r="O364" t="n">
        <v>1</v>
      </c>
      <c r="P364" t="n">
        <v>1.02</v>
      </c>
      <c r="Q364" t="n">
        <v>1.2</v>
      </c>
      <c r="R364" t="n">
        <v>1</v>
      </c>
      <c r="S364" t="n">
        <v>5</v>
      </c>
      <c r="T364">
        <f>LN(SQRT(EXP(
SQRT(
+POWER(LN(M364),2)
+POWER(LN(N364),2)
+POWER(LN(O364),2)
+POWER(LN(P364),2)
+POWER(LN(Q364),2)
+POWER(LN(R364),2)
+POWER(LN(S364),2)
)
)))</f>
        <v>0.80992649174166365</v>
      </c>
    </row>
    <row r="365">
      <c r="A365" t="inlineStr">
        <is>
          <t>Dioxins, measured as 2,3,7,8-tetrachlorodibenzo-p-dioxin</t>
        </is>
      </c>
      <c r="B365">
        <f>unallocated!B147/I365*J365</f>
        <v>4.3615831753911547E-14</v>
      </c>
      <c r="D365" t="inlineStr">
        <is>
          <t>kilogram</t>
        </is>
      </c>
      <c r="E365" t="inlineStr">
        <is>
          <t>air::urban air close to ground</t>
        </is>
      </c>
      <c r="F365" t="inlineStr">
        <is>
          <t>biosphere</t>
        </is>
      </c>
      <c r="I365" t="n">
        <v>628</v>
      </c>
      <c r="J365" s="11">
        <f>J342</f>
        <v>0.24900674855869501</v>
      </c>
      <c r="K365" t="n">
        <v>2</v>
      </c>
      <c r="L365" s="3">
        <f>LN(B365)</f>
        <v>-30.76335619684367</v>
      </c>
      <c r="M365" t="n">
        <v>1</v>
      </c>
      <c r="N365" t="n">
        <v>1</v>
      </c>
      <c r="O365" t="n">
        <v>1</v>
      </c>
      <c r="P365" t="n">
        <v>1.02</v>
      </c>
      <c r="Q365" t="n">
        <v>1.2</v>
      </c>
      <c r="R365" t="n">
        <v>1</v>
      </c>
      <c r="S365" t="n">
        <v>5</v>
      </c>
      <c r="T365">
        <f>LN(SQRT(EXP(
SQRT(
+POWER(LN(M365),2)
+POWER(LN(N365),2)
+POWER(LN(O365),2)
+POWER(LN(P365),2)
+POWER(LN(Q365),2)
+POWER(LN(R365),2)
+POWER(LN(S365),2)
)
)))</f>
        <v>0.80992649174166365</v>
      </c>
    </row>
    <row r="366">
      <c r="A366" t="inlineStr">
        <is>
          <t>Carbon dioxide, fossil</t>
        </is>
      </c>
      <c r="B366">
        <f>unallocated!B148/I366*J366</f>
        <v>0.14829382796329926</v>
      </c>
      <c r="D366" t="inlineStr">
        <is>
          <t>kilogram</t>
        </is>
      </c>
      <c r="E366" t="inlineStr">
        <is>
          <t>air::urban air close to ground</t>
        </is>
      </c>
      <c r="F366" t="inlineStr">
        <is>
          <t>biosphere</t>
        </is>
      </c>
      <c r="I366" t="n">
        <v>628</v>
      </c>
      <c r="J366" s="11">
        <f>J342</f>
        <v>0.24900674855869501</v>
      </c>
      <c r="K366" t="n">
        <v>2</v>
      </c>
      <c r="L366" s="3">
        <f>LN(B366)</f>
        <v>-1.9085596492930048</v>
      </c>
      <c r="M366" t="n">
        <v>1</v>
      </c>
      <c r="N366" t="n">
        <v>1</v>
      </c>
      <c r="O366" t="n">
        <v>1</v>
      </c>
      <c r="P366" t="n">
        <v>1.02</v>
      </c>
      <c r="Q366" t="n">
        <v>1.2</v>
      </c>
      <c r="R366" t="n">
        <v>1</v>
      </c>
      <c r="S366" t="n">
        <v>1.05</v>
      </c>
      <c r="T366">
        <f>LN(SQRT(EXP(
SQRT(
+POWER(LN(M366),2)
+POWER(LN(N366),2)
+POWER(LN(O366),2)
+POWER(LN(P366),2)
+POWER(LN(Q366),2)
+POWER(LN(R366),2)
+POWER(LN(S366),2)
)
)))</f>
        <v>9.4886477223156879E-2</v>
      </c>
    </row>
    <row r="367">
      <c r="A367" t="inlineStr">
        <is>
          <t>Carbon dioxide, non-fossil</t>
        </is>
      </c>
      <c r="B367">
        <f>unallocated!B149/I367*J367</f>
        <v>0.23552549147112234</v>
      </c>
      <c r="D367" t="inlineStr">
        <is>
          <t>kilogram</t>
        </is>
      </c>
      <c r="E367" t="inlineStr">
        <is>
          <t>air::urban air close to ground</t>
        </is>
      </c>
      <c r="F367" t="inlineStr">
        <is>
          <t>biosphere</t>
        </is>
      </c>
      <c r="I367" t="n">
        <v>628</v>
      </c>
      <c r="J367" s="11">
        <f>J342</f>
        <v>0.24900674855869501</v>
      </c>
      <c r="K367" t="n">
        <v>2</v>
      </c>
      <c r="L367" s="3">
        <f>LN(B367)</f>
        <v>-1.4459361273448919</v>
      </c>
      <c r="M367" t="n">
        <v>1</v>
      </c>
      <c r="N367" t="n">
        <v>1</v>
      </c>
      <c r="O367" t="n">
        <v>1</v>
      </c>
      <c r="P367" t="n">
        <v>1.02</v>
      </c>
      <c r="Q367" t="n">
        <v>1.2</v>
      </c>
      <c r="R367" t="n">
        <v>1</v>
      </c>
      <c r="S367" t="n">
        <v>1.05</v>
      </c>
      <c r="T367">
        <f>LN(SQRT(EXP(
SQRT(
+POWER(LN(M367),2)
+POWER(LN(N367),2)
+POWER(LN(O367),2)
+POWER(LN(P367),2)
+POWER(LN(Q367),2)
+POWER(LN(R367),2)
+POWER(LN(S367),2)
)
)))</f>
        <v>9.4886477223156879E-2</v>
      </c>
    </row>
    <row r="368"/>
    <row r="369">
      <c r="A369" s="1" t="inlineStr">
        <is>
          <t>Activity</t>
        </is>
      </c>
      <c r="B369" s="1" t="inlineStr">
        <is>
          <t>municipal waste incineration, at incineration plant, with wet air pollution control, without flue gas condensation, with electricity and heat recovery, economic allocation</t>
        </is>
      </c>
    </row>
    <row r="370">
      <c r="A370" t="inlineStr">
        <is>
          <t>location</t>
        </is>
      </c>
      <c r="B370" t="inlineStr">
        <is>
          <t>RER</t>
        </is>
      </c>
    </row>
    <row r="371">
      <c r="A371" t="inlineStr">
        <is>
          <t>production amount</t>
        </is>
      </c>
      <c r="B371" t="n">
        <v>1</v>
      </c>
    </row>
    <row r="372">
      <c r="A372" s="2" t="inlineStr">
        <is>
          <t>source</t>
        </is>
      </c>
      <c r="B372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373">
      <c r="A373" t="inlineStr">
        <is>
          <t>reference product</t>
        </is>
      </c>
      <c r="B373" t="inlineStr">
        <is>
          <t>heat, district or industrial, other than natural gas</t>
        </is>
      </c>
    </row>
    <row r="374">
      <c r="A374" t="inlineStr">
        <is>
          <t>type</t>
        </is>
      </c>
      <c r="B374" t="inlineStr">
        <is>
          <t>process</t>
        </is>
      </c>
    </row>
    <row r="375">
      <c r="A375" t="inlineStr">
        <is>
          <t>unit</t>
        </is>
      </c>
      <c r="B375" t="inlineStr">
        <is>
          <t>megajoule</t>
        </is>
      </c>
    </row>
    <row r="376">
      <c r="A376" t="inlineStr">
        <is>
          <t>comment</t>
        </is>
      </c>
      <c r="B376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No. Electricity production per ton MSWI incinerated: 628 kWh. Heat production per ton MSWI incinerated: 6'170 MJ.</t>
        </is>
      </c>
    </row>
    <row r="377">
      <c r="A377" s="1" t="inlineStr">
        <is>
          <t>Exchanges</t>
        </is>
      </c>
    </row>
    <row r="378">
      <c r="A378" s="7" t="inlineStr">
        <is>
          <t>name</t>
        </is>
      </c>
      <c r="B378" s="7" t="inlineStr">
        <is>
          <t>amount</t>
        </is>
      </c>
      <c r="C378" s="7" t="inlineStr">
        <is>
          <t>location</t>
        </is>
      </c>
      <c r="D378" s="7" t="inlineStr">
        <is>
          <t>unit</t>
        </is>
      </c>
      <c r="E378" s="7" t="inlineStr">
        <is>
          <t>categories</t>
        </is>
      </c>
      <c r="F378" s="7" t="inlineStr">
        <is>
          <t>type</t>
        </is>
      </c>
      <c r="G378" s="7" t="inlineStr">
        <is>
          <t>reference product</t>
        </is>
      </c>
      <c r="H378" s="7" t="inlineStr">
        <is>
          <t>comment</t>
        </is>
      </c>
      <c r="I378" s="7" t="inlineStr">
        <is>
          <t>normalization</t>
        </is>
      </c>
      <c r="J378" s="7" t="inlineStr">
        <is>
          <t>allocation</t>
        </is>
      </c>
      <c r="K378" s="7" t="inlineStr">
        <is>
          <t>uncertainty type</t>
        </is>
      </c>
      <c r="L378" s="7" t="inlineStr">
        <is>
          <t>loc</t>
        </is>
      </c>
      <c r="M378" s="1" t="inlineStr">
        <is>
          <t>u1</t>
        </is>
      </c>
      <c r="N378" s="1" t="inlineStr">
        <is>
          <t>u2</t>
        </is>
      </c>
      <c r="O378" s="1" t="inlineStr">
        <is>
          <t>u3</t>
        </is>
      </c>
      <c r="P378" s="1" t="inlineStr">
        <is>
          <t>u4</t>
        </is>
      </c>
      <c r="Q378" s="1" t="inlineStr">
        <is>
          <t>u5</t>
        </is>
      </c>
      <c r="R378" s="1" t="inlineStr">
        <is>
          <t>u6</t>
        </is>
      </c>
      <c r="S378" s="1" t="inlineStr">
        <is>
          <t>ub</t>
        </is>
      </c>
      <c r="T378" s="1" t="inlineStr">
        <is>
          <t>scale</t>
        </is>
      </c>
    </row>
    <row r="379">
      <c r="A379" t="inlineStr">
        <is>
          <t>municipal waste incineration, at incineration plant, with wet air pollution control, without flue gas condensation, with electricity and heat recovery, economic allocation</t>
        </is>
      </c>
      <c r="B379" t="n">
        <v>0</v>
      </c>
      <c r="C379" t="inlineStr">
        <is>
          <t>RER</t>
        </is>
      </c>
      <c r="D379" t="inlineStr">
        <is>
          <t>kilogram</t>
        </is>
      </c>
      <c r="F379" t="inlineStr">
        <is>
          <t>technosphere</t>
        </is>
      </c>
      <c r="G379" t="inlineStr">
        <is>
          <t>municipal solid waste</t>
        </is>
      </c>
      <c r="H379" t="inlineStr"/>
      <c r="I379" t="n">
        <v>6170</v>
      </c>
      <c r="J379" s="14">
        <f>INDEX('allocation keys'!$L$4:$N$30,MATCH('allocated (economic)'!$B$369,'allocation keys'!$B$4:$B$28,0),MATCH('allocated (economic)'!$B$373,'allocation keys'!$L$3:$N$3,0))</f>
        <v>0.25932387530630208</v>
      </c>
      <c r="K379" t="n">
        <v>0</v>
      </c>
      <c r="M379" s="5" t="n"/>
      <c r="N379" s="5" t="n"/>
      <c r="O379" s="5" t="n"/>
      <c r="P379" s="5" t="n"/>
      <c r="Q379" s="5" t="n"/>
      <c r="R379" s="5" t="n"/>
    </row>
    <row r="380">
      <c r="A380" t="inlineStr">
        <is>
          <t>municipal waste incineration, at incineration plant, with wet air pollution control, without flue gas condensation, with electricity and heat recovery, economic allocation</t>
        </is>
      </c>
      <c r="B380" s="6" t="n">
        <v>0</v>
      </c>
      <c r="C380" t="inlineStr">
        <is>
          <t>RER</t>
        </is>
      </c>
      <c r="D380" t="inlineStr">
        <is>
          <t>kilowatt hour</t>
        </is>
      </c>
      <c r="F380" t="inlineStr">
        <is>
          <t>technosphere</t>
        </is>
      </c>
      <c r="G380" t="inlineStr">
        <is>
          <t>electricity, medium voltage</t>
        </is>
      </c>
      <c r="H380" t="inlineStr"/>
      <c r="I380" t="n">
        <v>6170</v>
      </c>
      <c r="J380" s="11">
        <f>J379</f>
        <v>0.25932387530630208</v>
      </c>
      <c r="K380" t="n">
        <v>0</v>
      </c>
      <c r="L380" s="3" t="n"/>
    </row>
    <row r="381">
      <c r="A381" t="inlineStr">
        <is>
          <t>municipal waste incineration, at incineration plant, with wet air pollution control, without flue gas condensation, with electricity and heat recovery, economic allocation</t>
        </is>
      </c>
      <c r="B381" t="n">
        <v>1</v>
      </c>
      <c r="C381" t="inlineStr">
        <is>
          <t>RER</t>
        </is>
      </c>
      <c r="D381" t="inlineStr">
        <is>
          <t>megajoule</t>
        </is>
      </c>
      <c r="F381" t="inlineStr">
        <is>
          <t>production</t>
        </is>
      </c>
      <c r="G381" t="inlineStr">
        <is>
          <t>heat, district or industrial, other than natural gas</t>
        </is>
      </c>
      <c r="H381" t="inlineStr"/>
      <c r="I381" t="n">
        <v>6170</v>
      </c>
      <c r="J381" s="11">
        <f>J379</f>
        <v>0.25932387530630208</v>
      </c>
      <c r="K381" t="n">
        <v>0</v>
      </c>
      <c r="L381" s="3" t="n"/>
    </row>
    <row r="382">
      <c r="A382" t="inlineStr">
        <is>
          <t>market for diesel, low-sulfur</t>
        </is>
      </c>
      <c r="B382">
        <f>unallocated!B127/I382*J382</f>
        <v>3.5725331282067548E-6</v>
      </c>
      <c r="C382" t="inlineStr">
        <is>
          <t>Europe without Switzerland</t>
        </is>
      </c>
      <c r="D382" t="inlineStr">
        <is>
          <t>kilogram</t>
        </is>
      </c>
      <c r="F382" t="inlineStr">
        <is>
          <t>technosphere</t>
        </is>
      </c>
      <c r="G382" t="inlineStr">
        <is>
          <t>diesel, low-sulfur</t>
        </is>
      </c>
      <c r="H382" t="inlineStr">
        <is>
          <t>Diesel density: 0.85 kg/l</t>
        </is>
      </c>
      <c r="I382" t="n">
        <v>6170</v>
      </c>
      <c r="J382" s="11">
        <f>J379</f>
        <v>0.25932387530630208</v>
      </c>
      <c r="K382" t="n">
        <v>2</v>
      </c>
      <c r="L382" s="3">
        <f>LN(B382)</f>
        <v>-12.542235654069428</v>
      </c>
      <c r="M382" t="n">
        <v>1</v>
      </c>
      <c r="N382" t="n">
        <v>1</v>
      </c>
      <c r="O382" t="n">
        <v>1</v>
      </c>
      <c r="P382" t="n">
        <v>1.02</v>
      </c>
      <c r="Q382" t="n">
        <v>1.2</v>
      </c>
      <c r="R382" t="n">
        <v>1</v>
      </c>
      <c r="S382" t="n">
        <v>1.05</v>
      </c>
      <c r="T382">
        <f>LN(SQRT(EXP(
SQRT(
+POWER(LN(M382),2)
+POWER(LN(N382),2)
+POWER(LN(O382),2)
+POWER(LN(P382),2)
+POWER(LN(Q382),2)
+POWER(LN(R382),2)
+POWER(LN(S382),2)
)
)))</f>
        <v>9.4886477223156879E-2</v>
      </c>
    </row>
    <row r="383">
      <c r="A383" t="inlineStr">
        <is>
          <t>market for activated carbon, granular</t>
        </is>
      </c>
      <c r="B383">
        <f>unallocated!B128/I383*J383</f>
        <v>1.6811920603325907E-5</v>
      </c>
      <c r="C383" t="inlineStr">
        <is>
          <t>GLO</t>
        </is>
      </c>
      <c r="D383" t="inlineStr">
        <is>
          <t>kilogram</t>
        </is>
      </c>
      <c r="F383" t="inlineStr">
        <is>
          <t>technosphere</t>
        </is>
      </c>
      <c r="G383" t="inlineStr">
        <is>
          <t>activated carbon, granular</t>
        </is>
      </c>
      <c r="I383" t="n">
        <v>6170</v>
      </c>
      <c r="J383" s="11">
        <f>J379</f>
        <v>0.25932387530630208</v>
      </c>
      <c r="K383" t="n">
        <v>2</v>
      </c>
      <c r="L383" s="3">
        <f>LN(B383)</f>
        <v>-10.993422363451762</v>
      </c>
      <c r="M383" t="n">
        <v>1</v>
      </c>
      <c r="N383" t="n">
        <v>1</v>
      </c>
      <c r="O383" t="n">
        <v>1</v>
      </c>
      <c r="P383" t="n">
        <v>1.02</v>
      </c>
      <c r="Q383" t="n">
        <v>1.2</v>
      </c>
      <c r="R383" t="n">
        <v>1</v>
      </c>
      <c r="S383" t="n">
        <v>1.05</v>
      </c>
      <c r="T383">
        <f>LN(SQRT(EXP(
SQRT(
+POWER(LN(M383),2)
+POWER(LN(N383),2)
+POWER(LN(O383),2)
+POWER(LN(P383),2)
+POWER(LN(Q383),2)
+POWER(LN(R383),2)
+POWER(LN(S383),2)
)
)))</f>
        <v>9.4886477223156879E-2</v>
      </c>
    </row>
    <row r="384">
      <c r="A384" t="inlineStr">
        <is>
          <t>market for ammonia, anhydrous, liquid</t>
        </is>
      </c>
      <c r="B384">
        <f>unallocated!B129/I384*J384</f>
        <v>4.1189205478148468E-5</v>
      </c>
      <c r="C384" t="inlineStr">
        <is>
          <t>RER</t>
        </is>
      </c>
      <c r="D384" t="inlineStr">
        <is>
          <t>kilogram</t>
        </is>
      </c>
      <c r="F384" t="inlineStr">
        <is>
          <t>technosphere</t>
        </is>
      </c>
      <c r="G384" t="inlineStr">
        <is>
          <t>ammonia, anhydrous, liquid</t>
        </is>
      </c>
      <c r="H384" t="inlineStr">
        <is>
          <t>100% liquid ammonia. In original publication, it is dilluated to 23.5% in water. We discount the original value by 75%.</t>
        </is>
      </c>
      <c r="I384" t="n">
        <v>6170</v>
      </c>
      <c r="J384" s="11">
        <f>J379</f>
        <v>0.25932387530630208</v>
      </c>
      <c r="K384" t="n">
        <v>2</v>
      </c>
      <c r="L384" s="3">
        <f>LN(B384)</f>
        <v>-10.097334338895125</v>
      </c>
      <c r="M384" t="n">
        <v>1</v>
      </c>
      <c r="N384" t="n">
        <v>1</v>
      </c>
      <c r="O384" t="n">
        <v>1</v>
      </c>
      <c r="P384" t="n">
        <v>1.02</v>
      </c>
      <c r="Q384" t="n">
        <v>1.2</v>
      </c>
      <c r="R384" t="n">
        <v>1</v>
      </c>
      <c r="S384" t="n">
        <v>1.05</v>
      </c>
      <c r="T384">
        <f>LN(SQRT(EXP(
SQRT(
+POWER(LN(M384),2)
+POWER(LN(N384),2)
+POWER(LN(O384),2)
+POWER(LN(P384),2)
+POWER(LN(Q384),2)
+POWER(LN(R384),2)
+POWER(LN(S384),2)
)
)))</f>
        <v>9.4886477223156879E-2</v>
      </c>
    </row>
    <row r="385">
      <c r="A385" t="inlineStr">
        <is>
          <t>market for tap water</t>
        </is>
      </c>
      <c r="B385">
        <f>unallocated!B130/I385*J385</f>
        <v>1.2693000055511057E-4</v>
      </c>
      <c r="C385" t="inlineStr">
        <is>
          <t>Europe without Switzerland</t>
        </is>
      </c>
      <c r="D385" t="inlineStr">
        <is>
          <t>kilogram</t>
        </is>
      </c>
      <c r="F385" t="inlineStr">
        <is>
          <t>technosphere</t>
        </is>
      </c>
      <c r="G385" t="inlineStr">
        <is>
          <t>tap water</t>
        </is>
      </c>
      <c r="H385" t="inlineStr">
        <is>
          <t>Used to dilute the ammonia.</t>
        </is>
      </c>
      <c r="I385" t="n">
        <v>6170</v>
      </c>
      <c r="J385" s="11">
        <f>J379</f>
        <v>0.25932387530630208</v>
      </c>
      <c r="K385" t="n">
        <v>2</v>
      </c>
      <c r="L385" s="3">
        <f>LN(B385)</f>
        <v>-8.9718748001908288</v>
      </c>
      <c r="M385" t="n">
        <v>1</v>
      </c>
      <c r="N385" t="n">
        <v>1</v>
      </c>
      <c r="O385" t="n">
        <v>1</v>
      </c>
      <c r="P385" t="n">
        <v>1.02</v>
      </c>
      <c r="Q385" t="n">
        <v>1.2</v>
      </c>
      <c r="R385" t="n">
        <v>1</v>
      </c>
      <c r="S385" t="n">
        <v>1.05</v>
      </c>
      <c r="T385">
        <f>LN(SQRT(EXP(
SQRT(
+POWER(LN(M385),2)
+POWER(LN(N385),2)
+POWER(LN(O385),2)
+POWER(LN(P385),2)
+POWER(LN(Q385),2)
+POWER(LN(R385),2)
+POWER(LN(S385),2)
)
)))</f>
        <v>9.4886477223156879E-2</v>
      </c>
    </row>
    <row r="386">
      <c r="A386" t="inlineStr">
        <is>
          <t>market for calcium carbonate, precipitated</t>
        </is>
      </c>
      <c r="B386">
        <f>unallocated!B131/I386*J386</f>
        <v>2.9420861055820335E-4</v>
      </c>
      <c r="C386" t="inlineStr">
        <is>
          <t>RER</t>
        </is>
      </c>
      <c r="D386" t="inlineStr">
        <is>
          <t>kilogram</t>
        </is>
      </c>
      <c r="F386" t="inlineStr">
        <is>
          <t>technosphere</t>
        </is>
      </c>
      <c r="G386" t="inlineStr">
        <is>
          <t>calcium carbonate, precipitated</t>
        </is>
      </c>
      <c r="I386" t="n">
        <v>6170</v>
      </c>
      <c r="J386" s="11">
        <f>J379</f>
        <v>0.25932387530630208</v>
      </c>
      <c r="K386" t="n">
        <v>0</v>
      </c>
      <c r="L386" s="3" t="n"/>
    </row>
    <row r="387">
      <c r="A387" t="inlineStr">
        <is>
          <t>market for iron(III) chloride, without water, in 40% solution state</t>
        </is>
      </c>
      <c r="B387">
        <f>unallocated!B132/I387*J387</f>
        <v>2.1014900754157384E-6</v>
      </c>
      <c r="C387" t="inlineStr">
        <is>
          <t>GLO</t>
        </is>
      </c>
      <c r="D387" t="inlineStr">
        <is>
          <t>kilogram</t>
        </is>
      </c>
      <c r="F387" t="inlineStr">
        <is>
          <t>technosphere</t>
        </is>
      </c>
      <c r="G387" t="inlineStr">
        <is>
          <t>iron(III) chloride, without water, in 40% solution state</t>
        </is>
      </c>
      <c r="I387" t="n">
        <v>6170</v>
      </c>
      <c r="J387" s="11">
        <f>J379</f>
        <v>0.25932387530630208</v>
      </c>
      <c r="K387" t="n">
        <v>0</v>
      </c>
      <c r="L387" s="3" t="n"/>
    </row>
    <row r="388">
      <c r="A388" t="inlineStr">
        <is>
          <t>market for lime, hydrated, packed</t>
        </is>
      </c>
      <c r="B388">
        <f>unallocated!B133/I388*J388</f>
        <v>0</v>
      </c>
      <c r="C388" t="inlineStr">
        <is>
          <t>RER</t>
        </is>
      </c>
      <c r="D388" t="inlineStr">
        <is>
          <t>kilogram</t>
        </is>
      </c>
      <c r="F388" t="inlineStr">
        <is>
          <t>technosphere</t>
        </is>
      </c>
      <c r="G388" t="inlineStr">
        <is>
          <t>lime, hydrated, packed</t>
        </is>
      </c>
      <c r="I388" t="n">
        <v>6170</v>
      </c>
      <c r="J388" s="11">
        <f>J379</f>
        <v>0.25932387530630208</v>
      </c>
      <c r="K388" t="n">
        <v>0</v>
      </c>
      <c r="L388" s="3" t="n"/>
    </row>
    <row r="389">
      <c r="A389" t="inlineStr">
        <is>
          <t>market for sodium hydroxide, without water, in 50% solution state</t>
        </is>
      </c>
      <c r="B389">
        <f>unallocated!B134/I389*J389</f>
        <v>1.0507450377078689E-5</v>
      </c>
      <c r="C389" t="inlineStr">
        <is>
          <t>RER</t>
        </is>
      </c>
      <c r="D389" t="inlineStr">
        <is>
          <t>kilogram</t>
        </is>
      </c>
      <c r="F389" t="inlineStr">
        <is>
          <t>technosphere</t>
        </is>
      </c>
      <c r="G389" t="inlineStr">
        <is>
          <t>sodium hydroxide, without water, in 50% solution state</t>
        </is>
      </c>
      <c r="H389" t="inlineStr">
        <is>
          <t>50% liquid ammonia. In original publication, it is dilluated to 27% in water. We discount the original value by 50%.</t>
        </is>
      </c>
      <c r="I389" t="n">
        <v>6170</v>
      </c>
      <c r="J389" s="11">
        <f>J379</f>
        <v>0.25932387530630208</v>
      </c>
      <c r="K389" t="n">
        <v>0</v>
      </c>
      <c r="L389" s="3" t="n"/>
    </row>
    <row r="390">
      <c r="A390" t="inlineStr">
        <is>
          <t>market for monoethanolamine</t>
        </is>
      </c>
      <c r="B390">
        <f>unallocated!B135/I390*J390</f>
        <v>0</v>
      </c>
      <c r="C390" t="inlineStr">
        <is>
          <t>GLO</t>
        </is>
      </c>
      <c r="D390" t="inlineStr">
        <is>
          <t>kilogram</t>
        </is>
      </c>
      <c r="F390" t="inlineStr">
        <is>
          <t>technosphere</t>
        </is>
      </c>
      <c r="G390" t="inlineStr">
        <is>
          <t>monoethanolamine</t>
        </is>
      </c>
      <c r="I390" t="n">
        <v>6170</v>
      </c>
      <c r="J390" s="11">
        <f>J379</f>
        <v>0.25932387530630208</v>
      </c>
      <c r="K390" t="n">
        <v>0</v>
      </c>
      <c r="L390" s="3" t="n"/>
    </row>
    <row r="391">
      <c r="A391" t="inlineStr">
        <is>
          <t>municipal waste incineration facility construction</t>
        </is>
      </c>
      <c r="B391">
        <f>unallocated!B136/I391*J391</f>
        <v>1.0507450377078689E-11</v>
      </c>
      <c r="C391" t="inlineStr">
        <is>
          <t>CH</t>
        </is>
      </c>
      <c r="D391" t="inlineStr">
        <is>
          <t>unit</t>
        </is>
      </c>
      <c r="F391" t="inlineStr">
        <is>
          <t>technosphere</t>
        </is>
      </c>
      <c r="G391" t="inlineStr">
        <is>
          <t>municipal waste incineration facility</t>
        </is>
      </c>
      <c r="H391" t="inlineStr">
        <is>
          <t>Lifetime: 4'000'000 tons MSWI treated.</t>
        </is>
      </c>
      <c r="I391" t="n">
        <v>6170</v>
      </c>
      <c r="J391" s="11">
        <f>J379</f>
        <v>0.25932387530630208</v>
      </c>
      <c r="K391" t="n">
        <v>2</v>
      </c>
      <c r="L391" s="3">
        <f>LN(B391)</f>
        <v>-25.278936550661772</v>
      </c>
      <c r="M391" t="n">
        <v>1</v>
      </c>
      <c r="N391" t="n">
        <v>1</v>
      </c>
      <c r="O391" t="n">
        <v>1</v>
      </c>
      <c r="P391" t="n">
        <v>1.02</v>
      </c>
      <c r="Q391" t="n">
        <v>1.2</v>
      </c>
      <c r="R391" t="n">
        <v>1</v>
      </c>
      <c r="S391" t="n">
        <v>3</v>
      </c>
      <c r="T391">
        <f>LN(SQRT(EXP(
SQRT(
+POWER(LN(M391),2)
+POWER(LN(N391),2)
+POWER(LN(O391),2)
+POWER(LN(P391),2)
+POWER(LN(Q391),2)
+POWER(LN(R391),2)
+POWER(LN(S391),2)
)
)))</f>
        <v>0.5569071410325479</v>
      </c>
    </row>
    <row r="392">
      <c r="A392" t="inlineStr">
        <is>
          <t>Water, cooling, unspecified natural origin</t>
        </is>
      </c>
      <c r="B392">
        <f>unallocated!B137/I392*J392</f>
        <v>1.2608940452494428E-5</v>
      </c>
      <c r="D392" t="inlineStr">
        <is>
          <t>cubic meter</t>
        </is>
      </c>
      <c r="E392" t="inlineStr">
        <is>
          <t>natural resource::in water</t>
        </is>
      </c>
      <c r="F392" t="inlineStr">
        <is>
          <t>biosphere</t>
        </is>
      </c>
      <c r="I392" t="n">
        <v>6170</v>
      </c>
      <c r="J392" s="11">
        <f>J379</f>
        <v>0.25932387530630208</v>
      </c>
      <c r="K392" t="n">
        <v>2</v>
      </c>
      <c r="L392" s="3">
        <f>LN(B392)</f>
        <v>-11.281104435903544</v>
      </c>
      <c r="M392" t="n">
        <v>1</v>
      </c>
      <c r="N392" t="n">
        <v>1</v>
      </c>
      <c r="O392" t="n">
        <v>1</v>
      </c>
      <c r="P392" t="n">
        <v>1.02</v>
      </c>
      <c r="Q392" t="n">
        <v>1.2</v>
      </c>
      <c r="R392" t="n">
        <v>1</v>
      </c>
      <c r="S392" t="n">
        <v>1.05</v>
      </c>
      <c r="T392">
        <f>LN(SQRT(EXP(
SQRT(
+POWER(LN(M392),2)
+POWER(LN(N392),2)
+POWER(LN(O392),2)
+POWER(LN(P392),2)
+POWER(LN(Q392),2)
+POWER(LN(R392),2)
+POWER(LN(S392),2)
)
)))</f>
        <v>9.4886477223156879E-2</v>
      </c>
    </row>
    <row r="393">
      <c r="A393" t="inlineStr">
        <is>
          <t>Sulfur dioxide</t>
        </is>
      </c>
      <c r="B393">
        <f>unallocated!B138/I393*J393</f>
        <v>2.3536688844656265E-6</v>
      </c>
      <c r="D393" t="inlineStr">
        <is>
          <t>kilogram</t>
        </is>
      </c>
      <c r="E393" t="inlineStr">
        <is>
          <t>air::urban air close to ground</t>
        </is>
      </c>
      <c r="F393" t="inlineStr">
        <is>
          <t>biosphere</t>
        </is>
      </c>
      <c r="I393" t="n">
        <v>6170</v>
      </c>
      <c r="J393" s="11">
        <f>J379</f>
        <v>0.25932387530630208</v>
      </c>
      <c r="K393" t="n">
        <v>2</v>
      </c>
      <c r="L393" s="3">
        <f>LN(B393)</f>
        <v>-12.959535219824595</v>
      </c>
      <c r="M393" t="n">
        <v>1</v>
      </c>
      <c r="N393" t="n">
        <v>1</v>
      </c>
      <c r="O393" t="n">
        <v>1</v>
      </c>
      <c r="P393" t="n">
        <v>1.02</v>
      </c>
      <c r="Q393" t="n">
        <v>1.2</v>
      </c>
      <c r="R393" t="n">
        <v>1</v>
      </c>
      <c r="S393" t="n">
        <v>1.05</v>
      </c>
      <c r="T393">
        <f>LN(SQRT(EXP(
SQRT(
+POWER(LN(M393),2)
+POWER(LN(N393),2)
+POWER(LN(O393),2)
+POWER(LN(P393),2)
+POWER(LN(Q393),2)
+POWER(LN(R393),2)
+POWER(LN(S393),2)
)
)))</f>
        <v>9.4886477223156879E-2</v>
      </c>
    </row>
    <row r="394">
      <c r="A394" t="inlineStr">
        <is>
          <t>Hydrochloric acid</t>
        </is>
      </c>
      <c r="B394">
        <f>unallocated!B139/I394*J394</f>
        <v>2.5217880904988854E-7</v>
      </c>
      <c r="D394" t="inlineStr">
        <is>
          <t>kilogram</t>
        </is>
      </c>
      <c r="E394" t="inlineStr">
        <is>
          <t>air</t>
        </is>
      </c>
      <c r="F394" t="inlineStr">
        <is>
          <t>biosphere</t>
        </is>
      </c>
      <c r="I394" t="n">
        <v>6170</v>
      </c>
      <c r="J394" s="11">
        <f>J379</f>
        <v>0.25932387530630208</v>
      </c>
      <c r="K394" t="n">
        <v>2</v>
      </c>
      <c r="L394" s="3">
        <f>LN(B394)</f>
        <v>-15.193127441331688</v>
      </c>
      <c r="M394" t="n">
        <v>1</v>
      </c>
      <c r="N394" t="n">
        <v>1</v>
      </c>
      <c r="O394" t="n">
        <v>1</v>
      </c>
      <c r="P394" t="n">
        <v>1.02</v>
      </c>
      <c r="Q394" t="n">
        <v>1.2</v>
      </c>
      <c r="R394" t="n">
        <v>1</v>
      </c>
      <c r="S394" t="n">
        <v>1.5</v>
      </c>
      <c r="T394">
        <f>LN(SQRT(EXP(
SQRT(
+POWER(LN(M394),2)
+POWER(LN(N394),2)
+POWER(LN(O394),2)
+POWER(LN(P394),2)
+POWER(LN(Q394),2)
+POWER(LN(R394),2)
+POWER(LN(S394),2)
)
)))</f>
        <v>0.22250575723605889</v>
      </c>
    </row>
    <row r="395">
      <c r="A395" t="inlineStr">
        <is>
          <t>Nitrogen oxides</t>
        </is>
      </c>
      <c r="B395">
        <f>unallocated!B140/I395*J395</f>
        <v>2.8454175621129095E-5</v>
      </c>
      <c r="D395" t="inlineStr">
        <is>
          <t>kilogram</t>
        </is>
      </c>
      <c r="E395" t="inlineStr">
        <is>
          <t>air::urban air close to ground</t>
        </is>
      </c>
      <c r="F395" t="inlineStr">
        <is>
          <t>biosphere</t>
        </is>
      </c>
      <c r="I395" t="n">
        <v>6170</v>
      </c>
      <c r="J395" s="11">
        <f>J379</f>
        <v>0.25932387530630208</v>
      </c>
      <c r="K395" t="n">
        <v>2</v>
      </c>
      <c r="L395" s="3">
        <f>LN(B395)</f>
        <v>-10.467215637647469</v>
      </c>
      <c r="M395" t="n">
        <v>1</v>
      </c>
      <c r="N395" t="n">
        <v>1</v>
      </c>
      <c r="O395" t="n">
        <v>1</v>
      </c>
      <c r="P395" t="n">
        <v>1.02</v>
      </c>
      <c r="Q395" t="n">
        <v>1.2</v>
      </c>
      <c r="R395" t="n">
        <v>1</v>
      </c>
      <c r="S395" t="n">
        <v>1.5</v>
      </c>
      <c r="T395">
        <f>LN(SQRT(EXP(
SQRT(
+POWER(LN(M395),2)
+POWER(LN(N395),2)
+POWER(LN(O395),2)
+POWER(LN(P395),2)
+POWER(LN(Q395),2)
+POWER(LN(R395),2)
+POWER(LN(S395),2)
)
)))</f>
        <v>0.22250575723605889</v>
      </c>
    </row>
    <row r="396">
      <c r="A396" t="inlineStr">
        <is>
          <t>Ammonia</t>
        </is>
      </c>
      <c r="B396">
        <f>unallocated!B141/I396*J396</f>
        <v>1.2608940452494427E-7</v>
      </c>
      <c r="D396" t="inlineStr">
        <is>
          <t>kilogram</t>
        </is>
      </c>
      <c r="E396" t="inlineStr">
        <is>
          <t>air::urban air close to ground</t>
        </is>
      </c>
      <c r="F396" t="inlineStr">
        <is>
          <t>biosphere</t>
        </is>
      </c>
      <c r="I396" t="n">
        <v>6170</v>
      </c>
      <c r="J396" s="11">
        <f>J379</f>
        <v>0.25932387530630208</v>
      </c>
      <c r="K396" t="n">
        <v>2</v>
      </c>
      <c r="L396" s="3">
        <f>LN(B396)</f>
        <v>-15.886274621891634</v>
      </c>
      <c r="M396" t="n">
        <v>1</v>
      </c>
      <c r="N396" t="n">
        <v>1</v>
      </c>
      <c r="O396" t="n">
        <v>1</v>
      </c>
      <c r="P396" t="n">
        <v>1.02</v>
      </c>
      <c r="Q396" t="n">
        <v>1.2</v>
      </c>
      <c r="R396" t="n">
        <v>1</v>
      </c>
      <c r="S396" t="n">
        <v>1.5</v>
      </c>
      <c r="T396">
        <f>LN(SQRT(EXP(
SQRT(
+POWER(LN(M396),2)
+POWER(LN(N396),2)
+POWER(LN(O396),2)
+POWER(LN(P396),2)
+POWER(LN(Q396),2)
+POWER(LN(R396),2)
+POWER(LN(S396),2)
)
)))</f>
        <v>0.22250575723605889</v>
      </c>
    </row>
    <row r="397">
      <c r="A397" t="inlineStr">
        <is>
          <t>Particulate Matter, &lt; 2.5 um</t>
        </is>
      </c>
      <c r="B397">
        <f>unallocated!B142/I397*J397</f>
        <v>2.5217880904988854E-7</v>
      </c>
      <c r="D397" t="inlineStr">
        <is>
          <t>kilogram</t>
        </is>
      </c>
      <c r="E397" t="inlineStr">
        <is>
          <t>air::urban air close to ground</t>
        </is>
      </c>
      <c r="F397" t="inlineStr">
        <is>
          <t>biosphere</t>
        </is>
      </c>
      <c r="I397" t="n">
        <v>6170</v>
      </c>
      <c r="J397" s="11">
        <f>J379</f>
        <v>0.25932387530630208</v>
      </c>
      <c r="K397" t="n">
        <v>2</v>
      </c>
      <c r="L397" s="3">
        <f>LN(B397)</f>
        <v>-15.193127441331688</v>
      </c>
      <c r="M397" t="n">
        <v>1</v>
      </c>
      <c r="N397" t="n">
        <v>1</v>
      </c>
      <c r="O397" t="n">
        <v>1</v>
      </c>
      <c r="P397" t="n">
        <v>1.02</v>
      </c>
      <c r="Q397" t="n">
        <v>1.2</v>
      </c>
      <c r="R397" t="n">
        <v>1</v>
      </c>
      <c r="S397" t="n">
        <v>3</v>
      </c>
      <c r="T397">
        <f>LN(SQRT(EXP(
SQRT(
+POWER(LN(M397),2)
+POWER(LN(N397),2)
+POWER(LN(O397),2)
+POWER(LN(P397),2)
+POWER(LN(Q397),2)
+POWER(LN(R397),2)
+POWER(LN(S397),2)
)
)))</f>
        <v>0.5569071410325479</v>
      </c>
    </row>
    <row r="398">
      <c r="A398" t="inlineStr">
        <is>
          <t>Mercury II</t>
        </is>
      </c>
      <c r="B398">
        <f>unallocated!B143/I398*J398</f>
        <v>9.6668543469123967E-10</v>
      </c>
      <c r="D398" t="inlineStr">
        <is>
          <t>kilogram</t>
        </is>
      </c>
      <c r="E398" t="inlineStr">
        <is>
          <t>air::urban air close to ground</t>
        </is>
      </c>
      <c r="F398" t="inlineStr">
        <is>
          <t>biosphere</t>
        </is>
      </c>
      <c r="I398" t="n">
        <v>6170</v>
      </c>
      <c r="J398" s="11">
        <f>J379</f>
        <v>0.25932387530630208</v>
      </c>
      <c r="K398" t="n">
        <v>2</v>
      </c>
      <c r="L398" s="3">
        <f>LN(B398)</f>
        <v>-20.757147973612732</v>
      </c>
      <c r="M398" t="n">
        <v>1</v>
      </c>
      <c r="N398" t="n">
        <v>1</v>
      </c>
      <c r="O398" t="n">
        <v>1</v>
      </c>
      <c r="P398" t="n">
        <v>1.02</v>
      </c>
      <c r="Q398" t="n">
        <v>1.2</v>
      </c>
      <c r="R398" t="n">
        <v>1</v>
      </c>
      <c r="S398" t="n">
        <v>5</v>
      </c>
      <c r="T398">
        <f>LN(SQRT(EXP(
SQRT(
+POWER(LN(M398),2)
+POWER(LN(N398),2)
+POWER(LN(O398),2)
+POWER(LN(P398),2)
+POWER(LN(Q398),2)
+POWER(LN(R398),2)
+POWER(LN(S398),2)
)
)))</f>
        <v>0.80992649174166365</v>
      </c>
    </row>
    <row r="399">
      <c r="A399" t="inlineStr">
        <is>
          <t>Lead II</t>
        </is>
      </c>
      <c r="B399">
        <f>unallocated!B144/I399*J399</f>
        <v>2.3536688844656269E-9</v>
      </c>
      <c r="D399" t="inlineStr">
        <is>
          <t>kilogram</t>
        </is>
      </c>
      <c r="E399" t="inlineStr">
        <is>
          <t>air::urban air close to ground</t>
        </is>
      </c>
      <c r="F399" t="inlineStr">
        <is>
          <t>biosphere</t>
        </is>
      </c>
      <c r="I399" t="n">
        <v>6170</v>
      </c>
      <c r="J399" s="11">
        <f>J379</f>
        <v>0.25932387530630208</v>
      </c>
      <c r="K399" t="n">
        <v>2</v>
      </c>
      <c r="L399" s="3">
        <f>LN(B399)</f>
        <v>-19.867290498806732</v>
      </c>
      <c r="M399" t="n">
        <v>1</v>
      </c>
      <c r="N399" t="n">
        <v>1</v>
      </c>
      <c r="O399" t="n">
        <v>1</v>
      </c>
      <c r="P399" t="n">
        <v>1.02</v>
      </c>
      <c r="Q399" t="n">
        <v>1.2</v>
      </c>
      <c r="R399" t="n">
        <v>1</v>
      </c>
      <c r="S399" t="n">
        <v>5</v>
      </c>
      <c r="T399">
        <f>LN(SQRT(EXP(
SQRT(
+POWER(LN(M399),2)
+POWER(LN(N399),2)
+POWER(LN(O399),2)
+POWER(LN(P399),2)
+POWER(LN(Q399),2)
+POWER(LN(R399),2)
+POWER(LN(S399),2)
)
)))</f>
        <v>0.80992649174166365</v>
      </c>
    </row>
    <row r="400">
      <c r="A400" t="inlineStr">
        <is>
          <t>Cadmium II</t>
        </is>
      </c>
      <c r="B400">
        <f>unallocated!B145/I400*J400</f>
        <v>4.6232781659146239E-10</v>
      </c>
      <c r="D400" t="inlineStr">
        <is>
          <t>kilogram</t>
        </is>
      </c>
      <c r="E400" t="inlineStr">
        <is>
          <t>air::urban air close to ground</t>
        </is>
      </c>
      <c r="F400" t="inlineStr">
        <is>
          <t>biosphere</t>
        </is>
      </c>
      <c r="I400" t="n">
        <v>6170</v>
      </c>
      <c r="J400" s="11">
        <f>J379</f>
        <v>0.25932387530630208</v>
      </c>
      <c r="K400" t="n">
        <v>2</v>
      </c>
      <c r="L400" s="3">
        <f>LN(B400)</f>
        <v>-21.494746916743509</v>
      </c>
      <c r="M400" t="n">
        <v>1</v>
      </c>
      <c r="N400" t="n">
        <v>1</v>
      </c>
      <c r="O400" t="n">
        <v>1</v>
      </c>
      <c r="P400" t="n">
        <v>1.02</v>
      </c>
      <c r="Q400" t="n">
        <v>1.2</v>
      </c>
      <c r="R400" t="n">
        <v>1</v>
      </c>
      <c r="S400" t="n">
        <v>5</v>
      </c>
      <c r="T400">
        <f>LN(SQRT(EXP(
SQRT(
+POWER(LN(M400),2)
+POWER(LN(N400),2)
+POWER(LN(O400),2)
+POWER(LN(P400),2)
+POWER(LN(Q400),2)
+POWER(LN(R400),2)
+POWER(LN(S400),2)
)
)))</f>
        <v>0.80992649174166365</v>
      </c>
    </row>
    <row r="401">
      <c r="A401" t="inlineStr">
        <is>
          <t>Arsenic ion</t>
        </is>
      </c>
      <c r="B401">
        <f>unallocated!B146/I401*J401</f>
        <v>2.5217880904988859E-10</v>
      </c>
      <c r="D401" t="inlineStr">
        <is>
          <t>kilogram</t>
        </is>
      </c>
      <c r="E401" t="inlineStr">
        <is>
          <t>air::urban air close to ground</t>
        </is>
      </c>
      <c r="F401" t="inlineStr">
        <is>
          <t>biosphere</t>
        </is>
      </c>
      <c r="I401" t="n">
        <v>6170</v>
      </c>
      <c r="J401" s="11">
        <f>J379</f>
        <v>0.25932387530630208</v>
      </c>
      <c r="K401" t="n">
        <v>2</v>
      </c>
      <c r="L401" s="3">
        <f>LN(B401)</f>
        <v>-22.100882720313827</v>
      </c>
      <c r="M401" t="n">
        <v>1</v>
      </c>
      <c r="N401" t="n">
        <v>1</v>
      </c>
      <c r="O401" t="n">
        <v>1</v>
      </c>
      <c r="P401" t="n">
        <v>1.02</v>
      </c>
      <c r="Q401" t="n">
        <v>1.2</v>
      </c>
      <c r="R401" t="n">
        <v>1</v>
      </c>
      <c r="S401" t="n">
        <v>5</v>
      </c>
      <c r="T401">
        <f>LN(SQRT(EXP(
SQRT(
+POWER(LN(M401),2)
+POWER(LN(N401),2)
+POWER(LN(O401),2)
+POWER(LN(P401),2)
+POWER(LN(Q401),2)
+POWER(LN(R401),2)
+POWER(LN(S401),2)
)
)))</f>
        <v>0.80992649174166365</v>
      </c>
    </row>
    <row r="402">
      <c r="A402" t="inlineStr">
        <is>
          <t>Dioxins, measured as 2,3,7,8-tetrachlorodibenzo-p-dioxin</t>
        </is>
      </c>
      <c r="B402">
        <f>unallocated!B147/I402*J402</f>
        <v>4.6232781659146235E-15</v>
      </c>
      <c r="D402" t="inlineStr">
        <is>
          <t>kilogram</t>
        </is>
      </c>
      <c r="E402" t="inlineStr">
        <is>
          <t>air::urban air close to ground</t>
        </is>
      </c>
      <c r="F402" t="inlineStr">
        <is>
          <t>biosphere</t>
        </is>
      </c>
      <c r="I402" t="n">
        <v>6170</v>
      </c>
      <c r="J402" s="11">
        <f>J379</f>
        <v>0.25932387530630208</v>
      </c>
      <c r="K402" t="n">
        <v>2</v>
      </c>
      <c r="L402" s="3">
        <f>LN(B402)</f>
        <v>-33.007672381713739</v>
      </c>
      <c r="M402" t="n">
        <v>1</v>
      </c>
      <c r="N402" t="n">
        <v>1</v>
      </c>
      <c r="O402" t="n">
        <v>1</v>
      </c>
      <c r="P402" t="n">
        <v>1.02</v>
      </c>
      <c r="Q402" t="n">
        <v>1.2</v>
      </c>
      <c r="R402" t="n">
        <v>1</v>
      </c>
      <c r="S402" t="n">
        <v>5</v>
      </c>
      <c r="T402">
        <f>LN(SQRT(EXP(
SQRT(
+POWER(LN(M402),2)
+POWER(LN(N402),2)
+POWER(LN(O402),2)
+POWER(LN(P402),2)
+POWER(LN(Q402),2)
+POWER(LN(R402),2)
+POWER(LN(S402),2)
)
)))</f>
        <v>0.80992649174166365</v>
      </c>
    </row>
    <row r="403">
      <c r="A403" t="inlineStr">
        <is>
          <t>Carbon dioxide, fossil</t>
        </is>
      </c>
      <c r="B403">
        <f>unallocated!B148/I403*J403</f>
        <v>1.571914576410972E-2</v>
      </c>
      <c r="D403" t="inlineStr">
        <is>
          <t>kilogram</t>
        </is>
      </c>
      <c r="E403" t="inlineStr">
        <is>
          <t>air::urban air close to ground</t>
        </is>
      </c>
      <c r="F403" t="inlineStr">
        <is>
          <t>biosphere</t>
        </is>
      </c>
      <c r="I403" t="n">
        <v>6170</v>
      </c>
      <c r="J403" s="11">
        <f>J379</f>
        <v>0.25932387530630208</v>
      </c>
      <c r="K403" t="n">
        <v>2</v>
      </c>
      <c r="L403" s="3">
        <f>LN(B403)</f>
        <v>-4.1528758341630745</v>
      </c>
      <c r="M403" t="n">
        <v>1</v>
      </c>
      <c r="N403" t="n">
        <v>1</v>
      </c>
      <c r="O403" t="n">
        <v>1</v>
      </c>
      <c r="P403" t="n">
        <v>1.02</v>
      </c>
      <c r="Q403" t="n">
        <v>1.2</v>
      </c>
      <c r="R403" t="n">
        <v>1</v>
      </c>
      <c r="S403" t="n">
        <v>1.05</v>
      </c>
      <c r="T403">
        <f>LN(SQRT(EXP(
SQRT(
+POWER(LN(M403),2)
+POWER(LN(N403),2)
+POWER(LN(O403),2)
+POWER(LN(P403),2)
+POWER(LN(Q403),2)
+POWER(LN(R403),2)
+POWER(LN(S403),2)
)
)))</f>
        <v>9.4886477223156879E-2</v>
      </c>
    </row>
    <row r="404">
      <c r="A404" t="inlineStr">
        <is>
          <t>Carbon dioxide, non-fossil</t>
        </is>
      </c>
      <c r="B404">
        <f>unallocated!B149/I404*J404</f>
        <v>2.4965702095938968E-2</v>
      </c>
      <c r="D404" t="inlineStr">
        <is>
          <t>kilogram</t>
        </is>
      </c>
      <c r="E404" t="inlineStr">
        <is>
          <t>air::urban air close to ground</t>
        </is>
      </c>
      <c r="F404" t="inlineStr">
        <is>
          <t>biosphere</t>
        </is>
      </c>
      <c r="I404" t="n">
        <v>6170</v>
      </c>
      <c r="J404" s="11">
        <f>J379</f>
        <v>0.25932387530630208</v>
      </c>
      <c r="K404" t="n">
        <v>2</v>
      </c>
      <c r="L404" s="3">
        <f>LN(B404)</f>
        <v>-3.6902523122149615</v>
      </c>
      <c r="M404" t="n">
        <v>1</v>
      </c>
      <c r="N404" t="n">
        <v>1</v>
      </c>
      <c r="O404" t="n">
        <v>1</v>
      </c>
      <c r="P404" t="n">
        <v>1.02</v>
      </c>
      <c r="Q404" t="n">
        <v>1.2</v>
      </c>
      <c r="R404" t="n">
        <v>1</v>
      </c>
      <c r="S404" t="n">
        <v>1.05</v>
      </c>
      <c r="T404">
        <f>LN(SQRT(EXP(
SQRT(
+POWER(LN(M404),2)
+POWER(LN(N404),2)
+POWER(LN(O404),2)
+POWER(LN(P404),2)
+POWER(LN(Q404),2)
+POWER(LN(R404),2)
+POWER(LN(S404),2)
)
)))</f>
        <v>9.4886477223156879E-2</v>
      </c>
    </row>
    <row r="405"/>
    <row r="406">
      <c r="A406" s="1" t="inlineStr">
        <is>
          <t>Activity</t>
        </is>
      </c>
      <c r="B406" s="1" t="inlineStr">
        <is>
          <t>municipal waste incineration, at incineration plant, with wet air pollution control, with flue gas condensation, with electricity and heat recovery, economic allocation</t>
        </is>
      </c>
    </row>
    <row r="407">
      <c r="A407" t="inlineStr">
        <is>
          <t>location</t>
        </is>
      </c>
      <c r="B407" t="inlineStr">
        <is>
          <t>RER</t>
        </is>
      </c>
    </row>
    <row r="408">
      <c r="A408" t="inlineStr">
        <is>
          <t>production amount</t>
        </is>
      </c>
      <c r="B408" t="n">
        <v>1</v>
      </c>
    </row>
    <row r="409">
      <c r="A409" s="2" t="inlineStr">
        <is>
          <t>source</t>
        </is>
      </c>
      <c r="B409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10">
      <c r="A410" t="inlineStr">
        <is>
          <t>reference product</t>
        </is>
      </c>
      <c r="B410" t="inlineStr">
        <is>
          <t>municipal solid waste</t>
        </is>
      </c>
    </row>
    <row r="411">
      <c r="A411" t="inlineStr">
        <is>
          <t>type</t>
        </is>
      </c>
      <c r="B411" t="inlineStr">
        <is>
          <t>process</t>
        </is>
      </c>
    </row>
    <row r="412">
      <c r="A412" t="inlineStr">
        <is>
          <t>unit</t>
        </is>
      </c>
      <c r="B412" t="inlineStr">
        <is>
          <t>kilogram</t>
        </is>
      </c>
    </row>
    <row r="413">
      <c r="A413" t="inlineStr">
        <is>
          <t>comment</t>
        </is>
      </c>
      <c r="B413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618 kWh. Heat production per ton MSWI incinerated: 7'860 MJ.</t>
        </is>
      </c>
    </row>
    <row r="414">
      <c r="A414" s="1" t="inlineStr">
        <is>
          <t>Exchanges</t>
        </is>
      </c>
    </row>
    <row r="415">
      <c r="A415" s="7" t="inlineStr">
        <is>
          <t>name</t>
        </is>
      </c>
      <c r="B415" s="7" t="inlineStr">
        <is>
          <t>amount</t>
        </is>
      </c>
      <c r="C415" s="7" t="inlineStr">
        <is>
          <t>location</t>
        </is>
      </c>
      <c r="D415" s="7" t="inlineStr">
        <is>
          <t>unit</t>
        </is>
      </c>
      <c r="E415" s="7" t="inlineStr">
        <is>
          <t>categories</t>
        </is>
      </c>
      <c r="F415" s="7" t="inlineStr">
        <is>
          <t>type</t>
        </is>
      </c>
      <c r="G415" s="7" t="inlineStr">
        <is>
          <t>reference product</t>
        </is>
      </c>
      <c r="H415" s="7" t="inlineStr">
        <is>
          <t>comment</t>
        </is>
      </c>
      <c r="I415" s="7" t="inlineStr">
        <is>
          <t>normalization</t>
        </is>
      </c>
      <c r="J415" s="7" t="inlineStr">
        <is>
          <t>allocation</t>
        </is>
      </c>
      <c r="K415" s="7" t="inlineStr">
        <is>
          <t>uncertainty type</t>
        </is>
      </c>
      <c r="L415" s="7" t="inlineStr">
        <is>
          <t>loc</t>
        </is>
      </c>
      <c r="M415" s="1" t="inlineStr">
        <is>
          <t>u1</t>
        </is>
      </c>
      <c r="N415" s="1" t="inlineStr">
        <is>
          <t>u2</t>
        </is>
      </c>
      <c r="O415" s="1" t="inlineStr">
        <is>
          <t>u3</t>
        </is>
      </c>
      <c r="P415" s="1" t="inlineStr">
        <is>
          <t>u4</t>
        </is>
      </c>
      <c r="Q415" s="1" t="inlineStr">
        <is>
          <t>u5</t>
        </is>
      </c>
      <c r="R415" s="1" t="inlineStr">
        <is>
          <t>u6</t>
        </is>
      </c>
      <c r="S415" s="1" t="inlineStr">
        <is>
          <t>ub</t>
        </is>
      </c>
      <c r="T415" s="1" t="inlineStr">
        <is>
          <t>scale</t>
        </is>
      </c>
      <c r="U415" s="1" t="inlineStr">
        <is>
          <t>negative</t>
        </is>
      </c>
    </row>
    <row r="416">
      <c r="A416" t="inlineStr">
        <is>
          <t>municipal waste incineration, at incineration plant, with wet air pollution control, with flue gas condensation, with electricity and heat recovery, economic allocation</t>
        </is>
      </c>
      <c r="B416" t="n">
        <v>1</v>
      </c>
      <c r="C416" t="inlineStr">
        <is>
          <t>RER</t>
        </is>
      </c>
      <c r="D416" t="inlineStr">
        <is>
          <t>kilogram</t>
        </is>
      </c>
      <c r="F416" t="inlineStr">
        <is>
          <t>production</t>
        </is>
      </c>
      <c r="G416" t="inlineStr">
        <is>
          <t>municipal solid waste</t>
        </is>
      </c>
      <c r="H416" t="inlineStr"/>
      <c r="I416" t="n">
        <v>1000</v>
      </c>
      <c r="J416" s="14">
        <f>INDEX('allocation keys'!$L$4:$N$30,MATCH('allocated (economic)'!$B$406,'allocation keys'!$B$4:$B$28,0),MATCH('allocated (economic)'!$B$410,'allocation keys'!$L$3:$N$3,0))</f>
        <v>0.46076784732234427</v>
      </c>
      <c r="K416" t="n">
        <v>0</v>
      </c>
      <c r="M416" s="5" t="n"/>
      <c r="N416" s="5" t="n"/>
      <c r="O416" s="5" t="n"/>
      <c r="P416" s="5" t="n"/>
      <c r="Q416" s="5" t="n"/>
      <c r="R416" s="5" t="n"/>
    </row>
    <row r="417">
      <c r="A417" t="inlineStr">
        <is>
          <t>municipal waste incineration, at incineration plant, with wet air pollution control, with flue gas condensation, with electricity and heat recovery, economic allocation</t>
        </is>
      </c>
      <c r="B417" s="6" t="n">
        <v>0</v>
      </c>
      <c r="C417" t="inlineStr">
        <is>
          <t>RER</t>
        </is>
      </c>
      <c r="D417" t="inlineStr">
        <is>
          <t>kilowatt hour</t>
        </is>
      </c>
      <c r="F417" t="inlineStr">
        <is>
          <t>technosphere</t>
        </is>
      </c>
      <c r="G417" t="inlineStr">
        <is>
          <t>electricity, medium voltage</t>
        </is>
      </c>
      <c r="H417" t="inlineStr"/>
      <c r="I417" t="n">
        <v>1000</v>
      </c>
      <c r="J417" s="11">
        <f>J416</f>
        <v>0.46076784732234427</v>
      </c>
      <c r="K417" t="n">
        <v>0</v>
      </c>
      <c r="L417" s="3" t="n"/>
    </row>
    <row r="418">
      <c r="A418" t="inlineStr">
        <is>
          <t>municipal waste incineration, at incineration plant, with wet air pollution control, with flue gas condensation, with electricity and heat recovery, economic allocation</t>
        </is>
      </c>
      <c r="B418" t="n">
        <v>0</v>
      </c>
      <c r="C418" t="inlineStr">
        <is>
          <t>RER</t>
        </is>
      </c>
      <c r="D418" t="inlineStr">
        <is>
          <t>megajoule</t>
        </is>
      </c>
      <c r="F418" t="inlineStr">
        <is>
          <t>technosphere</t>
        </is>
      </c>
      <c r="G418" t="inlineStr">
        <is>
          <t>heat, district or industrial, other than natural gas</t>
        </is>
      </c>
      <c r="H418" t="inlineStr"/>
      <c r="I418" t="n">
        <v>1000</v>
      </c>
      <c r="J418" s="11">
        <f>J416</f>
        <v>0.46076784732234427</v>
      </c>
      <c r="K418" t="n">
        <v>0</v>
      </c>
      <c r="L418" s="3" t="n"/>
    </row>
    <row r="419">
      <c r="A419" t="inlineStr">
        <is>
          <t>market for diesel, low-sulfur</t>
        </is>
      </c>
      <c r="B419">
        <f>unallocated!B164/I419*J419</f>
        <v>3.9165267022399263E-5</v>
      </c>
      <c r="C419" t="inlineStr">
        <is>
          <t>Europe without Switzerland</t>
        </is>
      </c>
      <c r="D419" t="inlineStr">
        <is>
          <t>kilogram</t>
        </is>
      </c>
      <c r="F419" t="inlineStr">
        <is>
          <t>technosphere</t>
        </is>
      </c>
      <c r="G419" t="inlineStr">
        <is>
          <t>diesel, low-sulfur</t>
        </is>
      </c>
      <c r="H419" t="inlineStr">
        <is>
          <t>Diesel density: 0.85 kg/l</t>
        </is>
      </c>
      <c r="I419" t="n">
        <v>1000</v>
      </c>
      <c r="J419" s="11">
        <f>J416</f>
        <v>0.46076784732234427</v>
      </c>
      <c r="K419" t="n">
        <v>2</v>
      </c>
      <c r="L419" s="3">
        <f>LN(B419)</f>
        <v>-10.147720249285019</v>
      </c>
      <c r="M419" t="n">
        <v>1</v>
      </c>
      <c r="N419" t="n">
        <v>1</v>
      </c>
      <c r="O419" t="n">
        <v>1</v>
      </c>
      <c r="P419" t="n">
        <v>1.02</v>
      </c>
      <c r="Q419" t="n">
        <v>1.2</v>
      </c>
      <c r="R419" t="n">
        <v>1</v>
      </c>
      <c r="S419" t="n">
        <v>1.05</v>
      </c>
      <c r="T419">
        <f>LN(SQRT(EXP(
SQRT(
+POWER(LN(M419),2)
+POWER(LN(N419),2)
+POWER(LN(O419),2)
+POWER(LN(P419),2)
+POWER(LN(Q419),2)
+POWER(LN(R419),2)
+POWER(LN(S419),2)
)
)))</f>
        <v>9.4886477223156879E-2</v>
      </c>
    </row>
    <row r="420">
      <c r="A420" t="inlineStr">
        <is>
          <t>market for activated carbon, granular</t>
        </is>
      </c>
      <c r="B420">
        <f>unallocated!B165/I420*J420</f>
        <v>1.8430713892893773E-4</v>
      </c>
      <c r="C420" t="inlineStr">
        <is>
          <t>GLO</t>
        </is>
      </c>
      <c r="D420" t="inlineStr">
        <is>
          <t>kilogram</t>
        </is>
      </c>
      <c r="F420" t="inlineStr">
        <is>
          <t>technosphere</t>
        </is>
      </c>
      <c r="G420" t="inlineStr">
        <is>
          <t>activated carbon, granular</t>
        </is>
      </c>
      <c r="I420" t="n">
        <v>1000</v>
      </c>
      <c r="J420" s="11">
        <f>J416</f>
        <v>0.46076784732234427</v>
      </c>
      <c r="K420" t="n">
        <v>2</v>
      </c>
      <c r="L420" s="3">
        <f>LN(B420)</f>
        <v>-8.598906958667353</v>
      </c>
      <c r="M420" t="n">
        <v>1</v>
      </c>
      <c r="N420" t="n">
        <v>1</v>
      </c>
      <c r="O420" t="n">
        <v>1</v>
      </c>
      <c r="P420" t="n">
        <v>1.02</v>
      </c>
      <c r="Q420" t="n">
        <v>1.2</v>
      </c>
      <c r="R420" t="n">
        <v>1</v>
      </c>
      <c r="S420" t="n">
        <v>1.05</v>
      </c>
      <c r="T420">
        <f>LN(SQRT(EXP(
SQRT(
+POWER(LN(M420),2)
+POWER(LN(N420),2)
+POWER(LN(O420),2)
+POWER(LN(P420),2)
+POWER(LN(Q420),2)
+POWER(LN(R420),2)
+POWER(LN(S420),2)
)
)))</f>
        <v>9.4886477223156879E-2</v>
      </c>
    </row>
    <row r="421">
      <c r="A421" t="inlineStr">
        <is>
          <t>market for ammonia, anhydrous, liquid</t>
        </is>
      </c>
      <c r="B421">
        <f>unallocated!B166/I421*J421</f>
        <v>4.5155249037589736E-4</v>
      </c>
      <c r="C421" t="inlineStr">
        <is>
          <t>RER</t>
        </is>
      </c>
      <c r="D421" t="inlineStr">
        <is>
          <t>kilogram</t>
        </is>
      </c>
      <c r="F421" t="inlineStr">
        <is>
          <t>technosphere</t>
        </is>
      </c>
      <c r="G421" t="inlineStr">
        <is>
          <t>ammonia, anhydrous, liquid</t>
        </is>
      </c>
      <c r="H421" t="inlineStr">
        <is>
          <t>100% liquid ammonia. In original publication, it is dilluated to 23.5% in water. We discount the original value by 75%.</t>
        </is>
      </c>
      <c r="I421" t="n">
        <v>1000</v>
      </c>
      <c r="J421" s="11">
        <f>J416</f>
        <v>0.46076784732234427</v>
      </c>
      <c r="K421" t="n">
        <v>2</v>
      </c>
      <c r="L421" s="3">
        <f>LN(B421)</f>
        <v>-7.7028189341107174</v>
      </c>
      <c r="M421" t="n">
        <v>1</v>
      </c>
      <c r="N421" t="n">
        <v>1</v>
      </c>
      <c r="O421" t="n">
        <v>1</v>
      </c>
      <c r="P421" t="n">
        <v>1.02</v>
      </c>
      <c r="Q421" t="n">
        <v>1.2</v>
      </c>
      <c r="R421" t="n">
        <v>1</v>
      </c>
      <c r="S421" t="n">
        <v>1.05</v>
      </c>
      <c r="T421">
        <f>LN(SQRT(EXP(
SQRT(
+POWER(LN(M421),2)
+POWER(LN(N421),2)
+POWER(LN(O421),2)
+POWER(LN(P421),2)
+POWER(LN(Q421),2)
+POWER(LN(R421),2)
+POWER(LN(S421),2)
)
)))</f>
        <v>9.4886477223156879E-2</v>
      </c>
    </row>
    <row r="422">
      <c r="A422" t="inlineStr">
        <is>
          <t>market for tap water</t>
        </is>
      </c>
      <c r="B422">
        <f>unallocated!B167/I422*J422</f>
        <v>1.3915188989134797E-3</v>
      </c>
      <c r="C422" t="inlineStr">
        <is>
          <t>Europe without Switzerland</t>
        </is>
      </c>
      <c r="D422" t="inlineStr">
        <is>
          <t>kilogram</t>
        </is>
      </c>
      <c r="F422" t="inlineStr">
        <is>
          <t>technosphere</t>
        </is>
      </c>
      <c r="G422" t="inlineStr">
        <is>
          <t>tap water</t>
        </is>
      </c>
      <c r="H422" t="inlineStr">
        <is>
          <t>Used to dilute the ammonia.</t>
        </is>
      </c>
      <c r="I422" t="n">
        <v>1000</v>
      </c>
      <c r="J422" s="11">
        <f>J416</f>
        <v>0.46076784732234427</v>
      </c>
      <c r="K422" t="n">
        <v>2</v>
      </c>
      <c r="L422" s="3">
        <f>LN(B422)</f>
        <v>-6.57735939540642</v>
      </c>
      <c r="M422" t="n">
        <v>1</v>
      </c>
      <c r="N422" t="n">
        <v>1</v>
      </c>
      <c r="O422" t="n">
        <v>1</v>
      </c>
      <c r="P422" t="n">
        <v>1.02</v>
      </c>
      <c r="Q422" t="n">
        <v>1.2</v>
      </c>
      <c r="R422" t="n">
        <v>1</v>
      </c>
      <c r="S422" t="n">
        <v>1.05</v>
      </c>
      <c r="T422">
        <f>LN(SQRT(EXP(
SQRT(
+POWER(LN(M422),2)
+POWER(LN(N422),2)
+POWER(LN(O422),2)
+POWER(LN(P422),2)
+POWER(LN(Q422),2)
+POWER(LN(R422),2)
+POWER(LN(S422),2)
)
)))</f>
        <v>9.4886477223156879E-2</v>
      </c>
    </row>
    <row r="423">
      <c r="A423" t="inlineStr">
        <is>
          <t>market for calcium carbonate, precipitated</t>
        </is>
      </c>
      <c r="B423">
        <f>unallocated!B168/I423*J423</f>
        <v>3.2253749312564101E-3</v>
      </c>
      <c r="C423" t="inlineStr">
        <is>
          <t>RER</t>
        </is>
      </c>
      <c r="D423" t="inlineStr">
        <is>
          <t>kilogram</t>
        </is>
      </c>
      <c r="F423" t="inlineStr">
        <is>
          <t>technosphere</t>
        </is>
      </c>
      <c r="G423" t="inlineStr">
        <is>
          <t>calcium carbonate, precipitated</t>
        </is>
      </c>
      <c r="I423" t="n">
        <v>1000</v>
      </c>
      <c r="J423" s="11">
        <f>J416</f>
        <v>0.46076784732234427</v>
      </c>
      <c r="K423" t="n">
        <v>0</v>
      </c>
      <c r="L423" s="3" t="n"/>
    </row>
    <row r="424">
      <c r="A424" t="inlineStr">
        <is>
          <t>market for iron(III) chloride, without water, in 40% solution state</t>
        </is>
      </c>
      <c r="B424">
        <f>unallocated!B169/I424*J424</f>
        <v>2.3038392366117216E-5</v>
      </c>
      <c r="C424" t="inlineStr">
        <is>
          <t>GLO</t>
        </is>
      </c>
      <c r="D424" t="inlineStr">
        <is>
          <t>kilogram</t>
        </is>
      </c>
      <c r="F424" t="inlineStr">
        <is>
          <t>technosphere</t>
        </is>
      </c>
      <c r="G424" t="inlineStr">
        <is>
          <t>iron(III) chloride, without water, in 40% solution state</t>
        </is>
      </c>
      <c r="I424" t="n">
        <v>1000</v>
      </c>
      <c r="J424" s="11">
        <f>J416</f>
        <v>0.46076784732234427</v>
      </c>
      <c r="K424" t="n">
        <v>0</v>
      </c>
      <c r="L424" s="3" t="n"/>
    </row>
    <row r="425">
      <c r="A425" t="inlineStr">
        <is>
          <t>market for lime, hydrated, packed</t>
        </is>
      </c>
      <c r="B425">
        <f>unallocated!B170/I425*J425</f>
        <v>0</v>
      </c>
      <c r="C425" t="inlineStr">
        <is>
          <t>RER</t>
        </is>
      </c>
      <c r="D425" t="inlineStr">
        <is>
          <t>kilogram</t>
        </is>
      </c>
      <c r="F425" t="inlineStr">
        <is>
          <t>technosphere</t>
        </is>
      </c>
      <c r="G425" t="inlineStr">
        <is>
          <t>lime, hydrated, packed</t>
        </is>
      </c>
      <c r="I425" t="n">
        <v>1000</v>
      </c>
      <c r="J425" s="11">
        <f>J416</f>
        <v>0.46076784732234427</v>
      </c>
      <c r="K425" t="n">
        <v>0</v>
      </c>
      <c r="L425" s="3" t="n"/>
    </row>
    <row r="426">
      <c r="A426" t="inlineStr">
        <is>
          <t>market for sodium hydroxide, without water, in 50% solution state</t>
        </is>
      </c>
      <c r="B426">
        <f>unallocated!B171/I426*J426</f>
        <v>2.3038392366117214E-4</v>
      </c>
      <c r="C426" t="inlineStr">
        <is>
          <t>RER</t>
        </is>
      </c>
      <c r="D426" t="inlineStr">
        <is>
          <t>kilogram</t>
        </is>
      </c>
      <c r="F426" t="inlineStr">
        <is>
          <t>technosphere</t>
        </is>
      </c>
      <c r="G426" t="inlineStr">
        <is>
          <t>sodium hydroxide, without water, in 50% solution state</t>
        </is>
      </c>
      <c r="H426" t="inlineStr">
        <is>
          <t>50% liquid ammonia. In original publication, it is dilluated to 27% in water. We discount the original value by 50%.</t>
        </is>
      </c>
      <c r="I426" t="n">
        <v>1000</v>
      </c>
      <c r="J426" s="11">
        <f>J416</f>
        <v>0.46076784732234427</v>
      </c>
      <c r="K426" t="n">
        <v>0</v>
      </c>
      <c r="L426" s="3" t="n"/>
    </row>
    <row r="427">
      <c r="A427" t="inlineStr">
        <is>
          <t>market for monoethanolamine</t>
        </is>
      </c>
      <c r="B427">
        <f>unallocated!B172/I427*J427</f>
        <v>0</v>
      </c>
      <c r="C427" t="inlineStr">
        <is>
          <t>GLO</t>
        </is>
      </c>
      <c r="D427" t="inlineStr">
        <is>
          <t>kilogram</t>
        </is>
      </c>
      <c r="F427" t="inlineStr">
        <is>
          <t>technosphere</t>
        </is>
      </c>
      <c r="G427" t="inlineStr">
        <is>
          <t>monoethanolamine</t>
        </is>
      </c>
      <c r="I427" t="n">
        <v>1000</v>
      </c>
      <c r="J427" s="11">
        <f>J416</f>
        <v>0.46076784732234427</v>
      </c>
      <c r="K427" t="n">
        <v>0</v>
      </c>
      <c r="L427" s="3" t="n"/>
    </row>
    <row r="428">
      <c r="A428" t="inlineStr">
        <is>
          <t>municipal waste incineration facility construction</t>
        </is>
      </c>
      <c r="B428">
        <f>unallocated!B173/I428*J428</f>
        <v>1.1519196183058606E-10</v>
      </c>
      <c r="C428" t="inlineStr">
        <is>
          <t>CH</t>
        </is>
      </c>
      <c r="D428" t="inlineStr">
        <is>
          <t>unit</t>
        </is>
      </c>
      <c r="F428" t="inlineStr">
        <is>
          <t>technosphere</t>
        </is>
      </c>
      <c r="G428" t="inlineStr">
        <is>
          <t>municipal waste incineration facility</t>
        </is>
      </c>
      <c r="H428" t="inlineStr">
        <is>
          <t>Lifetime: 4'000'000 tons MSWI treated.</t>
        </is>
      </c>
      <c r="I428" t="n">
        <v>1000</v>
      </c>
      <c r="J428" s="11">
        <f>J416</f>
        <v>0.46076784732234427</v>
      </c>
      <c r="K428" t="n">
        <v>2</v>
      </c>
      <c r="L428" s="3">
        <f>LN(B428)</f>
        <v>-22.884421145877361</v>
      </c>
      <c r="M428" t="n">
        <v>1</v>
      </c>
      <c r="N428" t="n">
        <v>1</v>
      </c>
      <c r="O428" t="n">
        <v>1</v>
      </c>
      <c r="P428" t="n">
        <v>1.02</v>
      </c>
      <c r="Q428" t="n">
        <v>1.2</v>
      </c>
      <c r="R428" t="n">
        <v>1</v>
      </c>
      <c r="S428" t="n">
        <v>3</v>
      </c>
      <c r="T428">
        <f>LN(SQRT(EXP(
SQRT(
+POWER(LN(M428),2)
+POWER(LN(N428),2)
+POWER(LN(O428),2)
+POWER(LN(P428),2)
+POWER(LN(Q428),2)
+POWER(LN(R428),2)
+POWER(LN(S428),2)
)
)))</f>
        <v>0.5569071410325479</v>
      </c>
    </row>
    <row r="429">
      <c r="A429" t="inlineStr">
        <is>
          <t>Water, cooling, unspecified natural origin</t>
        </is>
      </c>
      <c r="B429">
        <f>unallocated!B174/I429*J429</f>
        <v>0</v>
      </c>
      <c r="D429" t="inlineStr">
        <is>
          <t>cubic meter</t>
        </is>
      </c>
      <c r="E429" t="inlineStr">
        <is>
          <t>natural resource::in water</t>
        </is>
      </c>
      <c r="F429" t="inlineStr">
        <is>
          <t>biosphere</t>
        </is>
      </c>
      <c r="I429" t="n">
        <v>1000</v>
      </c>
      <c r="J429" s="11">
        <f>J416</f>
        <v>0.46076784732234427</v>
      </c>
      <c r="K429" t="n">
        <v>0</v>
      </c>
      <c r="L429" s="3" t="n"/>
    </row>
    <row r="430">
      <c r="A430" t="inlineStr">
        <is>
          <t>Sulfur dioxide</t>
        </is>
      </c>
      <c r="B430">
        <f>unallocated!B175/I430*J430</f>
        <v>2.7646070839340657E-6</v>
      </c>
      <c r="D430" t="inlineStr">
        <is>
          <t>kilogram</t>
        </is>
      </c>
      <c r="E430" t="inlineStr">
        <is>
          <t>air::urban air close to ground</t>
        </is>
      </c>
      <c r="F430" t="inlineStr">
        <is>
          <t>biosphere</t>
        </is>
      </c>
      <c r="I430" t="n">
        <v>1000</v>
      </c>
      <c r="J430" s="11">
        <f>J416</f>
        <v>0.46076784732234427</v>
      </c>
      <c r="K430" t="n">
        <v>2</v>
      </c>
      <c r="L430" s="3">
        <f>LN(B430)</f>
        <v>-12.798612036547279</v>
      </c>
      <c r="M430" t="n">
        <v>1</v>
      </c>
      <c r="N430" t="n">
        <v>1</v>
      </c>
      <c r="O430" t="n">
        <v>1</v>
      </c>
      <c r="P430" t="n">
        <v>1.02</v>
      </c>
      <c r="Q430" t="n">
        <v>1.2</v>
      </c>
      <c r="R430" t="n">
        <v>1</v>
      </c>
      <c r="S430" t="n">
        <v>1.05</v>
      </c>
      <c r="T430">
        <f>LN(SQRT(EXP(
SQRT(
+POWER(LN(M430),2)
+POWER(LN(N430),2)
+POWER(LN(O430),2)
+POWER(LN(P430),2)
+POWER(LN(Q430),2)
+POWER(LN(R430),2)
+POWER(LN(S430),2)
)
)))</f>
        <v>9.4886477223156879E-2</v>
      </c>
    </row>
    <row r="431">
      <c r="A431" t="inlineStr">
        <is>
          <t>Hydrochloric acid</t>
        </is>
      </c>
      <c r="B431">
        <f>unallocated!B176/I431*J431</f>
        <v>1.3823035419670329E-6</v>
      </c>
      <c r="D431" t="inlineStr">
        <is>
          <t>kilogram</t>
        </is>
      </c>
      <c r="E431" t="inlineStr">
        <is>
          <t>air</t>
        </is>
      </c>
      <c r="F431" t="inlineStr">
        <is>
          <t>biosphere</t>
        </is>
      </c>
      <c r="I431" t="n">
        <v>1000</v>
      </c>
      <c r="J431" s="11">
        <f>J416</f>
        <v>0.46076784732234427</v>
      </c>
      <c r="K431" t="n">
        <v>2</v>
      </c>
      <c r="L431" s="3">
        <f>LN(B431)</f>
        <v>-13.491759217107225</v>
      </c>
      <c r="M431" t="n">
        <v>1</v>
      </c>
      <c r="N431" t="n">
        <v>1</v>
      </c>
      <c r="O431" t="n">
        <v>1</v>
      </c>
      <c r="P431" t="n">
        <v>1.02</v>
      </c>
      <c r="Q431" t="n">
        <v>1.2</v>
      </c>
      <c r="R431" t="n">
        <v>1</v>
      </c>
      <c r="S431" t="n">
        <v>1.5</v>
      </c>
      <c r="T431">
        <f>LN(SQRT(EXP(
SQRT(
+POWER(LN(M431),2)
+POWER(LN(N431),2)
+POWER(LN(O431),2)
+POWER(LN(P431),2)
+POWER(LN(Q431),2)
+POWER(LN(R431),2)
+POWER(LN(S431),2)
)
)))</f>
        <v>0.22250575723605889</v>
      </c>
    </row>
    <row r="432">
      <c r="A432" t="inlineStr">
        <is>
          <t>Nitrogen oxides</t>
        </is>
      </c>
      <c r="B432">
        <f>unallocated!B177/I432*J432</f>
        <v>3.1193983263722713E-4</v>
      </c>
      <c r="D432" t="inlineStr">
        <is>
          <t>kilogram</t>
        </is>
      </c>
      <c r="E432" t="inlineStr">
        <is>
          <t>air::urban air close to ground</t>
        </is>
      </c>
      <c r="F432" t="inlineStr">
        <is>
          <t>biosphere</t>
        </is>
      </c>
      <c r="I432" t="n">
        <v>1000</v>
      </c>
      <c r="J432" s="11">
        <f>J416</f>
        <v>0.46076784732234427</v>
      </c>
      <c r="K432" t="n">
        <v>2</v>
      </c>
      <c r="L432" s="3">
        <f>LN(B432)</f>
        <v>-8.0727002328630597</v>
      </c>
      <c r="M432" t="n">
        <v>1</v>
      </c>
      <c r="N432" t="n">
        <v>1</v>
      </c>
      <c r="O432" t="n">
        <v>1</v>
      </c>
      <c r="P432" t="n">
        <v>1.02</v>
      </c>
      <c r="Q432" t="n">
        <v>1.2</v>
      </c>
      <c r="R432" t="n">
        <v>1</v>
      </c>
      <c r="S432" t="n">
        <v>1.5</v>
      </c>
      <c r="T432">
        <f>LN(SQRT(EXP(
SQRT(
+POWER(LN(M432),2)
+POWER(LN(N432),2)
+POWER(LN(O432),2)
+POWER(LN(P432),2)
+POWER(LN(Q432),2)
+POWER(LN(R432),2)
+POWER(LN(S432),2)
)
)))</f>
        <v>0.22250575723605889</v>
      </c>
    </row>
    <row r="433">
      <c r="A433" t="inlineStr">
        <is>
          <t>Ammonia</t>
        </is>
      </c>
      <c r="B433">
        <f>unallocated!B178/I433*J433</f>
        <v>4.6076784732234425E-7</v>
      </c>
      <c r="D433" t="inlineStr">
        <is>
          <t>kilogram</t>
        </is>
      </c>
      <c r="E433" t="inlineStr">
        <is>
          <t>air::urban air close to ground</t>
        </is>
      </c>
      <c r="F433" t="inlineStr">
        <is>
          <t>biosphere</t>
        </is>
      </c>
      <c r="I433" t="n">
        <v>1000</v>
      </c>
      <c r="J433" s="11">
        <f>J416</f>
        <v>0.46076784732234427</v>
      </c>
      <c r="K433" t="n">
        <v>2</v>
      </c>
      <c r="L433" s="3">
        <f>LN(B433)</f>
        <v>-14.590371505775336</v>
      </c>
      <c r="M433" t="n">
        <v>1</v>
      </c>
      <c r="N433" t="n">
        <v>1</v>
      </c>
      <c r="O433" t="n">
        <v>1</v>
      </c>
      <c r="P433" t="n">
        <v>1.02</v>
      </c>
      <c r="Q433" t="n">
        <v>1.2</v>
      </c>
      <c r="R433" t="n">
        <v>1</v>
      </c>
      <c r="S433" t="n">
        <v>1.5</v>
      </c>
      <c r="T433">
        <f>LN(SQRT(EXP(
SQRT(
+POWER(LN(M433),2)
+POWER(LN(N433),2)
+POWER(LN(O433),2)
+POWER(LN(P433),2)
+POWER(LN(Q433),2)
+POWER(LN(R433),2)
+POWER(LN(S433),2)
)
)))</f>
        <v>0.22250575723605889</v>
      </c>
    </row>
    <row r="434">
      <c r="A434" t="inlineStr">
        <is>
          <t>Particulate Matter, &lt; 2.5 um</t>
        </is>
      </c>
      <c r="B434">
        <f>unallocated!B179/I434*J434</f>
        <v>2.7646070839340657E-6</v>
      </c>
      <c r="D434" t="inlineStr">
        <is>
          <t>kilogram</t>
        </is>
      </c>
      <c r="E434" t="inlineStr">
        <is>
          <t>air::urban air close to ground</t>
        </is>
      </c>
      <c r="F434" t="inlineStr">
        <is>
          <t>biosphere</t>
        </is>
      </c>
      <c r="I434" t="n">
        <v>1000</v>
      </c>
      <c r="J434" s="11">
        <f>J416</f>
        <v>0.46076784732234427</v>
      </c>
      <c r="K434" t="n">
        <v>2</v>
      </c>
      <c r="L434" s="3">
        <f>LN(B434)</f>
        <v>-12.798612036547279</v>
      </c>
      <c r="M434" t="n">
        <v>1</v>
      </c>
      <c r="N434" t="n">
        <v>1</v>
      </c>
      <c r="O434" t="n">
        <v>1</v>
      </c>
      <c r="P434" t="n">
        <v>1.02</v>
      </c>
      <c r="Q434" t="n">
        <v>1.2</v>
      </c>
      <c r="R434" t="n">
        <v>1</v>
      </c>
      <c r="S434" t="n">
        <v>3</v>
      </c>
      <c r="T434">
        <f>LN(SQRT(EXP(
SQRT(
+POWER(LN(M434),2)
+POWER(LN(N434),2)
+POWER(LN(O434),2)
+POWER(LN(P434),2)
+POWER(LN(Q434),2)
+POWER(LN(R434),2)
+POWER(LN(S434),2)
)
)))</f>
        <v>0.5569071410325479</v>
      </c>
    </row>
    <row r="435">
      <c r="A435" t="inlineStr">
        <is>
          <t>Mercury II</t>
        </is>
      </c>
      <c r="B435">
        <f>unallocated!B180/I435*J435</f>
        <v>2.7646070839340655E-9</v>
      </c>
      <c r="D435" t="inlineStr">
        <is>
          <t>kilogram</t>
        </is>
      </c>
      <c r="E435" t="inlineStr">
        <is>
          <t>air::urban air close to ground</t>
        </is>
      </c>
      <c r="F435" t="inlineStr">
        <is>
          <t>biosphere</t>
        </is>
      </c>
      <c r="I435" t="n">
        <v>1000</v>
      </c>
      <c r="J435" s="11">
        <f>J416</f>
        <v>0.46076784732234427</v>
      </c>
      <c r="K435" t="n">
        <v>2</v>
      </c>
      <c r="L435" s="3">
        <f>LN(B435)</f>
        <v>-19.706367315529416</v>
      </c>
      <c r="M435" t="n">
        <v>1</v>
      </c>
      <c r="N435" t="n">
        <v>1</v>
      </c>
      <c r="O435" t="n">
        <v>1</v>
      </c>
      <c r="P435" t="n">
        <v>1.02</v>
      </c>
      <c r="Q435" t="n">
        <v>1.2</v>
      </c>
      <c r="R435" t="n">
        <v>1</v>
      </c>
      <c r="S435" t="n">
        <v>5</v>
      </c>
      <c r="T435">
        <f>LN(SQRT(EXP(
SQRT(
+POWER(LN(M435),2)
+POWER(LN(N435),2)
+POWER(LN(O435),2)
+POWER(LN(P435),2)
+POWER(LN(Q435),2)
+POWER(LN(R435),2)
+POWER(LN(S435),2)
)
)))</f>
        <v>0.80992649174166365</v>
      </c>
    </row>
    <row r="436">
      <c r="A436" t="inlineStr">
        <is>
          <t>Lead II</t>
        </is>
      </c>
      <c r="B436">
        <f>unallocated!B181/I436*J436</f>
        <v>2.7646070839340655E-9</v>
      </c>
      <c r="D436" t="inlineStr">
        <is>
          <t>kilogram</t>
        </is>
      </c>
      <c r="E436" t="inlineStr">
        <is>
          <t>air::urban air close to ground</t>
        </is>
      </c>
      <c r="F436" t="inlineStr">
        <is>
          <t>biosphere</t>
        </is>
      </c>
      <c r="I436" t="n">
        <v>1000</v>
      </c>
      <c r="J436" s="11">
        <f>J416</f>
        <v>0.46076784732234427</v>
      </c>
      <c r="K436" t="n">
        <v>2</v>
      </c>
      <c r="L436" s="3">
        <f>LN(B436)</f>
        <v>-19.706367315529416</v>
      </c>
      <c r="M436" t="n">
        <v>1</v>
      </c>
      <c r="N436" t="n">
        <v>1</v>
      </c>
      <c r="O436" t="n">
        <v>1</v>
      </c>
      <c r="P436" t="n">
        <v>1.02</v>
      </c>
      <c r="Q436" t="n">
        <v>1.2</v>
      </c>
      <c r="R436" t="n">
        <v>1</v>
      </c>
      <c r="S436" t="n">
        <v>5</v>
      </c>
      <c r="T436">
        <f>LN(SQRT(EXP(
SQRT(
+POWER(LN(M436),2)
+POWER(LN(N436),2)
+POWER(LN(O436),2)
+POWER(LN(P436),2)
+POWER(LN(Q436),2)
+POWER(LN(R436),2)
+POWER(LN(S436),2)
)
)))</f>
        <v>0.80992649174166365</v>
      </c>
    </row>
    <row r="437">
      <c r="A437" t="inlineStr">
        <is>
          <t>Cadmium II</t>
        </is>
      </c>
      <c r="B437">
        <f>unallocated!B182/I437*J437</f>
        <v>1.3823035419670327E-9</v>
      </c>
      <c r="D437" t="inlineStr">
        <is>
          <t>kilogram</t>
        </is>
      </c>
      <c r="E437" t="inlineStr">
        <is>
          <t>air::urban air close to ground</t>
        </is>
      </c>
      <c r="F437" t="inlineStr">
        <is>
          <t>biosphere</t>
        </is>
      </c>
      <c r="I437" t="n">
        <v>1000</v>
      </c>
      <c r="J437" s="11">
        <f>J416</f>
        <v>0.46076784732234427</v>
      </c>
      <c r="K437" t="n">
        <v>2</v>
      </c>
      <c r="L437" s="3">
        <f>LN(B437)</f>
        <v>-20.399514496089363</v>
      </c>
      <c r="M437" t="n">
        <v>1</v>
      </c>
      <c r="N437" t="n">
        <v>1</v>
      </c>
      <c r="O437" t="n">
        <v>1</v>
      </c>
      <c r="P437" t="n">
        <v>1.02</v>
      </c>
      <c r="Q437" t="n">
        <v>1.2</v>
      </c>
      <c r="R437" t="n">
        <v>1</v>
      </c>
      <c r="S437" t="n">
        <v>5</v>
      </c>
      <c r="T437">
        <f>LN(SQRT(EXP(
SQRT(
+POWER(LN(M437),2)
+POWER(LN(N437),2)
+POWER(LN(O437),2)
+POWER(LN(P437),2)
+POWER(LN(Q437),2)
+POWER(LN(R437),2)
+POWER(LN(S437),2)
)
)))</f>
        <v>0.80992649174166365</v>
      </c>
    </row>
    <row r="438">
      <c r="A438" t="inlineStr">
        <is>
          <t>Arsenic ion</t>
        </is>
      </c>
      <c r="B438">
        <f>unallocated!B183/I438*J438</f>
        <v>1.3823035419670327E-9</v>
      </c>
      <c r="D438" t="inlineStr">
        <is>
          <t>kilogram</t>
        </is>
      </c>
      <c r="E438" t="inlineStr">
        <is>
          <t>air::urban air close to ground</t>
        </is>
      </c>
      <c r="F438" t="inlineStr">
        <is>
          <t>biosphere</t>
        </is>
      </c>
      <c r="I438" t="n">
        <v>1000</v>
      </c>
      <c r="J438" s="11">
        <f>J416</f>
        <v>0.46076784732234427</v>
      </c>
      <c r="K438" t="n">
        <v>2</v>
      </c>
      <c r="L438" s="3">
        <f>LN(B438)</f>
        <v>-20.399514496089363</v>
      </c>
      <c r="M438" t="n">
        <v>1</v>
      </c>
      <c r="N438" t="n">
        <v>1</v>
      </c>
      <c r="O438" t="n">
        <v>1</v>
      </c>
      <c r="P438" t="n">
        <v>1.02</v>
      </c>
      <c r="Q438" t="n">
        <v>1.2</v>
      </c>
      <c r="R438" t="n">
        <v>1</v>
      </c>
      <c r="S438" t="n">
        <v>5</v>
      </c>
      <c r="T438">
        <f>LN(SQRT(EXP(
SQRT(
+POWER(LN(M438),2)
+POWER(LN(N438),2)
+POWER(LN(O438),2)
+POWER(LN(P438),2)
+POWER(LN(Q438),2)
+POWER(LN(R438),2)
+POWER(LN(S438),2)
)
)))</f>
        <v>0.80992649174166365</v>
      </c>
    </row>
    <row r="439">
      <c r="A439" t="inlineStr">
        <is>
          <t>Dioxins, measured as 2,3,7,8-tetrachlorodibenzo-p-dioxin</t>
        </is>
      </c>
      <c r="B439">
        <f>unallocated!B184/I439*J439</f>
        <v>5.0684463205457872E-14</v>
      </c>
      <c r="D439" t="inlineStr">
        <is>
          <t>kilogram</t>
        </is>
      </c>
      <c r="E439" t="inlineStr">
        <is>
          <t>air::urban air close to ground</t>
        </is>
      </c>
      <c r="F439" t="inlineStr">
        <is>
          <t>biosphere</t>
        </is>
      </c>
      <c r="I439" t="n">
        <v>1000</v>
      </c>
      <c r="J439" s="11">
        <f>J416</f>
        <v>0.46076784732234427</v>
      </c>
      <c r="K439" t="n">
        <v>2</v>
      </c>
      <c r="L439" s="3">
        <f>LN(B439)</f>
        <v>-30.613156976929329</v>
      </c>
      <c r="M439" t="n">
        <v>1</v>
      </c>
      <c r="N439" t="n">
        <v>1</v>
      </c>
      <c r="O439" t="n">
        <v>1</v>
      </c>
      <c r="P439" t="n">
        <v>1.02</v>
      </c>
      <c r="Q439" t="n">
        <v>1.2</v>
      </c>
      <c r="R439" t="n">
        <v>1</v>
      </c>
      <c r="S439" t="n">
        <v>5</v>
      </c>
      <c r="T439">
        <f>LN(SQRT(EXP(
SQRT(
+POWER(LN(M439),2)
+POWER(LN(N439),2)
+POWER(LN(O439),2)
+POWER(LN(P439),2)
+POWER(LN(Q439),2)
+POWER(LN(R439),2)
+POWER(LN(S439),2)
)
)))</f>
        <v>0.80992649174166365</v>
      </c>
    </row>
    <row r="440">
      <c r="A440" t="inlineStr">
        <is>
          <t>Carbon dioxide, fossil</t>
        </is>
      </c>
      <c r="B440">
        <f>unallocated!B185/I440*J440</f>
        <v>0.17232717489855676</v>
      </c>
      <c r="D440" t="inlineStr">
        <is>
          <t>kilogram</t>
        </is>
      </c>
      <c r="E440" t="inlineStr">
        <is>
          <t>air::urban air close to ground</t>
        </is>
      </c>
      <c r="F440" t="inlineStr">
        <is>
          <t>biosphere</t>
        </is>
      </c>
      <c r="I440" t="n">
        <v>1000</v>
      </c>
      <c r="J440" s="11">
        <f>J416</f>
        <v>0.46076784732234427</v>
      </c>
      <c r="K440" t="n">
        <v>2</v>
      </c>
      <c r="L440" s="3">
        <f>LN(B440)</f>
        <v>-1.7583604293786661</v>
      </c>
      <c r="M440" t="n">
        <v>1</v>
      </c>
      <c r="N440" t="n">
        <v>1</v>
      </c>
      <c r="O440" t="n">
        <v>1</v>
      </c>
      <c r="P440" t="n">
        <v>1.02</v>
      </c>
      <c r="Q440" t="n">
        <v>1.2</v>
      </c>
      <c r="R440" t="n">
        <v>1</v>
      </c>
      <c r="S440" t="n">
        <v>1.05</v>
      </c>
      <c r="T440">
        <f>LN(SQRT(EXP(
SQRT(
+POWER(LN(M440),2)
+POWER(LN(N440),2)
+POWER(LN(O440),2)
+POWER(LN(P440),2)
+POWER(LN(Q440),2)
+POWER(LN(R440),2)
+POWER(LN(S440),2)
)
)))</f>
        <v>9.4886477223156879E-2</v>
      </c>
    </row>
    <row r="441">
      <c r="A441" t="inlineStr">
        <is>
          <t>Carbon dioxide, non-fossil</t>
        </is>
      </c>
      <c r="B441">
        <f>unallocated!B186/I441*J441</f>
        <v>0.27369610130947247</v>
      </c>
      <c r="D441" t="inlineStr">
        <is>
          <t>kilogram</t>
        </is>
      </c>
      <c r="E441" t="inlineStr">
        <is>
          <t>air::urban air close to ground</t>
        </is>
      </c>
      <c r="F441" t="inlineStr">
        <is>
          <t>biosphere</t>
        </is>
      </c>
      <c r="I441" t="n">
        <v>1000</v>
      </c>
      <c r="J441" s="11">
        <f>J416</f>
        <v>0.46076784732234427</v>
      </c>
      <c r="K441" t="n">
        <v>2</v>
      </c>
      <c r="L441" s="3">
        <f>LN(B441)</f>
        <v>-1.2957369074305531</v>
      </c>
      <c r="M441" t="n">
        <v>1</v>
      </c>
      <c r="N441" t="n">
        <v>1</v>
      </c>
      <c r="O441" t="n">
        <v>1</v>
      </c>
      <c r="P441" t="n">
        <v>1.02</v>
      </c>
      <c r="Q441" t="n">
        <v>1.2</v>
      </c>
      <c r="R441" t="n">
        <v>1</v>
      </c>
      <c r="S441" t="n">
        <v>1.05</v>
      </c>
      <c r="T441">
        <f>LN(SQRT(EXP(
SQRT(
+POWER(LN(M441),2)
+POWER(LN(N441),2)
+POWER(LN(O441),2)
+POWER(LN(P441),2)
+POWER(LN(Q441),2)
+POWER(LN(R441),2)
+POWER(LN(S441),2)
)
)))</f>
        <v>9.4886477223156879E-2</v>
      </c>
    </row>
    <row r="442"/>
    <row r="443">
      <c r="A443" s="1" t="inlineStr">
        <is>
          <t>Activity</t>
        </is>
      </c>
      <c r="B443" s="1" t="inlineStr">
        <is>
          <t>municipal waste incineration, at incineration plant, with wet air pollution control, with flue gas condensation, with electricity and heat recovery, economic allocation</t>
        </is>
      </c>
    </row>
    <row r="444">
      <c r="A444" t="inlineStr">
        <is>
          <t>location</t>
        </is>
      </c>
      <c r="B444" t="inlineStr">
        <is>
          <t>RER</t>
        </is>
      </c>
    </row>
    <row r="445">
      <c r="A445" t="inlineStr">
        <is>
          <t>production amount</t>
        </is>
      </c>
      <c r="B445" t="n">
        <v>1</v>
      </c>
    </row>
    <row r="446">
      <c r="A446" s="2" t="inlineStr">
        <is>
          <t>source</t>
        </is>
      </c>
      <c r="B446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47">
      <c r="A447" t="inlineStr">
        <is>
          <t>reference product</t>
        </is>
      </c>
      <c r="B447" t="inlineStr">
        <is>
          <t>electricity, medium voltage</t>
        </is>
      </c>
    </row>
    <row r="448">
      <c r="A448" t="inlineStr">
        <is>
          <t>type</t>
        </is>
      </c>
      <c r="B448" t="inlineStr">
        <is>
          <t>process</t>
        </is>
      </c>
    </row>
    <row r="449">
      <c r="A449" t="inlineStr">
        <is>
          <t>unit</t>
        </is>
      </c>
      <c r="B449" t="inlineStr">
        <is>
          <t>kilowatt hour</t>
        </is>
      </c>
    </row>
    <row r="450">
      <c r="A450" t="inlineStr">
        <is>
          <t>comment</t>
        </is>
      </c>
      <c r="B450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618 kWh. Heat production per ton MSWI incinerated: 7'860 MJ.</t>
        </is>
      </c>
    </row>
    <row r="451">
      <c r="A451" s="1" t="inlineStr">
        <is>
          <t>Exchanges</t>
        </is>
      </c>
    </row>
    <row r="452">
      <c r="A452" s="7" t="inlineStr">
        <is>
          <t>name</t>
        </is>
      </c>
      <c r="B452" s="7" t="inlineStr">
        <is>
          <t>amount</t>
        </is>
      </c>
      <c r="C452" s="7" t="inlineStr">
        <is>
          <t>location</t>
        </is>
      </c>
      <c r="D452" s="7" t="inlineStr">
        <is>
          <t>unit</t>
        </is>
      </c>
      <c r="E452" s="7" t="inlineStr">
        <is>
          <t>categories</t>
        </is>
      </c>
      <c r="F452" s="7" t="inlineStr">
        <is>
          <t>type</t>
        </is>
      </c>
      <c r="G452" s="7" t="inlineStr">
        <is>
          <t>reference product</t>
        </is>
      </c>
      <c r="H452" s="7" t="inlineStr">
        <is>
          <t>comment</t>
        </is>
      </c>
      <c r="I452" s="7" t="inlineStr">
        <is>
          <t>normalization</t>
        </is>
      </c>
      <c r="J452" s="7" t="inlineStr">
        <is>
          <t>allocation</t>
        </is>
      </c>
      <c r="K452" s="7" t="inlineStr">
        <is>
          <t>uncertainty type</t>
        </is>
      </c>
      <c r="L452" s="7" t="inlineStr">
        <is>
          <t>loc</t>
        </is>
      </c>
      <c r="M452" s="1" t="inlineStr">
        <is>
          <t>u1</t>
        </is>
      </c>
      <c r="N452" s="1" t="inlineStr">
        <is>
          <t>u2</t>
        </is>
      </c>
      <c r="O452" s="1" t="inlineStr">
        <is>
          <t>u3</t>
        </is>
      </c>
      <c r="P452" s="1" t="inlineStr">
        <is>
          <t>u4</t>
        </is>
      </c>
      <c r="Q452" s="1" t="inlineStr">
        <is>
          <t>u5</t>
        </is>
      </c>
      <c r="R452" s="1" t="inlineStr">
        <is>
          <t>u6</t>
        </is>
      </c>
      <c r="S452" s="1" t="inlineStr">
        <is>
          <t>ub</t>
        </is>
      </c>
      <c r="T452" s="1" t="inlineStr">
        <is>
          <t>scale</t>
        </is>
      </c>
      <c r="U452" s="1" t="inlineStr">
        <is>
          <t>negative</t>
        </is>
      </c>
    </row>
    <row r="453">
      <c r="A453" t="inlineStr">
        <is>
          <t>municipal waste incineration, at incineration plant, with wet air pollution control, with flue gas condensation, with electricity and heat recovery, economic allocation</t>
        </is>
      </c>
      <c r="B453" t="n">
        <v>0</v>
      </c>
      <c r="C453" t="inlineStr">
        <is>
          <t>RER</t>
        </is>
      </c>
      <c r="D453" t="inlineStr">
        <is>
          <t>kilogram</t>
        </is>
      </c>
      <c r="F453" t="inlineStr">
        <is>
          <t>technosphere</t>
        </is>
      </c>
      <c r="G453" t="inlineStr">
        <is>
          <t>municipal solid waste</t>
        </is>
      </c>
      <c r="H453" t="inlineStr"/>
      <c r="I453" s="6" t="n">
        <v>618</v>
      </c>
      <c r="J453" s="14">
        <f>INDEX('allocation keys'!$L$4:$N$30,MATCH('allocated (economic)'!$B$443,'allocation keys'!$B$4:$B$28,0),MATCH('allocated (economic)'!$B$447,'allocation keys'!$L$3:$N$3,0))</f>
        <v>0.22964074971387805</v>
      </c>
      <c r="K453" t="n">
        <v>0</v>
      </c>
      <c r="M453" s="5" t="n"/>
      <c r="N453" s="5" t="n"/>
      <c r="O453" s="5" t="n"/>
      <c r="P453" s="5" t="n"/>
      <c r="Q453" s="5" t="n"/>
      <c r="R453" s="5" t="n"/>
    </row>
    <row r="454">
      <c r="A454" t="inlineStr">
        <is>
          <t>municipal waste incineration, at incineration plant, with wet air pollution control, with flue gas condensation, with electricity and heat recovery, economic allocation</t>
        </is>
      </c>
      <c r="B454" s="6" t="n">
        <v>1</v>
      </c>
      <c r="C454" t="inlineStr">
        <is>
          <t>RER</t>
        </is>
      </c>
      <c r="D454" t="inlineStr">
        <is>
          <t>kilowatt hour</t>
        </is>
      </c>
      <c r="F454" t="inlineStr">
        <is>
          <t>production</t>
        </is>
      </c>
      <c r="G454" t="inlineStr">
        <is>
          <t>electricity, medium voltage</t>
        </is>
      </c>
      <c r="H454" t="inlineStr"/>
      <c r="I454" s="6" t="n">
        <v>618</v>
      </c>
      <c r="J454" s="11">
        <f>J453</f>
        <v>0.22964074971387805</v>
      </c>
      <c r="K454" t="n">
        <v>0</v>
      </c>
      <c r="L454" s="3" t="n"/>
    </row>
    <row r="455">
      <c r="A455" t="inlineStr">
        <is>
          <t>municipal waste incineration, at incineration plant, with wet air pollution control, with flue gas condensation, with electricity and heat recovery, economic allocation</t>
        </is>
      </c>
      <c r="B455" t="n">
        <v>0</v>
      </c>
      <c r="C455" t="inlineStr">
        <is>
          <t>RER</t>
        </is>
      </c>
      <c r="D455" t="inlineStr">
        <is>
          <t>megajoule</t>
        </is>
      </c>
      <c r="F455" t="inlineStr">
        <is>
          <t>technosphere</t>
        </is>
      </c>
      <c r="G455" t="inlineStr">
        <is>
          <t>heat, district or industrial, other than natural gas</t>
        </is>
      </c>
      <c r="H455" t="inlineStr"/>
      <c r="I455" s="6" t="n">
        <v>618</v>
      </c>
      <c r="J455" s="11">
        <f>J453</f>
        <v>0.22964074971387805</v>
      </c>
      <c r="K455" t="n">
        <v>0</v>
      </c>
      <c r="L455" s="3" t="n"/>
    </row>
    <row r="456">
      <c r="A456" t="inlineStr">
        <is>
          <t>market for diesel, low-sulfur</t>
        </is>
      </c>
      <c r="B456">
        <f>unallocated!B164/I456*J456</f>
        <v>3.1584892759999412E-5</v>
      </c>
      <c r="C456" t="inlineStr">
        <is>
          <t>Europe without Switzerland</t>
        </is>
      </c>
      <c r="D456" t="inlineStr">
        <is>
          <t>kilogram</t>
        </is>
      </c>
      <c r="F456" t="inlineStr">
        <is>
          <t>technosphere</t>
        </is>
      </c>
      <c r="G456" t="inlineStr">
        <is>
          <t>diesel, low-sulfur</t>
        </is>
      </c>
      <c r="H456" t="inlineStr">
        <is>
          <t>Diesel density: 0.85 kg/l</t>
        </is>
      </c>
      <c r="I456" s="6" t="n">
        <v>618</v>
      </c>
      <c r="J456" s="11">
        <f>J453</f>
        <v>0.22964074971387805</v>
      </c>
      <c r="K456" t="n">
        <v>2</v>
      </c>
      <c r="L456" s="3">
        <f>LN(B456)</f>
        <v>-10.362831628901963</v>
      </c>
      <c r="M456" t="n">
        <v>1</v>
      </c>
      <c r="N456" t="n">
        <v>1</v>
      </c>
      <c r="O456" t="n">
        <v>1</v>
      </c>
      <c r="P456" t="n">
        <v>1.02</v>
      </c>
      <c r="Q456" t="n">
        <v>1.2</v>
      </c>
      <c r="R456" t="n">
        <v>1</v>
      </c>
      <c r="S456" t="n">
        <v>1.05</v>
      </c>
      <c r="T456">
        <f>LN(SQRT(EXP(
SQRT(
+POWER(LN(M456),2)
+POWER(LN(N456),2)
+POWER(LN(O456),2)
+POWER(LN(P456),2)
+POWER(LN(Q456),2)
+POWER(LN(R456),2)
+POWER(LN(S456),2)
)
)))</f>
        <v>9.4886477223156879E-2</v>
      </c>
    </row>
    <row r="457">
      <c r="A457" t="inlineStr">
        <is>
          <t>market for activated carbon, granular</t>
        </is>
      </c>
      <c r="B457">
        <f>unallocated!B165/I457*J457</f>
        <v>1.4863478945882074E-4</v>
      </c>
      <c r="C457" t="inlineStr">
        <is>
          <t>GLO</t>
        </is>
      </c>
      <c r="D457" t="inlineStr">
        <is>
          <t>kilogram</t>
        </is>
      </c>
      <c r="F457" t="inlineStr">
        <is>
          <t>technosphere</t>
        </is>
      </c>
      <c r="G457" t="inlineStr">
        <is>
          <t>activated carbon, granular</t>
        </is>
      </c>
      <c r="I457" s="6" t="n">
        <v>618</v>
      </c>
      <c r="J457" s="11">
        <f>J453</f>
        <v>0.22964074971387805</v>
      </c>
      <c r="K457" t="n">
        <v>2</v>
      </c>
      <c r="L457" s="3">
        <f>LN(B457)</f>
        <v>-8.8140183382842991</v>
      </c>
      <c r="M457" t="n">
        <v>1</v>
      </c>
      <c r="N457" t="n">
        <v>1</v>
      </c>
      <c r="O457" t="n">
        <v>1</v>
      </c>
      <c r="P457" t="n">
        <v>1.02</v>
      </c>
      <c r="Q457" t="n">
        <v>1.2</v>
      </c>
      <c r="R457" t="n">
        <v>1</v>
      </c>
      <c r="S457" t="n">
        <v>1.05</v>
      </c>
      <c r="T457">
        <f>LN(SQRT(EXP(
SQRT(
+POWER(LN(M457),2)
+POWER(LN(N457),2)
+POWER(LN(O457),2)
+POWER(LN(P457),2)
+POWER(LN(Q457),2)
+POWER(LN(R457),2)
+POWER(LN(S457),2)
)
)))</f>
        <v>9.4886477223156879E-2</v>
      </c>
    </row>
    <row r="458">
      <c r="A458" t="inlineStr">
        <is>
          <t>market for ammonia, anhydrous, liquid</t>
        </is>
      </c>
      <c r="B458">
        <f>unallocated!B166/I458*J458</f>
        <v>3.6415523417411083E-4</v>
      </c>
      <c r="C458" t="inlineStr">
        <is>
          <t>RER</t>
        </is>
      </c>
      <c r="D458" t="inlineStr">
        <is>
          <t>kilogram</t>
        </is>
      </c>
      <c r="F458" t="inlineStr">
        <is>
          <t>technosphere</t>
        </is>
      </c>
      <c r="G458" t="inlineStr">
        <is>
          <t>ammonia, anhydrous, liquid</t>
        </is>
      </c>
      <c r="H458" t="inlineStr">
        <is>
          <t>100% liquid ammonia. In original publication, it is dilluated to 23.5% in water. We discount the original value by 75%.</t>
        </is>
      </c>
      <c r="I458" s="6" t="n">
        <v>618</v>
      </c>
      <c r="J458" s="11">
        <f>J453</f>
        <v>0.22964074971387805</v>
      </c>
      <c r="K458" t="n">
        <v>2</v>
      </c>
      <c r="L458" s="3">
        <f>LN(B458)</f>
        <v>-7.9179303137276627</v>
      </c>
      <c r="M458" t="n">
        <v>1</v>
      </c>
      <c r="N458" t="n">
        <v>1</v>
      </c>
      <c r="O458" t="n">
        <v>1</v>
      </c>
      <c r="P458" t="n">
        <v>1.02</v>
      </c>
      <c r="Q458" t="n">
        <v>1.2</v>
      </c>
      <c r="R458" t="n">
        <v>1</v>
      </c>
      <c r="S458" t="n">
        <v>1.05</v>
      </c>
      <c r="T458">
        <f>LN(SQRT(EXP(
SQRT(
+POWER(LN(M458),2)
+POWER(LN(N458),2)
+POWER(LN(O458),2)
+POWER(LN(P458),2)
+POWER(LN(Q458),2)
+POWER(LN(R458),2)
+POWER(LN(S458),2)
)
)))</f>
        <v>9.4886477223156879E-2</v>
      </c>
    </row>
    <row r="459">
      <c r="A459" t="inlineStr">
        <is>
          <t>market for tap water</t>
        </is>
      </c>
      <c r="B459">
        <f>unallocated!B167/I459*J459</f>
        <v>1.1221926604140966E-3</v>
      </c>
      <c r="C459" t="inlineStr">
        <is>
          <t>Europe without Switzerland</t>
        </is>
      </c>
      <c r="D459" t="inlineStr">
        <is>
          <t>kilogram</t>
        </is>
      </c>
      <c r="F459" t="inlineStr">
        <is>
          <t>technosphere</t>
        </is>
      </c>
      <c r="G459" t="inlineStr">
        <is>
          <t>tap water</t>
        </is>
      </c>
      <c r="H459" t="inlineStr">
        <is>
          <t>Used to dilute the ammonia.</t>
        </is>
      </c>
      <c r="I459" s="6" t="n">
        <v>618</v>
      </c>
      <c r="J459" s="11">
        <f>J453</f>
        <v>0.22964074971387805</v>
      </c>
      <c r="K459" t="n">
        <v>2</v>
      </c>
      <c r="L459" s="3">
        <f>LN(B459)</f>
        <v>-6.7924707750233653</v>
      </c>
      <c r="M459" t="n">
        <v>1</v>
      </c>
      <c r="N459" t="n">
        <v>1</v>
      </c>
      <c r="O459" t="n">
        <v>1</v>
      </c>
      <c r="P459" t="n">
        <v>1.02</v>
      </c>
      <c r="Q459" t="n">
        <v>1.2</v>
      </c>
      <c r="R459" t="n">
        <v>1</v>
      </c>
      <c r="S459" t="n">
        <v>1.05</v>
      </c>
      <c r="T459">
        <f>LN(SQRT(EXP(
SQRT(
+POWER(LN(M459),2)
+POWER(LN(N459),2)
+POWER(LN(O459),2)
+POWER(LN(P459),2)
+POWER(LN(Q459),2)
+POWER(LN(R459),2)
+POWER(LN(S459),2)
)
)))</f>
        <v>9.4886477223156879E-2</v>
      </c>
    </row>
    <row r="460">
      <c r="A460" t="inlineStr">
        <is>
          <t>market for calcium carbonate, precipitated</t>
        </is>
      </c>
      <c r="B460">
        <f>unallocated!B168/I460*J460</f>
        <v>2.6011088155293632E-3</v>
      </c>
      <c r="C460" t="inlineStr">
        <is>
          <t>RER</t>
        </is>
      </c>
      <c r="D460" t="inlineStr">
        <is>
          <t>kilogram</t>
        </is>
      </c>
      <c r="F460" t="inlineStr">
        <is>
          <t>technosphere</t>
        </is>
      </c>
      <c r="G460" t="inlineStr">
        <is>
          <t>calcium carbonate, precipitated</t>
        </is>
      </c>
      <c r="I460" s="6" t="n">
        <v>618</v>
      </c>
      <c r="J460" s="11">
        <f>J453</f>
        <v>0.22964074971387805</v>
      </c>
      <c r="K460" t="n">
        <v>0</v>
      </c>
      <c r="L460" s="3" t="n"/>
    </row>
    <row r="461">
      <c r="A461" t="inlineStr">
        <is>
          <t>market for iron(III) chloride, without water, in 40% solution state</t>
        </is>
      </c>
      <c r="B461">
        <f>unallocated!B169/I461*J461</f>
        <v>1.8579348682352593E-5</v>
      </c>
      <c r="C461" t="inlineStr">
        <is>
          <t>GLO</t>
        </is>
      </c>
      <c r="D461" t="inlineStr">
        <is>
          <t>kilogram</t>
        </is>
      </c>
      <c r="F461" t="inlineStr">
        <is>
          <t>technosphere</t>
        </is>
      </c>
      <c r="G461" t="inlineStr">
        <is>
          <t>iron(III) chloride, without water, in 40% solution state</t>
        </is>
      </c>
      <c r="I461" s="6" t="n">
        <v>618</v>
      </c>
      <c r="J461" s="11">
        <f>J453</f>
        <v>0.22964074971387805</v>
      </c>
      <c r="K461" t="n">
        <v>0</v>
      </c>
      <c r="L461" s="3" t="n"/>
    </row>
    <row r="462">
      <c r="A462" t="inlineStr">
        <is>
          <t>market for lime, hydrated, packed</t>
        </is>
      </c>
      <c r="B462">
        <f>unallocated!B170/I462*J462</f>
        <v>0</v>
      </c>
      <c r="C462" t="inlineStr">
        <is>
          <t>RER</t>
        </is>
      </c>
      <c r="D462" t="inlineStr">
        <is>
          <t>kilogram</t>
        </is>
      </c>
      <c r="F462" t="inlineStr">
        <is>
          <t>technosphere</t>
        </is>
      </c>
      <c r="G462" t="inlineStr">
        <is>
          <t>lime, hydrated, packed</t>
        </is>
      </c>
      <c r="I462" s="6" t="n">
        <v>618</v>
      </c>
      <c r="J462" s="11">
        <f>J453</f>
        <v>0.22964074971387805</v>
      </c>
      <c r="K462" t="n">
        <v>0</v>
      </c>
      <c r="L462" s="3" t="n"/>
    </row>
    <row r="463">
      <c r="A463" t="inlineStr">
        <is>
          <t>market for sodium hydroxide, without water, in 50% solution state</t>
        </is>
      </c>
      <c r="B463">
        <f>unallocated!B171/I463*J463</f>
        <v>1.8579348682352592E-4</v>
      </c>
      <c r="C463" t="inlineStr">
        <is>
          <t>RER</t>
        </is>
      </c>
      <c r="D463" t="inlineStr">
        <is>
          <t>kilogram</t>
        </is>
      </c>
      <c r="F463" t="inlineStr">
        <is>
          <t>technosphere</t>
        </is>
      </c>
      <c r="G463" t="inlineStr">
        <is>
          <t>sodium hydroxide, without water, in 50% solution state</t>
        </is>
      </c>
      <c r="H463" t="inlineStr">
        <is>
          <t>50% liquid ammonia. In original publication, it is dilluated to 27% in water. We discount the original value by 50%.</t>
        </is>
      </c>
      <c r="I463" s="6" t="n">
        <v>618</v>
      </c>
      <c r="J463" s="11">
        <f>J453</f>
        <v>0.22964074971387805</v>
      </c>
      <c r="K463" t="n">
        <v>0</v>
      </c>
      <c r="L463" s="3" t="n"/>
    </row>
    <row r="464">
      <c r="A464" t="inlineStr">
        <is>
          <t>market for monoethanolamine</t>
        </is>
      </c>
      <c r="B464">
        <f>unallocated!B172/I464*J464</f>
        <v>0</v>
      </c>
      <c r="C464" t="inlineStr">
        <is>
          <t>GLO</t>
        </is>
      </c>
      <c r="D464" t="inlineStr">
        <is>
          <t>kilogram</t>
        </is>
      </c>
      <c r="F464" t="inlineStr">
        <is>
          <t>technosphere</t>
        </is>
      </c>
      <c r="G464" t="inlineStr">
        <is>
          <t>monoethanolamine</t>
        </is>
      </c>
      <c r="I464" s="6" t="n">
        <v>618</v>
      </c>
      <c r="J464" s="11">
        <f>J453</f>
        <v>0.22964074971387805</v>
      </c>
      <c r="K464" t="n">
        <v>0</v>
      </c>
      <c r="L464" s="3" t="n"/>
    </row>
    <row r="465">
      <c r="A465" t="inlineStr">
        <is>
          <t>municipal waste incineration facility construction</t>
        </is>
      </c>
      <c r="B465">
        <f>unallocated!B173/I465*J465</f>
        <v>9.2896743411762958E-11</v>
      </c>
      <c r="C465" t="inlineStr">
        <is>
          <t>CH</t>
        </is>
      </c>
      <c r="D465" t="inlineStr">
        <is>
          <t>unit</t>
        </is>
      </c>
      <c r="F465" t="inlineStr">
        <is>
          <t>technosphere</t>
        </is>
      </c>
      <c r="G465" t="inlineStr">
        <is>
          <t>municipal waste incineration facility</t>
        </is>
      </c>
      <c r="H465" t="inlineStr">
        <is>
          <t>Lifetime: 4'000'000 tons MSWI treated.</t>
        </is>
      </c>
      <c r="I465" s="6" t="n">
        <v>618</v>
      </c>
      <c r="J465" s="11">
        <f>J453</f>
        <v>0.22964074971387805</v>
      </c>
      <c r="K465" t="n">
        <v>2</v>
      </c>
      <c r="L465" s="3">
        <f>LN(B465)</f>
        <v>-23.099532525494308</v>
      </c>
      <c r="M465" t="n">
        <v>1</v>
      </c>
      <c r="N465" t="n">
        <v>1</v>
      </c>
      <c r="O465" t="n">
        <v>1</v>
      </c>
      <c r="P465" t="n">
        <v>1.02</v>
      </c>
      <c r="Q465" t="n">
        <v>1.2</v>
      </c>
      <c r="R465" t="n">
        <v>1</v>
      </c>
      <c r="S465" t="n">
        <v>3</v>
      </c>
      <c r="T465">
        <f>LN(SQRT(EXP(
SQRT(
+POWER(LN(M465),2)
+POWER(LN(N465),2)
+POWER(LN(O465),2)
+POWER(LN(P465),2)
+POWER(LN(Q465),2)
+POWER(LN(R465),2)
+POWER(LN(S465),2)
)
)))</f>
        <v>0.5569071410325479</v>
      </c>
    </row>
    <row r="466">
      <c r="A466" t="inlineStr">
        <is>
          <t>Water, cooling, unspecified natural origin</t>
        </is>
      </c>
      <c r="B466">
        <f>unallocated!B174/I466*J466</f>
        <v>0</v>
      </c>
      <c r="D466" t="inlineStr">
        <is>
          <t>cubic meter</t>
        </is>
      </c>
      <c r="E466" t="inlineStr">
        <is>
          <t>natural resource::in water</t>
        </is>
      </c>
      <c r="F466" t="inlineStr">
        <is>
          <t>biosphere</t>
        </is>
      </c>
      <c r="I466" s="6" t="n">
        <v>618</v>
      </c>
      <c r="J466" s="11">
        <f>J453</f>
        <v>0.22964074971387805</v>
      </c>
      <c r="K466" t="n">
        <v>0</v>
      </c>
      <c r="L466" s="3" t="n"/>
    </row>
    <row r="467">
      <c r="A467" t="inlineStr">
        <is>
          <t>Sulfur dioxide</t>
        </is>
      </c>
      <c r="B467">
        <f>unallocated!B175/I467*J467</f>
        <v>2.2295218418823109E-6</v>
      </c>
      <c r="D467" t="inlineStr">
        <is>
          <t>kilogram</t>
        </is>
      </c>
      <c r="E467" t="inlineStr">
        <is>
          <t>air::urban air close to ground</t>
        </is>
      </c>
      <c r="F467" t="inlineStr">
        <is>
          <t>biosphere</t>
        </is>
      </c>
      <c r="I467" s="6" t="n">
        <v>618</v>
      </c>
      <c r="J467" s="11">
        <f>J453</f>
        <v>0.22964074971387805</v>
      </c>
      <c r="K467" t="n">
        <v>2</v>
      </c>
      <c r="L467" s="3">
        <f>LN(B467)</f>
        <v>-13.013723416164225</v>
      </c>
      <c r="M467" t="n">
        <v>1</v>
      </c>
      <c r="N467" t="n">
        <v>1</v>
      </c>
      <c r="O467" t="n">
        <v>1</v>
      </c>
      <c r="P467" t="n">
        <v>1.02</v>
      </c>
      <c r="Q467" t="n">
        <v>1.2</v>
      </c>
      <c r="R467" t="n">
        <v>1</v>
      </c>
      <c r="S467" t="n">
        <v>1.05</v>
      </c>
      <c r="T467">
        <f>LN(SQRT(EXP(
SQRT(
+POWER(LN(M467),2)
+POWER(LN(N467),2)
+POWER(LN(O467),2)
+POWER(LN(P467),2)
+POWER(LN(Q467),2)
+POWER(LN(R467),2)
+POWER(LN(S467),2)
)
)))</f>
        <v>9.4886477223156879E-2</v>
      </c>
    </row>
    <row r="468">
      <c r="A468" t="inlineStr">
        <is>
          <t>Hydrochloric acid</t>
        </is>
      </c>
      <c r="B468">
        <f>unallocated!B176/I468*J468</f>
        <v>1.1147609209411555E-6</v>
      </c>
      <c r="D468" t="inlineStr">
        <is>
          <t>kilogram</t>
        </is>
      </c>
      <c r="E468" t="inlineStr">
        <is>
          <t>air</t>
        </is>
      </c>
      <c r="F468" t="inlineStr">
        <is>
          <t>biosphere</t>
        </is>
      </c>
      <c r="I468" s="6" t="n">
        <v>618</v>
      </c>
      <c r="J468" s="11">
        <f>J453</f>
        <v>0.22964074971387805</v>
      </c>
      <c r="K468" t="n">
        <v>2</v>
      </c>
      <c r="L468" s="3">
        <f>LN(B468)</f>
        <v>-13.706870596724171</v>
      </c>
      <c r="M468" t="n">
        <v>1</v>
      </c>
      <c r="N468" t="n">
        <v>1</v>
      </c>
      <c r="O468" t="n">
        <v>1</v>
      </c>
      <c r="P468" t="n">
        <v>1.02</v>
      </c>
      <c r="Q468" t="n">
        <v>1.2</v>
      </c>
      <c r="R468" t="n">
        <v>1</v>
      </c>
      <c r="S468" t="n">
        <v>1.5</v>
      </c>
      <c r="T468">
        <f>LN(SQRT(EXP(
SQRT(
+POWER(LN(M468),2)
+POWER(LN(N468),2)
+POWER(LN(O468),2)
+POWER(LN(P468),2)
+POWER(LN(Q468),2)
+POWER(LN(R468),2)
+POWER(LN(S468),2)
)
)))</f>
        <v>0.22250575723605889</v>
      </c>
    </row>
    <row r="469">
      <c r="A469" t="inlineStr">
        <is>
          <t>Nitrogen oxides</t>
        </is>
      </c>
      <c r="B469">
        <f>unallocated!B177/I469*J469</f>
        <v>2.515643811590541E-4</v>
      </c>
      <c r="D469" t="inlineStr">
        <is>
          <t>kilogram</t>
        </is>
      </c>
      <c r="E469" t="inlineStr">
        <is>
          <t>air::urban air close to ground</t>
        </is>
      </c>
      <c r="F469" t="inlineStr">
        <is>
          <t>biosphere</t>
        </is>
      </c>
      <c r="I469" s="6" t="n">
        <v>618</v>
      </c>
      <c r="J469" s="11">
        <f>J453</f>
        <v>0.22964074971387805</v>
      </c>
      <c r="K469" t="n">
        <v>2</v>
      </c>
      <c r="L469" s="3">
        <f>LN(B469)</f>
        <v>-8.2878116124800059</v>
      </c>
      <c r="M469" t="n">
        <v>1</v>
      </c>
      <c r="N469" t="n">
        <v>1</v>
      </c>
      <c r="O469" t="n">
        <v>1</v>
      </c>
      <c r="P469" t="n">
        <v>1.02</v>
      </c>
      <c r="Q469" t="n">
        <v>1.2</v>
      </c>
      <c r="R469" t="n">
        <v>1</v>
      </c>
      <c r="S469" t="n">
        <v>1.5</v>
      </c>
      <c r="T469">
        <f>LN(SQRT(EXP(
SQRT(
+POWER(LN(M469),2)
+POWER(LN(N469),2)
+POWER(LN(O469),2)
+POWER(LN(P469),2)
+POWER(LN(Q469),2)
+POWER(LN(R469),2)
+POWER(LN(S469),2)
)
)))</f>
        <v>0.22250575723605889</v>
      </c>
    </row>
    <row r="470">
      <c r="A470" t="inlineStr">
        <is>
          <t>Ammonia</t>
        </is>
      </c>
      <c r="B470">
        <f>unallocated!B178/I470*J470</f>
        <v>3.7158697364705184E-7</v>
      </c>
      <c r="D470" t="inlineStr">
        <is>
          <t>kilogram</t>
        </is>
      </c>
      <c r="E470" t="inlineStr">
        <is>
          <t>air::urban air close to ground</t>
        </is>
      </c>
      <c r="F470" t="inlineStr">
        <is>
          <t>biosphere</t>
        </is>
      </c>
      <c r="I470" s="6" t="n">
        <v>618</v>
      </c>
      <c r="J470" s="11">
        <f>J453</f>
        <v>0.22964074971387805</v>
      </c>
      <c r="K470" t="n">
        <v>2</v>
      </c>
      <c r="L470" s="3">
        <f>LN(B470)</f>
        <v>-14.80548288539228</v>
      </c>
      <c r="M470" t="n">
        <v>1</v>
      </c>
      <c r="N470" t="n">
        <v>1</v>
      </c>
      <c r="O470" t="n">
        <v>1</v>
      </c>
      <c r="P470" t="n">
        <v>1.02</v>
      </c>
      <c r="Q470" t="n">
        <v>1.2</v>
      </c>
      <c r="R470" t="n">
        <v>1</v>
      </c>
      <c r="S470" t="n">
        <v>1.5</v>
      </c>
      <c r="T470">
        <f>LN(SQRT(EXP(
SQRT(
+POWER(LN(M470),2)
+POWER(LN(N470),2)
+POWER(LN(O470),2)
+POWER(LN(P470),2)
+POWER(LN(Q470),2)
+POWER(LN(R470),2)
+POWER(LN(S470),2)
)
)))</f>
        <v>0.22250575723605889</v>
      </c>
    </row>
    <row r="471">
      <c r="A471" t="inlineStr">
        <is>
          <t>Particulate Matter, &lt; 2.5 um</t>
        </is>
      </c>
      <c r="B471">
        <f>unallocated!B179/I471*J471</f>
        <v>2.2295218418823109E-6</v>
      </c>
      <c r="D471" t="inlineStr">
        <is>
          <t>kilogram</t>
        </is>
      </c>
      <c r="E471" t="inlineStr">
        <is>
          <t>air::urban air close to ground</t>
        </is>
      </c>
      <c r="F471" t="inlineStr">
        <is>
          <t>biosphere</t>
        </is>
      </c>
      <c r="I471" s="6" t="n">
        <v>618</v>
      </c>
      <c r="J471" s="11">
        <f>J453</f>
        <v>0.22964074971387805</v>
      </c>
      <c r="K471" t="n">
        <v>2</v>
      </c>
      <c r="L471" s="3">
        <f>LN(B471)</f>
        <v>-13.013723416164225</v>
      </c>
      <c r="M471" t="n">
        <v>1</v>
      </c>
      <c r="N471" t="n">
        <v>1</v>
      </c>
      <c r="O471" t="n">
        <v>1</v>
      </c>
      <c r="P471" t="n">
        <v>1.02</v>
      </c>
      <c r="Q471" t="n">
        <v>1.2</v>
      </c>
      <c r="R471" t="n">
        <v>1</v>
      </c>
      <c r="S471" t="n">
        <v>3</v>
      </c>
      <c r="T471">
        <f>LN(SQRT(EXP(
SQRT(
+POWER(LN(M471),2)
+POWER(LN(N471),2)
+POWER(LN(O471),2)
+POWER(LN(P471),2)
+POWER(LN(Q471),2)
+POWER(LN(R471),2)
+POWER(LN(S471),2)
)
)))</f>
        <v>0.5569071410325479</v>
      </c>
    </row>
    <row r="472">
      <c r="A472" t="inlineStr">
        <is>
          <t>Mercury II</t>
        </is>
      </c>
      <c r="B472">
        <f>unallocated!B180/I472*J472</f>
        <v>2.2295218418823114E-9</v>
      </c>
      <c r="D472" t="inlineStr">
        <is>
          <t>kilogram</t>
        </is>
      </c>
      <c r="E472" t="inlineStr">
        <is>
          <t>air::urban air close to ground</t>
        </is>
      </c>
      <c r="F472" t="inlineStr">
        <is>
          <t>biosphere</t>
        </is>
      </c>
      <c r="I472" s="6" t="n">
        <v>618</v>
      </c>
      <c r="J472" s="11">
        <f>J453</f>
        <v>0.22964074971387805</v>
      </c>
      <c r="K472" t="n">
        <v>2</v>
      </c>
      <c r="L472" s="3">
        <f>LN(B472)</f>
        <v>-19.921478695146362</v>
      </c>
      <c r="M472" t="n">
        <v>1</v>
      </c>
      <c r="N472" t="n">
        <v>1</v>
      </c>
      <c r="O472" t="n">
        <v>1</v>
      </c>
      <c r="P472" t="n">
        <v>1.02</v>
      </c>
      <c r="Q472" t="n">
        <v>1.2</v>
      </c>
      <c r="R472" t="n">
        <v>1</v>
      </c>
      <c r="S472" t="n">
        <v>5</v>
      </c>
      <c r="T472">
        <f>LN(SQRT(EXP(
SQRT(
+POWER(LN(M472),2)
+POWER(LN(N472),2)
+POWER(LN(O472),2)
+POWER(LN(P472),2)
+POWER(LN(Q472),2)
+POWER(LN(R472),2)
+POWER(LN(S472),2)
)
)))</f>
        <v>0.80992649174166365</v>
      </c>
    </row>
    <row r="473">
      <c r="A473" t="inlineStr">
        <is>
          <t>Lead II</t>
        </is>
      </c>
      <c r="B473">
        <f>unallocated!B181/I473*J473</f>
        <v>2.2295218418823114E-9</v>
      </c>
      <c r="D473" t="inlineStr">
        <is>
          <t>kilogram</t>
        </is>
      </c>
      <c r="E473" t="inlineStr">
        <is>
          <t>air::urban air close to ground</t>
        </is>
      </c>
      <c r="F473" t="inlineStr">
        <is>
          <t>biosphere</t>
        </is>
      </c>
      <c r="I473" s="6" t="n">
        <v>618</v>
      </c>
      <c r="J473" s="11">
        <f>J453</f>
        <v>0.22964074971387805</v>
      </c>
      <c r="K473" t="n">
        <v>2</v>
      </c>
      <c r="L473" s="3">
        <f>LN(B473)</f>
        <v>-19.921478695146362</v>
      </c>
      <c r="M473" t="n">
        <v>1</v>
      </c>
      <c r="N473" t="n">
        <v>1</v>
      </c>
      <c r="O473" t="n">
        <v>1</v>
      </c>
      <c r="P473" t="n">
        <v>1.02</v>
      </c>
      <c r="Q473" t="n">
        <v>1.2</v>
      </c>
      <c r="R473" t="n">
        <v>1</v>
      </c>
      <c r="S473" t="n">
        <v>5</v>
      </c>
      <c r="T473">
        <f>LN(SQRT(EXP(
SQRT(
+POWER(LN(M473),2)
+POWER(LN(N473),2)
+POWER(LN(O473),2)
+POWER(LN(P473),2)
+POWER(LN(Q473),2)
+POWER(LN(R473),2)
+POWER(LN(S473),2)
)
)))</f>
        <v>0.80992649174166365</v>
      </c>
    </row>
    <row r="474">
      <c r="A474" t="inlineStr">
        <is>
          <t>Cadmium II</t>
        </is>
      </c>
      <c r="B474">
        <f>unallocated!B182/I474*J474</f>
        <v>1.1147609209411557E-9</v>
      </c>
      <c r="D474" t="inlineStr">
        <is>
          <t>kilogram</t>
        </is>
      </c>
      <c r="E474" t="inlineStr">
        <is>
          <t>air::urban air close to ground</t>
        </is>
      </c>
      <c r="F474" t="inlineStr">
        <is>
          <t>biosphere</t>
        </is>
      </c>
      <c r="I474" s="6" t="n">
        <v>618</v>
      </c>
      <c r="J474" s="11">
        <f>J453</f>
        <v>0.22964074971387805</v>
      </c>
      <c r="K474" t="n">
        <v>2</v>
      </c>
      <c r="L474" s="3">
        <f>LN(B474)</f>
        <v>-20.614625875706306</v>
      </c>
      <c r="M474" t="n">
        <v>1</v>
      </c>
      <c r="N474" t="n">
        <v>1</v>
      </c>
      <c r="O474" t="n">
        <v>1</v>
      </c>
      <c r="P474" t="n">
        <v>1.02</v>
      </c>
      <c r="Q474" t="n">
        <v>1.2</v>
      </c>
      <c r="R474" t="n">
        <v>1</v>
      </c>
      <c r="S474" t="n">
        <v>5</v>
      </c>
      <c r="T474">
        <f>LN(SQRT(EXP(
SQRT(
+POWER(LN(M474),2)
+POWER(LN(N474),2)
+POWER(LN(O474),2)
+POWER(LN(P474),2)
+POWER(LN(Q474),2)
+POWER(LN(R474),2)
+POWER(LN(S474),2)
)
)))</f>
        <v>0.80992649174166365</v>
      </c>
    </row>
    <row r="475">
      <c r="A475" t="inlineStr">
        <is>
          <t>Arsenic ion</t>
        </is>
      </c>
      <c r="B475">
        <f>unallocated!B183/I475*J475</f>
        <v>1.1147609209411557E-9</v>
      </c>
      <c r="D475" t="inlineStr">
        <is>
          <t>kilogram</t>
        </is>
      </c>
      <c r="E475" t="inlineStr">
        <is>
          <t>air::urban air close to ground</t>
        </is>
      </c>
      <c r="F475" t="inlineStr">
        <is>
          <t>biosphere</t>
        </is>
      </c>
      <c r="I475" s="6" t="n">
        <v>618</v>
      </c>
      <c r="J475" s="11">
        <f>J453</f>
        <v>0.22964074971387805</v>
      </c>
      <c r="K475" t="n">
        <v>2</v>
      </c>
      <c r="L475" s="3">
        <f>LN(B475)</f>
        <v>-20.614625875706306</v>
      </c>
      <c r="M475" t="n">
        <v>1</v>
      </c>
      <c r="N475" t="n">
        <v>1</v>
      </c>
      <c r="O475" t="n">
        <v>1</v>
      </c>
      <c r="P475" t="n">
        <v>1.02</v>
      </c>
      <c r="Q475" t="n">
        <v>1.2</v>
      </c>
      <c r="R475" t="n">
        <v>1</v>
      </c>
      <c r="S475" t="n">
        <v>5</v>
      </c>
      <c r="T475">
        <f>LN(SQRT(EXP(
SQRT(
+POWER(LN(M475),2)
+POWER(LN(N475),2)
+POWER(LN(O475),2)
+POWER(LN(P475),2)
+POWER(LN(Q475),2)
+POWER(LN(R475),2)
+POWER(LN(S475),2)
)
)))</f>
        <v>0.80992649174166365</v>
      </c>
    </row>
    <row r="476">
      <c r="A476" t="inlineStr">
        <is>
          <t>Dioxins, measured as 2,3,7,8-tetrachlorodibenzo-p-dioxin</t>
        </is>
      </c>
      <c r="B476">
        <f>unallocated!B184/I476*J476</f>
        <v>4.0874567101175707E-14</v>
      </c>
      <c r="D476" t="inlineStr">
        <is>
          <t>kilogram</t>
        </is>
      </c>
      <c r="E476" t="inlineStr">
        <is>
          <t>air::urban air close to ground</t>
        </is>
      </c>
      <c r="F476" t="inlineStr">
        <is>
          <t>biosphere</t>
        </is>
      </c>
      <c r="I476" s="6" t="n">
        <v>618</v>
      </c>
      <c r="J476" s="11">
        <f>J453</f>
        <v>0.22964074971387805</v>
      </c>
      <c r="K476" t="n">
        <v>2</v>
      </c>
      <c r="L476" s="3">
        <f>LN(B476)</f>
        <v>-30.828268356546275</v>
      </c>
      <c r="M476" t="n">
        <v>1</v>
      </c>
      <c r="N476" t="n">
        <v>1</v>
      </c>
      <c r="O476" t="n">
        <v>1</v>
      </c>
      <c r="P476" t="n">
        <v>1.02</v>
      </c>
      <c r="Q476" t="n">
        <v>1.2</v>
      </c>
      <c r="R476" t="n">
        <v>1</v>
      </c>
      <c r="S476" t="n">
        <v>5</v>
      </c>
      <c r="T476">
        <f>LN(SQRT(EXP(
SQRT(
+POWER(LN(M476),2)
+POWER(LN(N476),2)
+POWER(LN(O476),2)
+POWER(LN(P476),2)
+POWER(LN(Q476),2)
+POWER(LN(R476),2)
+POWER(LN(S476),2)
)
)))</f>
        <v>0.80992649174166365</v>
      </c>
    </row>
    <row r="477">
      <c r="A477" t="inlineStr">
        <is>
          <t>Carbon dioxide, fossil</t>
        </is>
      </c>
      <c r="B477">
        <f>unallocated!B185/I477*J477</f>
        <v>0.13897352814399741</v>
      </c>
      <c r="D477" t="inlineStr">
        <is>
          <t>kilogram</t>
        </is>
      </c>
      <c r="E477" t="inlineStr">
        <is>
          <t>air::urban air close to ground</t>
        </is>
      </c>
      <c r="F477" t="inlineStr">
        <is>
          <t>biosphere</t>
        </is>
      </c>
      <c r="I477" s="6" t="n">
        <v>618</v>
      </c>
      <c r="J477" s="11">
        <f>J453</f>
        <v>0.22964074971387805</v>
      </c>
      <c r="K477" t="n">
        <v>2</v>
      </c>
      <c r="L477" s="3">
        <f>LN(B477)</f>
        <v>-1.9734718089956114</v>
      </c>
      <c r="M477" t="n">
        <v>1</v>
      </c>
      <c r="N477" t="n">
        <v>1</v>
      </c>
      <c r="O477" t="n">
        <v>1</v>
      </c>
      <c r="P477" t="n">
        <v>1.02</v>
      </c>
      <c r="Q477" t="n">
        <v>1.2</v>
      </c>
      <c r="R477" t="n">
        <v>1</v>
      </c>
      <c r="S477" t="n">
        <v>1.05</v>
      </c>
      <c r="T477">
        <f>LN(SQRT(EXP(
SQRT(
+POWER(LN(M477),2)
+POWER(LN(N477),2)
+POWER(LN(O477),2)
+POWER(LN(P477),2)
+POWER(LN(Q477),2)
+POWER(LN(R477),2)
+POWER(LN(S477),2)
)
)))</f>
        <v>9.4886477223156879E-2</v>
      </c>
    </row>
    <row r="478">
      <c r="A478" t="inlineStr">
        <is>
          <t>Carbon dioxide, non-fossil</t>
        </is>
      </c>
      <c r="B478">
        <f>unallocated!B186/I478*J478</f>
        <v>0.2207226623463488</v>
      </c>
      <c r="D478" t="inlineStr">
        <is>
          <t>kilogram</t>
        </is>
      </c>
      <c r="E478" t="inlineStr">
        <is>
          <t>air::urban air close to ground</t>
        </is>
      </c>
      <c r="F478" t="inlineStr">
        <is>
          <t>biosphere</t>
        </is>
      </c>
      <c r="I478" s="6" t="n">
        <v>618</v>
      </c>
      <c r="J478" s="11">
        <f>J453</f>
        <v>0.22964074971387805</v>
      </c>
      <c r="K478" t="n">
        <v>2</v>
      </c>
      <c r="L478" s="3">
        <f>LN(B478)</f>
        <v>-1.5108482870474984</v>
      </c>
      <c r="M478" t="n">
        <v>1</v>
      </c>
      <c r="N478" t="n">
        <v>1</v>
      </c>
      <c r="O478" t="n">
        <v>1</v>
      </c>
      <c r="P478" t="n">
        <v>1.02</v>
      </c>
      <c r="Q478" t="n">
        <v>1.2</v>
      </c>
      <c r="R478" t="n">
        <v>1</v>
      </c>
      <c r="S478" t="n">
        <v>1.05</v>
      </c>
      <c r="T478">
        <f>LN(SQRT(EXP(
SQRT(
+POWER(LN(M478),2)
+POWER(LN(N478),2)
+POWER(LN(O478),2)
+POWER(LN(P478),2)
+POWER(LN(Q478),2)
+POWER(LN(R478),2)
+POWER(LN(S478),2)
)
)))</f>
        <v>9.4886477223156879E-2</v>
      </c>
    </row>
    <row r="479"/>
    <row r="480">
      <c r="A480" s="1" t="inlineStr">
        <is>
          <t>Activity</t>
        </is>
      </c>
      <c r="B480" s="1" t="inlineStr">
        <is>
          <t>municipal waste incineration, at incineration plant, with wet air pollution control, with flue gas condensation, with electricity and heat recovery, economic allocation</t>
        </is>
      </c>
    </row>
    <row r="481">
      <c r="A481" t="inlineStr">
        <is>
          <t>location</t>
        </is>
      </c>
      <c r="B481" t="inlineStr">
        <is>
          <t>RER</t>
        </is>
      </c>
    </row>
    <row r="482">
      <c r="A482" t="inlineStr">
        <is>
          <t>production amount</t>
        </is>
      </c>
      <c r="B482" t="n">
        <v>1</v>
      </c>
    </row>
    <row r="483">
      <c r="A483" s="2" t="inlineStr">
        <is>
          <t>source</t>
        </is>
      </c>
      <c r="B483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484">
      <c r="A484" t="inlineStr">
        <is>
          <t>reference product</t>
        </is>
      </c>
      <c r="B484" t="inlineStr">
        <is>
          <t>heat, district or industrial, other than natural gas</t>
        </is>
      </c>
    </row>
    <row r="485">
      <c r="A485" t="inlineStr">
        <is>
          <t>type</t>
        </is>
      </c>
      <c r="B485" t="inlineStr">
        <is>
          <t>process</t>
        </is>
      </c>
    </row>
    <row r="486">
      <c r="A486" t="inlineStr">
        <is>
          <t>unit</t>
        </is>
      </c>
      <c r="B486" t="inlineStr">
        <is>
          <t>megajoule</t>
        </is>
      </c>
    </row>
    <row r="487">
      <c r="A487" t="inlineStr">
        <is>
          <t>comment</t>
        </is>
      </c>
      <c r="B487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Yes. Power production: Yes. Heat production: Yes. Carbon capture: No. Electricity production per ton MSWI incinerated: 618 kWh. Heat production per ton MSWI incinerated: 7'860 MJ.</t>
        </is>
      </c>
    </row>
    <row r="488">
      <c r="A488" s="1" t="inlineStr">
        <is>
          <t>Exchanges</t>
        </is>
      </c>
    </row>
    <row r="489">
      <c r="A489" s="7" t="inlineStr">
        <is>
          <t>name</t>
        </is>
      </c>
      <c r="B489" s="7" t="inlineStr">
        <is>
          <t>amount</t>
        </is>
      </c>
      <c r="C489" s="7" t="inlineStr">
        <is>
          <t>location</t>
        </is>
      </c>
      <c r="D489" s="7" t="inlineStr">
        <is>
          <t>unit</t>
        </is>
      </c>
      <c r="E489" s="7" t="inlineStr">
        <is>
          <t>categories</t>
        </is>
      </c>
      <c r="F489" s="7" t="inlineStr">
        <is>
          <t>type</t>
        </is>
      </c>
      <c r="G489" s="7" t="inlineStr">
        <is>
          <t>reference product</t>
        </is>
      </c>
      <c r="H489" s="7" t="inlineStr">
        <is>
          <t>comment</t>
        </is>
      </c>
      <c r="I489" s="7" t="inlineStr">
        <is>
          <t>normalization</t>
        </is>
      </c>
      <c r="J489" s="7" t="inlineStr">
        <is>
          <t>allocation</t>
        </is>
      </c>
      <c r="K489" s="7" t="inlineStr">
        <is>
          <t>uncertainty type</t>
        </is>
      </c>
      <c r="L489" s="7" t="inlineStr">
        <is>
          <t>loc</t>
        </is>
      </c>
      <c r="M489" s="1" t="inlineStr">
        <is>
          <t>u1</t>
        </is>
      </c>
      <c r="N489" s="1" t="inlineStr">
        <is>
          <t>u2</t>
        </is>
      </c>
      <c r="O489" s="1" t="inlineStr">
        <is>
          <t>u3</t>
        </is>
      </c>
      <c r="P489" s="1" t="inlineStr">
        <is>
          <t>u4</t>
        </is>
      </c>
      <c r="Q489" s="1" t="inlineStr">
        <is>
          <t>u5</t>
        </is>
      </c>
      <c r="R489" s="1" t="inlineStr">
        <is>
          <t>u6</t>
        </is>
      </c>
      <c r="S489" s="1" t="inlineStr">
        <is>
          <t>ub</t>
        </is>
      </c>
      <c r="T489" s="1" t="inlineStr">
        <is>
          <t>scale</t>
        </is>
      </c>
      <c r="U489" s="1" t="inlineStr">
        <is>
          <t>negative</t>
        </is>
      </c>
    </row>
    <row r="490">
      <c r="A490" t="inlineStr">
        <is>
          <t>municipal waste incineration, at incineration plant, with wet air pollution control, with flue gas condensation, with electricity and heat recovery, economic allocation</t>
        </is>
      </c>
      <c r="B490" t="n">
        <v>0</v>
      </c>
      <c r="C490" t="inlineStr">
        <is>
          <t>RER</t>
        </is>
      </c>
      <c r="D490" t="inlineStr">
        <is>
          <t>kilogram</t>
        </is>
      </c>
      <c r="F490" t="inlineStr">
        <is>
          <t>technosphere</t>
        </is>
      </c>
      <c r="G490" t="inlineStr">
        <is>
          <t>municipal solid waste</t>
        </is>
      </c>
      <c r="H490" t="inlineStr"/>
      <c r="I490" t="n">
        <v>7860</v>
      </c>
      <c r="J490" s="14">
        <f>INDEX('allocation keys'!$L$4:$N$30,MATCH('allocated (economic)'!$B$480,'allocation keys'!$B$4:$B$28,0),MATCH('allocated (economic)'!$B$484,'allocation keys'!$L$3:$N$3,0))</f>
        <v>0.30959140296377774</v>
      </c>
      <c r="K490" t="n">
        <v>0</v>
      </c>
      <c r="M490" s="5" t="n"/>
      <c r="N490" s="5" t="n"/>
      <c r="O490" s="5" t="n"/>
      <c r="P490" s="5" t="n"/>
      <c r="Q490" s="5" t="n"/>
      <c r="R490" s="5" t="n"/>
    </row>
    <row r="491">
      <c r="A491" t="inlineStr">
        <is>
          <t>municipal waste incineration, at incineration plant, with wet air pollution control, with flue gas condensation, with electricity and heat recovery, economic allocation</t>
        </is>
      </c>
      <c r="B491" s="6" t="n">
        <v>0</v>
      </c>
      <c r="C491" t="inlineStr">
        <is>
          <t>RER</t>
        </is>
      </c>
      <c r="D491" t="inlineStr">
        <is>
          <t>kilowatt hour</t>
        </is>
      </c>
      <c r="F491" t="inlineStr">
        <is>
          <t>technosphere</t>
        </is>
      </c>
      <c r="G491" t="inlineStr">
        <is>
          <t>electricity, medium voltage</t>
        </is>
      </c>
      <c r="H491" t="inlineStr"/>
      <c r="I491" t="n">
        <v>7860</v>
      </c>
      <c r="J491" s="11">
        <f>J490</f>
        <v>0.30959140296377774</v>
      </c>
      <c r="K491" t="n">
        <v>0</v>
      </c>
      <c r="L491" s="3" t="n"/>
    </row>
    <row r="492">
      <c r="A492" t="inlineStr">
        <is>
          <t>municipal waste incineration, at incineration plant, with wet air pollution control, with flue gas condensation, with electricity and heat recovery, economic allocation</t>
        </is>
      </c>
      <c r="B492" t="n">
        <v>1</v>
      </c>
      <c r="C492" t="inlineStr">
        <is>
          <t>RER</t>
        </is>
      </c>
      <c r="D492" t="inlineStr">
        <is>
          <t>megajoule</t>
        </is>
      </c>
      <c r="F492" t="inlineStr">
        <is>
          <t>production</t>
        </is>
      </c>
      <c r="G492" t="inlineStr">
        <is>
          <t>heat, district or industrial, other than natural gas</t>
        </is>
      </c>
      <c r="H492" t="inlineStr"/>
      <c r="I492" t="n">
        <v>7860</v>
      </c>
      <c r="J492" s="11">
        <f>J490</f>
        <v>0.30959140296377774</v>
      </c>
      <c r="K492" t="n">
        <v>0</v>
      </c>
      <c r="L492" s="3" t="n"/>
    </row>
    <row r="493">
      <c r="A493" t="inlineStr">
        <is>
          <t>market for diesel, low-sulfur</t>
        </is>
      </c>
      <c r="B493">
        <f>unallocated!B164/I493*J493</f>
        <v>3.3479986325599376E-6</v>
      </c>
      <c r="C493" t="inlineStr">
        <is>
          <t>Europe without Switzerland</t>
        </is>
      </c>
      <c r="D493" t="inlineStr">
        <is>
          <t>kilogram</t>
        </is>
      </c>
      <c r="F493" t="inlineStr">
        <is>
          <t>technosphere</t>
        </is>
      </c>
      <c r="G493" t="inlineStr">
        <is>
          <t>diesel, low-sulfur</t>
        </is>
      </c>
      <c r="H493" t="inlineStr">
        <is>
          <t>Diesel density: 0.85 kg/l</t>
        </is>
      </c>
      <c r="I493" t="n">
        <v>7860</v>
      </c>
      <c r="J493" s="11">
        <f>J490</f>
        <v>0.30959140296377774</v>
      </c>
      <c r="K493" t="n">
        <v>2</v>
      </c>
      <c r="L493" s="3">
        <f>LN(B493)</f>
        <v>-12.607147813772034</v>
      </c>
      <c r="M493" t="n">
        <v>1</v>
      </c>
      <c r="N493" t="n">
        <v>1</v>
      </c>
      <c r="O493" t="n">
        <v>1</v>
      </c>
      <c r="P493" t="n">
        <v>1.02</v>
      </c>
      <c r="Q493" t="n">
        <v>1.2</v>
      </c>
      <c r="R493" t="n">
        <v>1</v>
      </c>
      <c r="S493" t="n">
        <v>1.05</v>
      </c>
      <c r="T493">
        <f>LN(SQRT(EXP(
SQRT(
+POWER(LN(M493),2)
+POWER(LN(N493),2)
+POWER(LN(O493),2)
+POWER(LN(P493),2)
+POWER(LN(Q493),2)
+POWER(LN(R493),2)
+POWER(LN(S493),2)
)
)))</f>
        <v>9.4886477223156879E-2</v>
      </c>
    </row>
    <row r="494">
      <c r="A494" t="inlineStr">
        <is>
          <t>market for activated carbon, granular</t>
        </is>
      </c>
      <c r="B494">
        <f>unallocated!B165/I494*J494</f>
        <v>1.5755287682635002E-5</v>
      </c>
      <c r="C494" t="inlineStr">
        <is>
          <t>GLO</t>
        </is>
      </c>
      <c r="D494" t="inlineStr">
        <is>
          <t>kilogram</t>
        </is>
      </c>
      <c r="F494" t="inlineStr">
        <is>
          <t>technosphere</t>
        </is>
      </c>
      <c r="G494" t="inlineStr">
        <is>
          <t>activated carbon, granular</t>
        </is>
      </c>
      <c r="I494" t="n">
        <v>7860</v>
      </c>
      <c r="J494" s="11">
        <f>J490</f>
        <v>0.30959140296377774</v>
      </c>
      <c r="K494" t="n">
        <v>2</v>
      </c>
      <c r="L494" s="3">
        <f>LN(B494)</f>
        <v>-11.058334523154368</v>
      </c>
      <c r="M494" t="n">
        <v>1</v>
      </c>
      <c r="N494" t="n">
        <v>1</v>
      </c>
      <c r="O494" t="n">
        <v>1</v>
      </c>
      <c r="P494" t="n">
        <v>1.02</v>
      </c>
      <c r="Q494" t="n">
        <v>1.2</v>
      </c>
      <c r="R494" t="n">
        <v>1</v>
      </c>
      <c r="S494" t="n">
        <v>1.05</v>
      </c>
      <c r="T494">
        <f>LN(SQRT(EXP(
SQRT(
+POWER(LN(M494),2)
+POWER(LN(N494),2)
+POWER(LN(O494),2)
+POWER(LN(P494),2)
+POWER(LN(Q494),2)
+POWER(LN(R494),2)
+POWER(LN(S494),2)
)
)))</f>
        <v>9.4886477223156879E-2</v>
      </c>
    </row>
    <row r="495">
      <c r="A495" t="inlineStr">
        <is>
          <t>market for ammonia, anhydrous, liquid</t>
        </is>
      </c>
      <c r="B495">
        <f>unallocated!B166/I495*J495</f>
        <v>3.8600454822455749E-5</v>
      </c>
      <c r="C495" t="inlineStr">
        <is>
          <t>RER</t>
        </is>
      </c>
      <c r="D495" t="inlineStr">
        <is>
          <t>kilogram</t>
        </is>
      </c>
      <c r="F495" t="inlineStr">
        <is>
          <t>technosphere</t>
        </is>
      </c>
      <c r="G495" t="inlineStr">
        <is>
          <t>ammonia, anhydrous, liquid</t>
        </is>
      </c>
      <c r="H495" t="inlineStr">
        <is>
          <t>100% liquid ammonia. In original publication, it is dilluated to 23.5% in water. We discount the original value by 75%.</t>
        </is>
      </c>
      <c r="I495" t="n">
        <v>7860</v>
      </c>
      <c r="J495" s="11">
        <f>J490</f>
        <v>0.30959140296377774</v>
      </c>
      <c r="K495" t="n">
        <v>2</v>
      </c>
      <c r="L495" s="3">
        <f>LN(B495)</f>
        <v>-10.162246498597733</v>
      </c>
      <c r="M495" t="n">
        <v>1</v>
      </c>
      <c r="N495" t="n">
        <v>1</v>
      </c>
      <c r="O495" t="n">
        <v>1</v>
      </c>
      <c r="P495" t="n">
        <v>1.02</v>
      </c>
      <c r="Q495" t="n">
        <v>1.2</v>
      </c>
      <c r="R495" t="n">
        <v>1</v>
      </c>
      <c r="S495" t="n">
        <v>1.05</v>
      </c>
      <c r="T495">
        <f>LN(SQRT(EXP(
SQRT(
+POWER(LN(M495),2)
+POWER(LN(N495),2)
+POWER(LN(O495),2)
+POWER(LN(P495),2)
+POWER(LN(Q495),2)
+POWER(LN(R495),2)
+POWER(LN(S495),2)
)
)))</f>
        <v>9.4886477223156879E-2</v>
      </c>
    </row>
    <row r="496">
      <c r="A496" t="inlineStr">
        <is>
          <t>market for tap water</t>
        </is>
      </c>
      <c r="B496">
        <f>unallocated!B167/I496*J496</f>
        <v>1.1895242200389424E-4</v>
      </c>
      <c r="C496" t="inlineStr">
        <is>
          <t>Europe without Switzerland</t>
        </is>
      </c>
      <c r="D496" t="inlineStr">
        <is>
          <t>kilogram</t>
        </is>
      </c>
      <c r="F496" t="inlineStr">
        <is>
          <t>technosphere</t>
        </is>
      </c>
      <c r="G496" t="inlineStr">
        <is>
          <t>tap water</t>
        </is>
      </c>
      <c r="H496" t="inlineStr">
        <is>
          <t>Used to dilute the ammonia.</t>
        </is>
      </c>
      <c r="I496" t="n">
        <v>7860</v>
      </c>
      <c r="J496" s="11">
        <f>J490</f>
        <v>0.30959140296377774</v>
      </c>
      <c r="K496" t="n">
        <v>2</v>
      </c>
      <c r="L496" s="3">
        <f>LN(B496)</f>
        <v>-9.0367869598934352</v>
      </c>
      <c r="M496" t="n">
        <v>1</v>
      </c>
      <c r="N496" t="n">
        <v>1</v>
      </c>
      <c r="O496" t="n">
        <v>1</v>
      </c>
      <c r="P496" t="n">
        <v>1.02</v>
      </c>
      <c r="Q496" t="n">
        <v>1.2</v>
      </c>
      <c r="R496" t="n">
        <v>1</v>
      </c>
      <c r="S496" t="n">
        <v>1.05</v>
      </c>
      <c r="T496">
        <f>LN(SQRT(EXP(
SQRT(
+POWER(LN(M496),2)
+POWER(LN(N496),2)
+POWER(LN(O496),2)
+POWER(LN(P496),2)
+POWER(LN(Q496),2)
+POWER(LN(R496),2)
+POWER(LN(S496),2)
)
)))</f>
        <v>9.4886477223156879E-2</v>
      </c>
    </row>
    <row r="497">
      <c r="A497" t="inlineStr">
        <is>
          <t>market for calcium carbonate, precipitated</t>
        </is>
      </c>
      <c r="B497">
        <f>unallocated!B168/I497*J497</f>
        <v>2.757175344461125E-4</v>
      </c>
      <c r="C497" t="inlineStr">
        <is>
          <t>RER</t>
        </is>
      </c>
      <c r="D497" t="inlineStr">
        <is>
          <t>kilogram</t>
        </is>
      </c>
      <c r="F497" t="inlineStr">
        <is>
          <t>technosphere</t>
        </is>
      </c>
      <c r="G497" t="inlineStr">
        <is>
          <t>calcium carbonate, precipitated</t>
        </is>
      </c>
      <c r="I497" t="n">
        <v>7860</v>
      </c>
      <c r="J497" s="11">
        <f>J490</f>
        <v>0.30959140296377774</v>
      </c>
      <c r="K497" t="n">
        <v>0</v>
      </c>
      <c r="L497" s="3" t="n"/>
    </row>
    <row r="498">
      <c r="A498" t="inlineStr">
        <is>
          <t>market for iron(III) chloride, without water, in 40% solution state</t>
        </is>
      </c>
      <c r="B498">
        <f>unallocated!B169/I498*J498</f>
        <v>1.9694109603293752E-6</v>
      </c>
      <c r="C498" t="inlineStr">
        <is>
          <t>GLO</t>
        </is>
      </c>
      <c r="D498" t="inlineStr">
        <is>
          <t>kilogram</t>
        </is>
      </c>
      <c r="F498" t="inlineStr">
        <is>
          <t>technosphere</t>
        </is>
      </c>
      <c r="G498" t="inlineStr">
        <is>
          <t>iron(III) chloride, without water, in 40% solution state</t>
        </is>
      </c>
      <c r="I498" t="n">
        <v>7860</v>
      </c>
      <c r="J498" s="11">
        <f>J490</f>
        <v>0.30959140296377774</v>
      </c>
      <c r="K498" t="n">
        <v>0</v>
      </c>
      <c r="L498" s="3" t="n"/>
    </row>
    <row r="499">
      <c r="A499" t="inlineStr">
        <is>
          <t>market for lime, hydrated, packed</t>
        </is>
      </c>
      <c r="B499">
        <f>unallocated!B170/I499*J499</f>
        <v>0</v>
      </c>
      <c r="C499" t="inlineStr">
        <is>
          <t>RER</t>
        </is>
      </c>
      <c r="D499" t="inlineStr">
        <is>
          <t>kilogram</t>
        </is>
      </c>
      <c r="F499" t="inlineStr">
        <is>
          <t>technosphere</t>
        </is>
      </c>
      <c r="G499" t="inlineStr">
        <is>
          <t>lime, hydrated, packed</t>
        </is>
      </c>
      <c r="I499" t="n">
        <v>7860</v>
      </c>
      <c r="J499" s="11">
        <f>J490</f>
        <v>0.30959140296377774</v>
      </c>
      <c r="K499" t="n">
        <v>0</v>
      </c>
      <c r="L499" s="3" t="n"/>
    </row>
    <row r="500">
      <c r="A500" t="inlineStr">
        <is>
          <t>market for sodium hydroxide, without water, in 50% solution state</t>
        </is>
      </c>
      <c r="B500">
        <f>unallocated!B171/I500*J500</f>
        <v>1.9694109603293748E-5</v>
      </c>
      <c r="C500" t="inlineStr">
        <is>
          <t>RER</t>
        </is>
      </c>
      <c r="D500" t="inlineStr">
        <is>
          <t>kilogram</t>
        </is>
      </c>
      <c r="F500" t="inlineStr">
        <is>
          <t>technosphere</t>
        </is>
      </c>
      <c r="G500" t="inlineStr">
        <is>
          <t>sodium hydroxide, without water, in 50% solution state</t>
        </is>
      </c>
      <c r="H500" t="inlineStr">
        <is>
          <t>50% liquid ammonia. In original publication, it is dilluated to 27% in water. We discount the original value by 50%.</t>
        </is>
      </c>
      <c r="I500" t="n">
        <v>7860</v>
      </c>
      <c r="J500" s="11">
        <f>J490</f>
        <v>0.30959140296377774</v>
      </c>
      <c r="K500" t="n">
        <v>0</v>
      </c>
      <c r="L500" s="3" t="n"/>
    </row>
    <row r="501">
      <c r="A501" t="inlineStr">
        <is>
          <t>market for monoethanolamine</t>
        </is>
      </c>
      <c r="B501">
        <f>unallocated!B172/I501*J501</f>
        <v>0</v>
      </c>
      <c r="C501" t="inlineStr">
        <is>
          <t>GLO</t>
        </is>
      </c>
      <c r="D501" t="inlineStr">
        <is>
          <t>kilogram</t>
        </is>
      </c>
      <c r="F501" t="inlineStr">
        <is>
          <t>technosphere</t>
        </is>
      </c>
      <c r="G501" t="inlineStr">
        <is>
          <t>monoethanolamine</t>
        </is>
      </c>
      <c r="I501" t="n">
        <v>7860</v>
      </c>
      <c r="J501" s="11">
        <f>J490</f>
        <v>0.30959140296377774</v>
      </c>
      <c r="K501" t="n">
        <v>0</v>
      </c>
      <c r="L501" s="3" t="n"/>
    </row>
    <row r="502">
      <c r="A502" t="inlineStr">
        <is>
          <t>municipal waste incineration facility construction</t>
        </is>
      </c>
      <c r="B502">
        <f>unallocated!B173/I502*J502</f>
        <v>9.8470548016468743E-12</v>
      </c>
      <c r="C502" t="inlineStr">
        <is>
          <t>CH</t>
        </is>
      </c>
      <c r="D502" t="inlineStr">
        <is>
          <t>unit</t>
        </is>
      </c>
      <c r="F502" t="inlineStr">
        <is>
          <t>technosphere</t>
        </is>
      </c>
      <c r="G502" t="inlineStr">
        <is>
          <t>municipal waste incineration facility</t>
        </is>
      </c>
      <c r="H502" t="inlineStr">
        <is>
          <t>Lifetime: 4'000'000 tons MSWI treated.</t>
        </is>
      </c>
      <c r="I502" t="n">
        <v>7860</v>
      </c>
      <c r="J502" s="11">
        <f>J490</f>
        <v>0.30959140296377774</v>
      </c>
      <c r="K502" t="n">
        <v>2</v>
      </c>
      <c r="L502" s="3">
        <f>LN(B502)</f>
        <v>-25.343848710364377</v>
      </c>
      <c r="M502" t="n">
        <v>1</v>
      </c>
      <c r="N502" t="n">
        <v>1</v>
      </c>
      <c r="O502" t="n">
        <v>1</v>
      </c>
      <c r="P502" t="n">
        <v>1.02</v>
      </c>
      <c r="Q502" t="n">
        <v>1.2</v>
      </c>
      <c r="R502" t="n">
        <v>1</v>
      </c>
      <c r="S502" t="n">
        <v>3</v>
      </c>
      <c r="T502">
        <f>LN(SQRT(EXP(
SQRT(
+POWER(LN(M502),2)
+POWER(LN(N502),2)
+POWER(LN(O502),2)
+POWER(LN(P502),2)
+POWER(LN(Q502),2)
+POWER(LN(R502),2)
+POWER(LN(S502),2)
)
)))</f>
        <v>0.5569071410325479</v>
      </c>
    </row>
    <row r="503">
      <c r="A503" t="inlineStr">
        <is>
          <t>Water, cooling, unspecified natural origin</t>
        </is>
      </c>
      <c r="B503">
        <f>unallocated!B174/I503*J503</f>
        <v>0</v>
      </c>
      <c r="D503" t="inlineStr">
        <is>
          <t>cubic meter</t>
        </is>
      </c>
      <c r="E503" t="inlineStr">
        <is>
          <t>natural resource::in water</t>
        </is>
      </c>
      <c r="F503" t="inlineStr">
        <is>
          <t>biosphere</t>
        </is>
      </c>
      <c r="I503" t="n">
        <v>7860</v>
      </c>
      <c r="J503" s="11">
        <f>J490</f>
        <v>0.30959140296377774</v>
      </c>
      <c r="K503" t="n">
        <v>0</v>
      </c>
      <c r="L503" s="3" t="n"/>
    </row>
    <row r="504">
      <c r="A504" t="inlineStr">
        <is>
          <t>Sulfur dioxide</t>
        </is>
      </c>
      <c r="B504">
        <f>unallocated!B175/I504*J504</f>
        <v>2.3632931523952499E-7</v>
      </c>
      <c r="D504" t="inlineStr">
        <is>
          <t>kilogram</t>
        </is>
      </c>
      <c r="E504" t="inlineStr">
        <is>
          <t>air::urban air close to ground</t>
        </is>
      </c>
      <c r="F504" t="inlineStr">
        <is>
          <t>biosphere</t>
        </is>
      </c>
      <c r="I504" t="n">
        <v>7860</v>
      </c>
      <c r="J504" s="11">
        <f>J490</f>
        <v>0.30959140296377774</v>
      </c>
      <c r="K504" t="n">
        <v>2</v>
      </c>
      <c r="L504" s="3">
        <f>LN(B504)</f>
        <v>-15.258039601034294</v>
      </c>
      <c r="M504" t="n">
        <v>1</v>
      </c>
      <c r="N504" t="n">
        <v>1</v>
      </c>
      <c r="O504" t="n">
        <v>1</v>
      </c>
      <c r="P504" t="n">
        <v>1.02</v>
      </c>
      <c r="Q504" t="n">
        <v>1.2</v>
      </c>
      <c r="R504" t="n">
        <v>1</v>
      </c>
      <c r="S504" t="n">
        <v>1.05</v>
      </c>
      <c r="T504">
        <f>LN(SQRT(EXP(
SQRT(
+POWER(LN(M504),2)
+POWER(LN(N504),2)
+POWER(LN(O504),2)
+POWER(LN(P504),2)
+POWER(LN(Q504),2)
+POWER(LN(R504),2)
+POWER(LN(S504),2)
)
)))</f>
        <v>9.4886477223156879E-2</v>
      </c>
    </row>
    <row r="505">
      <c r="A505" t="inlineStr">
        <is>
          <t>Hydrochloric acid</t>
        </is>
      </c>
      <c r="B505">
        <f>unallocated!B176/I505*J505</f>
        <v>1.1816465761976249E-7</v>
      </c>
      <c r="D505" t="inlineStr">
        <is>
          <t>kilogram</t>
        </is>
      </c>
      <c r="E505" t="inlineStr">
        <is>
          <t>air</t>
        </is>
      </c>
      <c r="F505" t="inlineStr">
        <is>
          <t>biosphere</t>
        </is>
      </c>
      <c r="I505" t="n">
        <v>7860</v>
      </c>
      <c r="J505" s="11">
        <f>J490</f>
        <v>0.30959140296377774</v>
      </c>
      <c r="K505" t="n">
        <v>2</v>
      </c>
      <c r="L505" s="3">
        <f>LN(B505)</f>
        <v>-15.95118678159424</v>
      </c>
      <c r="M505" t="n">
        <v>1</v>
      </c>
      <c r="N505" t="n">
        <v>1</v>
      </c>
      <c r="O505" t="n">
        <v>1</v>
      </c>
      <c r="P505" t="n">
        <v>1.02</v>
      </c>
      <c r="Q505" t="n">
        <v>1.2</v>
      </c>
      <c r="R505" t="n">
        <v>1</v>
      </c>
      <c r="S505" t="n">
        <v>1.5</v>
      </c>
      <c r="T505">
        <f>LN(SQRT(EXP(
SQRT(
+POWER(LN(M505),2)
+POWER(LN(N505),2)
+POWER(LN(O505),2)
+POWER(LN(P505),2)
+POWER(LN(Q505),2)
+POWER(LN(R505),2)
+POWER(LN(S505),2)
)
)))</f>
        <v>0.22250575723605889</v>
      </c>
    </row>
    <row r="506">
      <c r="A506" t="inlineStr">
        <is>
          <t>Nitrogen oxides</t>
        </is>
      </c>
      <c r="B506">
        <f>unallocated!B177/I506*J506</f>
        <v>2.6665824402859736E-5</v>
      </c>
      <c r="D506" t="inlineStr">
        <is>
          <t>kilogram</t>
        </is>
      </c>
      <c r="E506" t="inlineStr">
        <is>
          <t>air::urban air close to ground</t>
        </is>
      </c>
      <c r="F506" t="inlineStr">
        <is>
          <t>biosphere</t>
        </is>
      </c>
      <c r="I506" t="n">
        <v>7860</v>
      </c>
      <c r="J506" s="11">
        <f>J490</f>
        <v>0.30959140296377774</v>
      </c>
      <c r="K506" t="n">
        <v>2</v>
      </c>
      <c r="L506" s="3">
        <f>LN(B506)</f>
        <v>-10.532127797350075</v>
      </c>
      <c r="M506" t="n">
        <v>1</v>
      </c>
      <c r="N506" t="n">
        <v>1</v>
      </c>
      <c r="O506" t="n">
        <v>1</v>
      </c>
      <c r="P506" t="n">
        <v>1.02</v>
      </c>
      <c r="Q506" t="n">
        <v>1.2</v>
      </c>
      <c r="R506" t="n">
        <v>1</v>
      </c>
      <c r="S506" t="n">
        <v>1.5</v>
      </c>
      <c r="T506">
        <f>LN(SQRT(EXP(
SQRT(
+POWER(LN(M506),2)
+POWER(LN(N506),2)
+POWER(LN(O506),2)
+POWER(LN(P506),2)
+POWER(LN(Q506),2)
+POWER(LN(R506),2)
+POWER(LN(S506),2)
)
)))</f>
        <v>0.22250575723605889</v>
      </c>
    </row>
    <row r="507">
      <c r="A507" t="inlineStr">
        <is>
          <t>Ammonia</t>
        </is>
      </c>
      <c r="B507">
        <f>unallocated!B178/I507*J507</f>
        <v>3.93882192065875E-8</v>
      </c>
      <c r="D507" t="inlineStr">
        <is>
          <t>kilogram</t>
        </is>
      </c>
      <c r="E507" t="inlineStr">
        <is>
          <t>air::urban air close to ground</t>
        </is>
      </c>
      <c r="F507" t="inlineStr">
        <is>
          <t>biosphere</t>
        </is>
      </c>
      <c r="I507" t="n">
        <v>7860</v>
      </c>
      <c r="J507" s="11">
        <f>J490</f>
        <v>0.30959140296377774</v>
      </c>
      <c r="K507" t="n">
        <v>2</v>
      </c>
      <c r="L507" s="3">
        <f>LN(B507)</f>
        <v>-17.049799070262349</v>
      </c>
      <c r="M507" t="n">
        <v>1</v>
      </c>
      <c r="N507" t="n">
        <v>1</v>
      </c>
      <c r="O507" t="n">
        <v>1</v>
      </c>
      <c r="P507" t="n">
        <v>1.02</v>
      </c>
      <c r="Q507" t="n">
        <v>1.2</v>
      </c>
      <c r="R507" t="n">
        <v>1</v>
      </c>
      <c r="S507" t="n">
        <v>1.5</v>
      </c>
      <c r="T507">
        <f>LN(SQRT(EXP(
SQRT(
+POWER(LN(M507),2)
+POWER(LN(N507),2)
+POWER(LN(O507),2)
+POWER(LN(P507),2)
+POWER(LN(Q507),2)
+POWER(LN(R507),2)
+POWER(LN(S507),2)
)
)))</f>
        <v>0.22250575723605889</v>
      </c>
    </row>
    <row r="508">
      <c r="A508" t="inlineStr">
        <is>
          <t>Particulate Matter, &lt; 2.5 um</t>
        </is>
      </c>
      <c r="B508">
        <f>unallocated!B179/I508*J508</f>
        <v>2.3632931523952499E-7</v>
      </c>
      <c r="D508" t="inlineStr">
        <is>
          <t>kilogram</t>
        </is>
      </c>
      <c r="E508" t="inlineStr">
        <is>
          <t>air::urban air close to ground</t>
        </is>
      </c>
      <c r="F508" t="inlineStr">
        <is>
          <t>biosphere</t>
        </is>
      </c>
      <c r="I508" t="n">
        <v>7860</v>
      </c>
      <c r="J508" s="11">
        <f>J490</f>
        <v>0.30959140296377774</v>
      </c>
      <c r="K508" t="n">
        <v>2</v>
      </c>
      <c r="L508" s="3">
        <f>LN(B508)</f>
        <v>-15.258039601034294</v>
      </c>
      <c r="M508" t="n">
        <v>1</v>
      </c>
      <c r="N508" t="n">
        <v>1</v>
      </c>
      <c r="O508" t="n">
        <v>1</v>
      </c>
      <c r="P508" t="n">
        <v>1.02</v>
      </c>
      <c r="Q508" t="n">
        <v>1.2</v>
      </c>
      <c r="R508" t="n">
        <v>1</v>
      </c>
      <c r="S508" t="n">
        <v>3</v>
      </c>
      <c r="T508">
        <f>LN(SQRT(EXP(
SQRT(
+POWER(LN(M508),2)
+POWER(LN(N508),2)
+POWER(LN(O508),2)
+POWER(LN(P508),2)
+POWER(LN(Q508),2)
+POWER(LN(R508),2)
+POWER(LN(S508),2)
)
)))</f>
        <v>0.5569071410325479</v>
      </c>
    </row>
    <row r="509">
      <c r="A509" t="inlineStr">
        <is>
          <t>Mercury II</t>
        </is>
      </c>
      <c r="B509">
        <f>unallocated!B180/I509*J509</f>
        <v>2.3632931523952498E-10</v>
      </c>
      <c r="D509" t="inlineStr">
        <is>
          <t>kilogram</t>
        </is>
      </c>
      <c r="E509" t="inlineStr">
        <is>
          <t>air::urban air close to ground</t>
        </is>
      </c>
      <c r="F509" t="inlineStr">
        <is>
          <t>biosphere</t>
        </is>
      </c>
      <c r="I509" t="n">
        <v>7860</v>
      </c>
      <c r="J509" s="11">
        <f>J490</f>
        <v>0.30959140296377774</v>
      </c>
      <c r="K509" t="n">
        <v>2</v>
      </c>
      <c r="L509" s="3">
        <f>LN(B509)</f>
        <v>-22.165794880016431</v>
      </c>
      <c r="M509" t="n">
        <v>1</v>
      </c>
      <c r="N509" t="n">
        <v>1</v>
      </c>
      <c r="O509" t="n">
        <v>1</v>
      </c>
      <c r="P509" t="n">
        <v>1.02</v>
      </c>
      <c r="Q509" t="n">
        <v>1.2</v>
      </c>
      <c r="R509" t="n">
        <v>1</v>
      </c>
      <c r="S509" t="n">
        <v>5</v>
      </c>
      <c r="T509">
        <f>LN(SQRT(EXP(
SQRT(
+POWER(LN(M509),2)
+POWER(LN(N509),2)
+POWER(LN(O509),2)
+POWER(LN(P509),2)
+POWER(LN(Q509),2)
+POWER(LN(R509),2)
+POWER(LN(S509),2)
)
)))</f>
        <v>0.80992649174166365</v>
      </c>
    </row>
    <row r="510">
      <c r="A510" t="inlineStr">
        <is>
          <t>Lead II</t>
        </is>
      </c>
      <c r="B510">
        <f>unallocated!B181/I510*J510</f>
        <v>2.3632931523952498E-10</v>
      </c>
      <c r="D510" t="inlineStr">
        <is>
          <t>kilogram</t>
        </is>
      </c>
      <c r="E510" t="inlineStr">
        <is>
          <t>air::urban air close to ground</t>
        </is>
      </c>
      <c r="F510" t="inlineStr">
        <is>
          <t>biosphere</t>
        </is>
      </c>
      <c r="I510" t="n">
        <v>7860</v>
      </c>
      <c r="J510" s="11">
        <f>J490</f>
        <v>0.30959140296377774</v>
      </c>
      <c r="K510" t="n">
        <v>2</v>
      </c>
      <c r="L510" s="3">
        <f>LN(B510)</f>
        <v>-22.165794880016431</v>
      </c>
      <c r="M510" t="n">
        <v>1</v>
      </c>
      <c r="N510" t="n">
        <v>1</v>
      </c>
      <c r="O510" t="n">
        <v>1</v>
      </c>
      <c r="P510" t="n">
        <v>1.02</v>
      </c>
      <c r="Q510" t="n">
        <v>1.2</v>
      </c>
      <c r="R510" t="n">
        <v>1</v>
      </c>
      <c r="S510" t="n">
        <v>5</v>
      </c>
      <c r="T510">
        <f>LN(SQRT(EXP(
SQRT(
+POWER(LN(M510),2)
+POWER(LN(N510),2)
+POWER(LN(O510),2)
+POWER(LN(P510),2)
+POWER(LN(Q510),2)
+POWER(LN(R510),2)
+POWER(LN(S510),2)
)
)))</f>
        <v>0.80992649174166365</v>
      </c>
    </row>
    <row r="511">
      <c r="A511" t="inlineStr">
        <is>
          <t>Cadmium II</t>
        </is>
      </c>
      <c r="B511">
        <f>unallocated!B182/I511*J511</f>
        <v>1.1816465761976249E-10</v>
      </c>
      <c r="D511" t="inlineStr">
        <is>
          <t>kilogram</t>
        </is>
      </c>
      <c r="E511" t="inlineStr">
        <is>
          <t>air::urban air close to ground</t>
        </is>
      </c>
      <c r="F511" t="inlineStr">
        <is>
          <t>biosphere</t>
        </is>
      </c>
      <c r="I511" t="n">
        <v>7860</v>
      </c>
      <c r="J511" s="11">
        <f>J490</f>
        <v>0.30959140296377774</v>
      </c>
      <c r="K511" t="n">
        <v>2</v>
      </c>
      <c r="L511" s="3">
        <f>LN(B511)</f>
        <v>-22.858942060576378</v>
      </c>
      <c r="M511" t="n">
        <v>1</v>
      </c>
      <c r="N511" t="n">
        <v>1</v>
      </c>
      <c r="O511" t="n">
        <v>1</v>
      </c>
      <c r="P511" t="n">
        <v>1.02</v>
      </c>
      <c r="Q511" t="n">
        <v>1.2</v>
      </c>
      <c r="R511" t="n">
        <v>1</v>
      </c>
      <c r="S511" t="n">
        <v>5</v>
      </c>
      <c r="T511">
        <f>LN(SQRT(EXP(
SQRT(
+POWER(LN(M511),2)
+POWER(LN(N511),2)
+POWER(LN(O511),2)
+POWER(LN(P511),2)
+POWER(LN(Q511),2)
+POWER(LN(R511),2)
+POWER(LN(S511),2)
)
)))</f>
        <v>0.80992649174166365</v>
      </c>
    </row>
    <row r="512">
      <c r="A512" t="inlineStr">
        <is>
          <t>Arsenic ion</t>
        </is>
      </c>
      <c r="B512">
        <f>unallocated!B183/I512*J512</f>
        <v>1.1816465761976249E-10</v>
      </c>
      <c r="D512" t="inlineStr">
        <is>
          <t>kilogram</t>
        </is>
      </c>
      <c r="E512" t="inlineStr">
        <is>
          <t>air::urban air close to ground</t>
        </is>
      </c>
      <c r="F512" t="inlineStr">
        <is>
          <t>biosphere</t>
        </is>
      </c>
      <c r="I512" t="n">
        <v>7860</v>
      </c>
      <c r="J512" s="11">
        <f>J490</f>
        <v>0.30959140296377774</v>
      </c>
      <c r="K512" t="n">
        <v>2</v>
      </c>
      <c r="L512" s="3">
        <f>LN(B512)</f>
        <v>-22.858942060576378</v>
      </c>
      <c r="M512" t="n">
        <v>1</v>
      </c>
      <c r="N512" t="n">
        <v>1</v>
      </c>
      <c r="O512" t="n">
        <v>1</v>
      </c>
      <c r="P512" t="n">
        <v>1.02</v>
      </c>
      <c r="Q512" t="n">
        <v>1.2</v>
      </c>
      <c r="R512" t="n">
        <v>1</v>
      </c>
      <c r="S512" t="n">
        <v>5</v>
      </c>
      <c r="T512">
        <f>LN(SQRT(EXP(
SQRT(
+POWER(LN(M512),2)
+POWER(LN(N512),2)
+POWER(LN(O512),2)
+POWER(LN(P512),2)
+POWER(LN(Q512),2)
+POWER(LN(R512),2)
+POWER(LN(S512),2)
)
)))</f>
        <v>0.80992649174166365</v>
      </c>
    </row>
    <row r="513">
      <c r="A513" t="inlineStr">
        <is>
          <t>Dioxins, measured as 2,3,7,8-tetrachlorodibenzo-p-dioxin</t>
        </is>
      </c>
      <c r="B513">
        <f>unallocated!B184/I513*J513</f>
        <v>4.332704112724625E-15</v>
      </c>
      <c r="D513" t="inlineStr">
        <is>
          <t>kilogram</t>
        </is>
      </c>
      <c r="E513" t="inlineStr">
        <is>
          <t>air::urban air close to ground</t>
        </is>
      </c>
      <c r="F513" t="inlineStr">
        <is>
          <t>biosphere</t>
        </is>
      </c>
      <c r="I513" t="n">
        <v>7860</v>
      </c>
      <c r="J513" s="11">
        <f>J490</f>
        <v>0.30959140296377774</v>
      </c>
      <c r="K513" t="n">
        <v>2</v>
      </c>
      <c r="L513" s="3">
        <f>LN(B513)</f>
        <v>-33.072584541416347</v>
      </c>
      <c r="M513" t="n">
        <v>1</v>
      </c>
      <c r="N513" t="n">
        <v>1</v>
      </c>
      <c r="O513" t="n">
        <v>1</v>
      </c>
      <c r="P513" t="n">
        <v>1.02</v>
      </c>
      <c r="Q513" t="n">
        <v>1.2</v>
      </c>
      <c r="R513" t="n">
        <v>1</v>
      </c>
      <c r="S513" t="n">
        <v>5</v>
      </c>
      <c r="T513">
        <f>LN(SQRT(EXP(
SQRT(
+POWER(LN(M513),2)
+POWER(LN(N513),2)
+POWER(LN(O513),2)
+POWER(LN(P513),2)
+POWER(LN(Q513),2)
+POWER(LN(R513),2)
+POWER(LN(S513),2)
)
)))</f>
        <v>0.80992649174166365</v>
      </c>
    </row>
    <row r="514">
      <c r="A514" t="inlineStr">
        <is>
          <t>Carbon dioxide, fossil</t>
        </is>
      </c>
      <c r="B514">
        <f>unallocated!B185/I514*J514</f>
        <v>1.4731193983263726E-2</v>
      </c>
      <c r="D514" t="inlineStr">
        <is>
          <t>kilogram</t>
        </is>
      </c>
      <c r="E514" t="inlineStr">
        <is>
          <t>air::urban air close to ground</t>
        </is>
      </c>
      <c r="F514" t="inlineStr">
        <is>
          <t>biosphere</t>
        </is>
      </c>
      <c r="I514" t="n">
        <v>7860</v>
      </c>
      <c r="J514" s="11">
        <f>J490</f>
        <v>0.30959140296377774</v>
      </c>
      <c r="K514" t="n">
        <v>2</v>
      </c>
      <c r="L514" s="3">
        <f>LN(B514)</f>
        <v>-4.2177879938656808</v>
      </c>
      <c r="M514" t="n">
        <v>1</v>
      </c>
      <c r="N514" t="n">
        <v>1</v>
      </c>
      <c r="O514" t="n">
        <v>1</v>
      </c>
      <c r="P514" t="n">
        <v>1.02</v>
      </c>
      <c r="Q514" t="n">
        <v>1.2</v>
      </c>
      <c r="R514" t="n">
        <v>1</v>
      </c>
      <c r="S514" t="n">
        <v>1.05</v>
      </c>
      <c r="T514">
        <f>LN(SQRT(EXP(
SQRT(
+POWER(LN(M514),2)
+POWER(LN(N514),2)
+POWER(LN(O514),2)
+POWER(LN(P514),2)
+POWER(LN(Q514),2)
+POWER(LN(R514),2)
+POWER(LN(S514),2)
)
)))</f>
        <v>9.4886477223156879E-2</v>
      </c>
    </row>
    <row r="515">
      <c r="A515" t="inlineStr">
        <is>
          <t>Carbon dioxide, non-fossil</t>
        </is>
      </c>
      <c r="B515">
        <f>unallocated!B186/I515*J515</f>
        <v>2.3396602208712973E-2</v>
      </c>
      <c r="D515" t="inlineStr">
        <is>
          <t>kilogram</t>
        </is>
      </c>
      <c r="E515" t="inlineStr">
        <is>
          <t>air::urban air close to ground</t>
        </is>
      </c>
      <c r="F515" t="inlineStr">
        <is>
          <t>biosphere</t>
        </is>
      </c>
      <c r="I515" t="n">
        <v>7860</v>
      </c>
      <c r="J515" s="11">
        <f>J490</f>
        <v>0.30959140296377774</v>
      </c>
      <c r="K515" t="n">
        <v>2</v>
      </c>
      <c r="L515" s="3">
        <f>LN(B515)</f>
        <v>-3.7551644719175683</v>
      </c>
      <c r="M515" t="n">
        <v>1</v>
      </c>
      <c r="N515" t="n">
        <v>1</v>
      </c>
      <c r="O515" t="n">
        <v>1</v>
      </c>
      <c r="P515" t="n">
        <v>1.02</v>
      </c>
      <c r="Q515" t="n">
        <v>1.2</v>
      </c>
      <c r="R515" t="n">
        <v>1</v>
      </c>
      <c r="S515" t="n">
        <v>1.05</v>
      </c>
      <c r="T515">
        <f>LN(SQRT(EXP(
SQRT(
+POWER(LN(M515),2)
+POWER(LN(N515),2)
+POWER(LN(O515),2)
+POWER(LN(P515),2)
+POWER(LN(Q515),2)
+POWER(LN(R515),2)
+POWER(LN(S515),2)
)
)))</f>
        <v>9.4886477223156879E-2</v>
      </c>
    </row>
    <row r="516"/>
    <row r="517">
      <c r="A517" s="1" t="inlineStr">
        <is>
          <t>Activity</t>
        </is>
      </c>
      <c r="B517" s="1" t="inlineStr">
        <is>
          <t>municipal waste incineration, at incineration plant, with semi-dry air pollution control, with flue gas condensation, with electricity recovery only, with carbon capture and storage, economic allocation</t>
        </is>
      </c>
    </row>
    <row r="518">
      <c r="A518" t="inlineStr">
        <is>
          <t>location</t>
        </is>
      </c>
      <c r="B518" t="inlineStr">
        <is>
          <t>RER</t>
        </is>
      </c>
    </row>
    <row r="519">
      <c r="A519" t="inlineStr">
        <is>
          <t>production amount</t>
        </is>
      </c>
      <c r="B519" t="n">
        <v>1</v>
      </c>
    </row>
    <row r="520">
      <c r="A520" s="2" t="inlineStr">
        <is>
          <t>source</t>
        </is>
      </c>
      <c r="B52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521">
      <c r="A521" t="inlineStr">
        <is>
          <t>reference product</t>
        </is>
      </c>
      <c r="B521" t="inlineStr">
        <is>
          <t>municipal solid waste</t>
        </is>
      </c>
    </row>
    <row r="522">
      <c r="A522" t="inlineStr">
        <is>
          <t>type</t>
        </is>
      </c>
      <c r="B522" t="inlineStr">
        <is>
          <t>process</t>
        </is>
      </c>
    </row>
    <row r="523">
      <c r="A523" t="inlineStr">
        <is>
          <t>unit</t>
        </is>
      </c>
      <c r="B523" t="inlineStr">
        <is>
          <t>kilogram</t>
        </is>
      </c>
    </row>
    <row r="524">
      <c r="A524" t="inlineStr">
        <is>
          <t>comment</t>
        </is>
      </c>
      <c r="B52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Yes. Electricity production per ton MSWI incinerated: 478 kWh.</t>
        </is>
      </c>
    </row>
    <row r="525">
      <c r="A525" s="1" t="inlineStr">
        <is>
          <t>Exchanges</t>
        </is>
      </c>
    </row>
    <row r="526">
      <c r="A526" s="7" t="inlineStr">
        <is>
          <t>name</t>
        </is>
      </c>
      <c r="B526" s="7" t="inlineStr">
        <is>
          <t>amount</t>
        </is>
      </c>
      <c r="C526" s="7" t="inlineStr">
        <is>
          <t>location</t>
        </is>
      </c>
      <c r="D526" s="7" t="inlineStr">
        <is>
          <t>unit</t>
        </is>
      </c>
      <c r="E526" s="7" t="inlineStr">
        <is>
          <t>categories</t>
        </is>
      </c>
      <c r="F526" s="7" t="inlineStr">
        <is>
          <t>type</t>
        </is>
      </c>
      <c r="G526" s="7" t="inlineStr">
        <is>
          <t>reference product</t>
        </is>
      </c>
      <c r="H526" s="7" t="inlineStr">
        <is>
          <t>comment</t>
        </is>
      </c>
      <c r="I526" s="7" t="inlineStr">
        <is>
          <t>normalization</t>
        </is>
      </c>
      <c r="J526" s="7" t="inlineStr">
        <is>
          <t>allocation</t>
        </is>
      </c>
      <c r="K526" s="7" t="inlineStr">
        <is>
          <t>uncertainty type</t>
        </is>
      </c>
      <c r="L526" s="7" t="inlineStr">
        <is>
          <t>loc</t>
        </is>
      </c>
      <c r="M526" s="1" t="inlineStr">
        <is>
          <t>u1</t>
        </is>
      </c>
      <c r="N526" s="1" t="inlineStr">
        <is>
          <t>u2</t>
        </is>
      </c>
      <c r="O526" s="1" t="inlineStr">
        <is>
          <t>u3</t>
        </is>
      </c>
      <c r="P526" s="1" t="inlineStr">
        <is>
          <t>u4</t>
        </is>
      </c>
      <c r="Q526" s="1" t="inlineStr">
        <is>
          <t>u5</t>
        </is>
      </c>
      <c r="R526" s="1" t="inlineStr">
        <is>
          <t>u6</t>
        </is>
      </c>
      <c r="S526" s="1" t="inlineStr">
        <is>
          <t>ub</t>
        </is>
      </c>
      <c r="T526" s="1" t="inlineStr">
        <is>
          <t>scale</t>
        </is>
      </c>
      <c r="U526" s="1" t="inlineStr">
        <is>
          <t>negative</t>
        </is>
      </c>
    </row>
    <row r="527">
      <c r="A527" t="inlineStr">
        <is>
          <t>municipal waste incineration, at incineration plant, with semi-dry air pollution control, with flue gas condensation, with electricity recovery only, with carbon capture and storage, economic allocation</t>
        </is>
      </c>
      <c r="B527" t="n">
        <v>1</v>
      </c>
      <c r="C527" t="inlineStr">
        <is>
          <t>RER</t>
        </is>
      </c>
      <c r="D527" t="inlineStr">
        <is>
          <t>kilogram</t>
        </is>
      </c>
      <c r="F527" t="inlineStr">
        <is>
          <t>production</t>
        </is>
      </c>
      <c r="G527" t="inlineStr">
        <is>
          <t>municipal solid waste</t>
        </is>
      </c>
      <c r="H527" t="inlineStr"/>
      <c r="I527" t="n">
        <v>1000</v>
      </c>
      <c r="J527" s="14">
        <f>INDEX('allocation keys'!$L$4:$N$30,MATCH('allocated (economic)'!$B$517,'allocation keys'!$B$4:$B$28,0),MATCH('allocated (economic)'!$B$521,'allocation keys'!$L$3:$N$3,0))</f>
        <v>0.72176949941792778</v>
      </c>
      <c r="K527" t="n">
        <v>0</v>
      </c>
      <c r="M527" s="5" t="n"/>
      <c r="N527" s="5" t="n"/>
      <c r="O527" s="5" t="n"/>
      <c r="P527" s="5" t="n"/>
      <c r="Q527" s="5" t="n"/>
      <c r="R527" s="5" t="n"/>
    </row>
    <row r="528">
      <c r="A528" t="inlineStr">
        <is>
          <t>municipal waste incineration, at incineration plant, with semi-dry air pollution control, with flue gas condensation, with electricity recovery only, with carbon capture and storage, economic allocation</t>
        </is>
      </c>
      <c r="B528" s="6" t="n">
        <v>0</v>
      </c>
      <c r="C528" t="inlineStr">
        <is>
          <t>RER</t>
        </is>
      </c>
      <c r="D528" t="inlineStr">
        <is>
          <t>kilowatt hour</t>
        </is>
      </c>
      <c r="F528" t="inlineStr">
        <is>
          <t>technosphere</t>
        </is>
      </c>
      <c r="G528" t="inlineStr">
        <is>
          <t>electricity, medium voltage</t>
        </is>
      </c>
      <c r="H528" t="inlineStr"/>
      <c r="I528" t="n">
        <v>1000</v>
      </c>
      <c r="J528" s="11">
        <f>J527</f>
        <v>0.72176949941792778</v>
      </c>
      <c r="K528" t="n">
        <v>0</v>
      </c>
      <c r="L528" s="3" t="n"/>
    </row>
    <row r="529">
      <c r="A529" t="inlineStr">
        <is>
          <t>market for diesel, low-sulfur</t>
        </is>
      </c>
      <c r="B529">
        <f>unallocated!B201/I529*J529</f>
        <v>6.1350407450523869E-5</v>
      </c>
      <c r="C529" t="inlineStr">
        <is>
          <t>Europe without Switzerland</t>
        </is>
      </c>
      <c r="D529" t="inlineStr">
        <is>
          <t>kilogram</t>
        </is>
      </c>
      <c r="F529" t="inlineStr">
        <is>
          <t>technosphere</t>
        </is>
      </c>
      <c r="G529" t="inlineStr">
        <is>
          <t>diesel, low-sulfur</t>
        </is>
      </c>
      <c r="H529" t="inlineStr">
        <is>
          <t>Diesel density: 0.85 kg/l</t>
        </is>
      </c>
      <c r="I529" t="n">
        <v>1000</v>
      </c>
      <c r="J529" s="11">
        <f>J527</f>
        <v>0.72176949941792778</v>
      </c>
      <c r="K529" t="n">
        <v>2</v>
      </c>
      <c r="L529" s="3">
        <f>LN(B529)</f>
        <v>-9.6989087454190752</v>
      </c>
      <c r="M529" t="n">
        <v>1</v>
      </c>
      <c r="N529" t="n">
        <v>1</v>
      </c>
      <c r="O529" t="n">
        <v>1</v>
      </c>
      <c r="P529" t="n">
        <v>1.02</v>
      </c>
      <c r="Q529" t="n">
        <v>1.2</v>
      </c>
      <c r="R529" t="n">
        <v>1</v>
      </c>
      <c r="S529" t="n">
        <v>1.05</v>
      </c>
      <c r="T529">
        <f>LN(SQRT(EXP(
SQRT(
+POWER(LN(M529),2)
+POWER(LN(N529),2)
+POWER(LN(O529),2)
+POWER(LN(P529),2)
+POWER(LN(Q529),2)
+POWER(LN(R529),2)
+POWER(LN(S529),2)
)
)))</f>
        <v>9.4886477223156879E-2</v>
      </c>
    </row>
    <row r="530">
      <c r="A530" t="inlineStr">
        <is>
          <t>market for activated carbon, granular</t>
        </is>
      </c>
      <c r="B530">
        <f>unallocated!B202/I530*J530</f>
        <v>2.8870779976717113E-4</v>
      </c>
      <c r="C530" t="inlineStr">
        <is>
          <t>GLO</t>
        </is>
      </c>
      <c r="D530" t="inlineStr">
        <is>
          <t>kilogram</t>
        </is>
      </c>
      <c r="F530" t="inlineStr">
        <is>
          <t>technosphere</t>
        </is>
      </c>
      <c r="G530" t="inlineStr">
        <is>
          <t>activated carbon, granular</t>
        </is>
      </c>
      <c r="I530" t="n">
        <v>1000</v>
      </c>
      <c r="J530" s="11">
        <f>J527</f>
        <v>0.72176949941792778</v>
      </c>
      <c r="K530" t="n">
        <v>2</v>
      </c>
      <c r="L530" s="3">
        <f>LN(B530)</f>
        <v>-8.1500954548014111</v>
      </c>
      <c r="M530" t="n">
        <v>1</v>
      </c>
      <c r="N530" t="n">
        <v>1</v>
      </c>
      <c r="O530" t="n">
        <v>1</v>
      </c>
      <c r="P530" t="n">
        <v>1.02</v>
      </c>
      <c r="Q530" t="n">
        <v>1.2</v>
      </c>
      <c r="R530" t="n">
        <v>1</v>
      </c>
      <c r="S530" t="n">
        <v>1.05</v>
      </c>
      <c r="T530">
        <f>LN(SQRT(EXP(
SQRT(
+POWER(LN(M530),2)
+POWER(LN(N530),2)
+POWER(LN(O530),2)
+POWER(LN(P530),2)
+POWER(LN(Q530),2)
+POWER(LN(R530),2)
+POWER(LN(S530),2)
)
)))</f>
        <v>9.4886477223156879E-2</v>
      </c>
    </row>
    <row r="531">
      <c r="A531" t="inlineStr">
        <is>
          <t>market for ammonia, anhydrous, liquid</t>
        </is>
      </c>
      <c r="B531">
        <f>unallocated!B203/I531*J531</f>
        <v>7.0733410942956925E-4</v>
      </c>
      <c r="C531" t="inlineStr">
        <is>
          <t>RER</t>
        </is>
      </c>
      <c r="D531" t="inlineStr">
        <is>
          <t>kilogram</t>
        </is>
      </c>
      <c r="F531" t="inlineStr">
        <is>
          <t>technosphere</t>
        </is>
      </c>
      <c r="G531" t="inlineStr">
        <is>
          <t>ammonia, anhydrous, liquid</t>
        </is>
      </c>
      <c r="H531" t="inlineStr">
        <is>
          <t>100% liquid ammonia. In original publication, it is dilluated to 23.5% in water. We discount the original value by 75%.</t>
        </is>
      </c>
      <c r="I531" t="n">
        <v>1000</v>
      </c>
      <c r="J531" s="11">
        <f>J527</f>
        <v>0.72176949941792778</v>
      </c>
      <c r="K531" t="n">
        <v>2</v>
      </c>
      <c r="L531" s="3">
        <f>LN(B531)</f>
        <v>-7.2540074302447746</v>
      </c>
      <c r="M531" t="n">
        <v>1</v>
      </c>
      <c r="N531" t="n">
        <v>1</v>
      </c>
      <c r="O531" t="n">
        <v>1</v>
      </c>
      <c r="P531" t="n">
        <v>1.02</v>
      </c>
      <c r="Q531" t="n">
        <v>1.2</v>
      </c>
      <c r="R531" t="n">
        <v>1</v>
      </c>
      <c r="S531" t="n">
        <v>1.05</v>
      </c>
      <c r="T531">
        <f>LN(SQRT(EXP(
SQRT(
+POWER(LN(M531),2)
+POWER(LN(N531),2)
+POWER(LN(O531),2)
+POWER(LN(P531),2)
+POWER(LN(Q531),2)
+POWER(LN(R531),2)
+POWER(LN(S531),2)
)
)))</f>
        <v>9.4886477223156879E-2</v>
      </c>
    </row>
    <row r="532">
      <c r="A532" t="inlineStr">
        <is>
          <t>market for tap water</t>
        </is>
      </c>
      <c r="B532">
        <f>unallocated!B204/I532*J532</f>
        <v>2.1797438882421418E-3</v>
      </c>
      <c r="C532" t="inlineStr">
        <is>
          <t>Europe without Switzerland</t>
        </is>
      </c>
      <c r="D532" t="inlineStr">
        <is>
          <t>kilogram</t>
        </is>
      </c>
      <c r="F532" t="inlineStr">
        <is>
          <t>technosphere</t>
        </is>
      </c>
      <c r="G532" t="inlineStr">
        <is>
          <t>tap water</t>
        </is>
      </c>
      <c r="H532" t="inlineStr">
        <is>
          <t>Used to dilute the ammonia.</t>
        </is>
      </c>
      <c r="I532" t="n">
        <v>1000</v>
      </c>
      <c r="J532" s="11">
        <f>J527</f>
        <v>0.72176949941792778</v>
      </c>
      <c r="K532" t="n">
        <v>2</v>
      </c>
      <c r="L532" s="3">
        <f>LN(B532)</f>
        <v>-6.1285478915404772</v>
      </c>
      <c r="M532" t="n">
        <v>1</v>
      </c>
      <c r="N532" t="n">
        <v>1</v>
      </c>
      <c r="O532" t="n">
        <v>1</v>
      </c>
      <c r="P532" t="n">
        <v>1.02</v>
      </c>
      <c r="Q532" t="n">
        <v>1.2</v>
      </c>
      <c r="R532" t="n">
        <v>1</v>
      </c>
      <c r="S532" t="n">
        <v>1.05</v>
      </c>
      <c r="T532">
        <f>LN(SQRT(EXP(
SQRT(
+POWER(LN(M532),2)
+POWER(LN(N532),2)
+POWER(LN(O532),2)
+POWER(LN(P532),2)
+POWER(LN(Q532),2)
+POWER(LN(R532),2)
+POWER(LN(S532),2)
)
)))</f>
        <v>9.4886477223156879E-2</v>
      </c>
    </row>
    <row r="533">
      <c r="A533" t="inlineStr">
        <is>
          <t>market for calcium carbonate, precipitated</t>
        </is>
      </c>
      <c r="B533">
        <f>unallocated!B205/I533*J533</f>
        <v>0</v>
      </c>
      <c r="C533" t="inlineStr">
        <is>
          <t>RER</t>
        </is>
      </c>
      <c r="D533" t="inlineStr">
        <is>
          <t>kilogram</t>
        </is>
      </c>
      <c r="F533" t="inlineStr">
        <is>
          <t>technosphere</t>
        </is>
      </c>
      <c r="G533" t="inlineStr">
        <is>
          <t>calcium carbonate, precipitated</t>
        </is>
      </c>
      <c r="I533" t="n">
        <v>1000</v>
      </c>
      <c r="J533" s="11">
        <f>J527</f>
        <v>0.72176949941792778</v>
      </c>
      <c r="K533" t="n">
        <v>0</v>
      </c>
      <c r="L533" s="3" t="n"/>
    </row>
    <row r="534">
      <c r="A534" t="inlineStr">
        <is>
          <t>market for iron(III) chloride, without water, in 40% solution state</t>
        </is>
      </c>
      <c r="B534">
        <f>unallocated!B206/I534*J534</f>
        <v>0</v>
      </c>
      <c r="C534" t="inlineStr">
        <is>
          <t>GLO</t>
        </is>
      </c>
      <c r="D534" t="inlineStr">
        <is>
          <t>kilogram</t>
        </is>
      </c>
      <c r="F534" t="inlineStr">
        <is>
          <t>technosphere</t>
        </is>
      </c>
      <c r="G534" t="inlineStr">
        <is>
          <t>iron(III) chloride, without water, in 40% solution state</t>
        </is>
      </c>
      <c r="I534" t="n">
        <v>1000</v>
      </c>
      <c r="J534" s="11">
        <f>J527</f>
        <v>0.72176949941792778</v>
      </c>
      <c r="K534" t="n">
        <v>0</v>
      </c>
      <c r="L534" s="3" t="n"/>
    </row>
    <row r="535">
      <c r="A535" t="inlineStr">
        <is>
          <t>market for lime, hydrated, packed</t>
        </is>
      </c>
      <c r="B535">
        <f>unallocated!B207/I535*J535</f>
        <v>7.2176949941792782E-3</v>
      </c>
      <c r="C535" t="inlineStr">
        <is>
          <t>RER</t>
        </is>
      </c>
      <c r="D535" t="inlineStr">
        <is>
          <t>kilogram</t>
        </is>
      </c>
      <c r="F535" t="inlineStr">
        <is>
          <t>technosphere</t>
        </is>
      </c>
      <c r="G535" t="inlineStr">
        <is>
          <t>lime, hydrated, packed</t>
        </is>
      </c>
      <c r="I535" t="n">
        <v>1000</v>
      </c>
      <c r="J535" s="11">
        <f>J527</f>
        <v>0.72176949941792778</v>
      </c>
      <c r="K535" t="n">
        <v>2</v>
      </c>
      <c r="L535" s="3">
        <f>LN(B535)</f>
        <v>-4.9312196299332092</v>
      </c>
      <c r="M535" t="n">
        <v>1</v>
      </c>
      <c r="N535" t="n">
        <v>1</v>
      </c>
      <c r="O535" t="n">
        <v>1</v>
      </c>
      <c r="P535" t="n">
        <v>1.02</v>
      </c>
      <c r="Q535" t="n">
        <v>1.2</v>
      </c>
      <c r="R535" t="n">
        <v>1</v>
      </c>
      <c r="S535" t="n">
        <v>1.05</v>
      </c>
      <c r="T535">
        <f>LN(SQRT(EXP(
SQRT(
+POWER(LN(M535),2)
+POWER(LN(N535),2)
+POWER(LN(O535),2)
+POWER(LN(P535),2)
+POWER(LN(Q535),2)
+POWER(LN(R535),2)
+POWER(LN(S535),2)
)
)))</f>
        <v>9.4886477223156879E-2</v>
      </c>
    </row>
    <row r="536">
      <c r="A536" t="inlineStr">
        <is>
          <t>market for sodium hydroxide, without water, in 50% solution state</t>
        </is>
      </c>
      <c r="B536">
        <f>unallocated!B208/I536*J536</f>
        <v>3.6088474970896392E-4</v>
      </c>
      <c r="C536" t="inlineStr">
        <is>
          <t>RER</t>
        </is>
      </c>
      <c r="D536" t="inlineStr">
        <is>
          <t>kilogram</t>
        </is>
      </c>
      <c r="F536" t="inlineStr">
        <is>
          <t>technosphere</t>
        </is>
      </c>
      <c r="G536" t="inlineStr">
        <is>
          <t>sodium hydroxide, without water, in 50% solution state</t>
        </is>
      </c>
      <c r="H536" t="inlineStr">
        <is>
          <t>50% liquid ammonia. In original publication, it is dilluated to 27% in water. We discount the original value by 50%.</t>
        </is>
      </c>
      <c r="I536" t="n">
        <v>1000</v>
      </c>
      <c r="J536" s="11">
        <f>J527</f>
        <v>0.72176949941792778</v>
      </c>
      <c r="K536" t="n">
        <v>0</v>
      </c>
      <c r="L536" s="3" t="n"/>
    </row>
    <row r="537">
      <c r="A537" t="inlineStr">
        <is>
          <t>market for monoethanolamine</t>
        </is>
      </c>
      <c r="B537">
        <f>unallocated!B209/I537*J537</f>
        <v>2.8870779976717113E-3</v>
      </c>
      <c r="C537" t="inlineStr">
        <is>
          <t>GLO</t>
        </is>
      </c>
      <c r="D537" t="inlineStr">
        <is>
          <t>kilogram</t>
        </is>
      </c>
      <c r="F537" t="inlineStr">
        <is>
          <t>technosphere</t>
        </is>
      </c>
      <c r="G537" t="inlineStr">
        <is>
          <t>monoethanolamine</t>
        </is>
      </c>
      <c r="I537" t="n">
        <v>1000</v>
      </c>
      <c r="J537" s="11">
        <f>J527</f>
        <v>0.72176949941792778</v>
      </c>
      <c r="K537" t="n">
        <v>0</v>
      </c>
      <c r="L537" s="3" t="n"/>
    </row>
    <row r="538">
      <c r="A538" t="inlineStr">
        <is>
          <t>municipal waste incineration facility construction</t>
        </is>
      </c>
      <c r="B538">
        <f>unallocated!B210/I538*J538</f>
        <v>1.8044237485448193E-10</v>
      </c>
      <c r="C538" t="inlineStr">
        <is>
          <t>CH</t>
        </is>
      </c>
      <c r="D538" t="inlineStr">
        <is>
          <t>unit</t>
        </is>
      </c>
      <c r="F538" t="inlineStr">
        <is>
          <t>technosphere</t>
        </is>
      </c>
      <c r="G538" t="inlineStr">
        <is>
          <t>municipal waste incineration facility</t>
        </is>
      </c>
      <c r="H538" t="inlineStr">
        <is>
          <t>Lifetime: 4'000'000 tons MSWI treated.</t>
        </is>
      </c>
      <c r="I538" t="n">
        <v>1000</v>
      </c>
      <c r="J538" s="11">
        <f>J527</f>
        <v>0.72176949941792778</v>
      </c>
      <c r="K538" t="n">
        <v>2</v>
      </c>
      <c r="L538" s="3">
        <f>LN(B538)</f>
        <v>-22.435609642011421</v>
      </c>
      <c r="M538" t="n">
        <v>1</v>
      </c>
      <c r="N538" t="n">
        <v>1</v>
      </c>
      <c r="O538" t="n">
        <v>1</v>
      </c>
      <c r="P538" t="n">
        <v>1.02</v>
      </c>
      <c r="Q538" t="n">
        <v>1.2</v>
      </c>
      <c r="R538" t="n">
        <v>1</v>
      </c>
      <c r="S538" t="n">
        <v>3</v>
      </c>
      <c r="T538">
        <f>LN(SQRT(EXP(
SQRT(
+POWER(LN(M538),2)
+POWER(LN(N538),2)
+POWER(LN(O538),2)
+POWER(LN(P538),2)
+POWER(LN(Q538),2)
+POWER(LN(R538),2)
+POWER(LN(S538),2)
)
)))</f>
        <v>0.5569071410325479</v>
      </c>
    </row>
    <row r="539">
      <c r="A539" t="inlineStr">
        <is>
          <t>carbon dioxide storage at wood burning power plant 20 MW post, pipeline 200km, storage 1000m</t>
        </is>
      </c>
      <c r="B539">
        <f>unallocated!B211/I539*J539</f>
        <v>0.59401629802095457</v>
      </c>
      <c r="C539" t="inlineStr">
        <is>
          <t>RER</t>
        </is>
      </c>
      <c r="D539" t="inlineStr">
        <is>
          <t>kilogram</t>
        </is>
      </c>
      <c r="F539" t="inlineStr">
        <is>
          <t>technosphere</t>
        </is>
      </c>
      <c r="G539" t="inlineStr">
        <is>
          <t>carbon dioxide storage at wood burning power plant 20 MW post, pipeline 200km, storage 1000m</t>
        </is>
      </c>
      <c r="I539" t="n">
        <v>1000</v>
      </c>
      <c r="J539" s="11">
        <f>J527</f>
        <v>0.72176949941792778</v>
      </c>
      <c r="K539" t="n">
        <v>2</v>
      </c>
      <c r="L539" s="3">
        <f>LN(B539)</f>
        <v>-0.52084852225018541</v>
      </c>
      <c r="M539" t="n">
        <v>1</v>
      </c>
      <c r="N539" t="n">
        <v>1</v>
      </c>
      <c r="O539" t="n">
        <v>1</v>
      </c>
      <c r="P539" t="n">
        <v>1.02</v>
      </c>
      <c r="Q539" t="n">
        <v>1.2</v>
      </c>
      <c r="R539" t="n">
        <v>1</v>
      </c>
      <c r="S539" t="n">
        <v>3</v>
      </c>
      <c r="T539">
        <f>LN(SQRT(EXP(
SQRT(
+POWER(LN(M539),2)
+POWER(LN(N539),2)
+POWER(LN(O539),2)
+POWER(LN(P539),2)
+POWER(LN(Q539),2)
+POWER(LN(R539),2)
+POWER(LN(S539),2)
)
)))</f>
        <v>0.5569071410325479</v>
      </c>
    </row>
    <row r="540">
      <c r="A540" t="inlineStr">
        <is>
          <t>Water, cooling, unspecified natural origin</t>
        </is>
      </c>
      <c r="B540">
        <f>unallocated!B212/I540*J540</f>
        <v>0</v>
      </c>
      <c r="D540" t="inlineStr">
        <is>
          <t>cubic meter</t>
        </is>
      </c>
      <c r="E540" t="inlineStr">
        <is>
          <t>natural resource::in water</t>
        </is>
      </c>
      <c r="F540" t="inlineStr">
        <is>
          <t>biosphere</t>
        </is>
      </c>
      <c r="I540" t="n">
        <v>1000</v>
      </c>
      <c r="J540" s="11">
        <f>J527</f>
        <v>0.72176949941792778</v>
      </c>
      <c r="K540" t="n">
        <v>0</v>
      </c>
      <c r="L540" s="3" t="n"/>
    </row>
    <row r="541">
      <c r="A541" t="inlineStr">
        <is>
          <t>Sulfur dioxide</t>
        </is>
      </c>
      <c r="B541">
        <f>unallocated!B213/I541*J541</f>
        <v>4.3306169965075666E-6</v>
      </c>
      <c r="D541" t="inlineStr">
        <is>
          <t>kilogram</t>
        </is>
      </c>
      <c r="E541" t="inlineStr">
        <is>
          <t>air::urban air close to ground</t>
        </is>
      </c>
      <c r="F541" t="inlineStr">
        <is>
          <t>biosphere</t>
        </is>
      </c>
      <c r="I541" t="n">
        <v>1000</v>
      </c>
      <c r="J541" s="11">
        <f>J527</f>
        <v>0.72176949941792778</v>
      </c>
      <c r="K541" t="n">
        <v>2</v>
      </c>
      <c r="L541" s="3">
        <f>LN(B541)</f>
        <v>-12.349800532681337</v>
      </c>
      <c r="M541" t="n">
        <v>1</v>
      </c>
      <c r="N541" t="n">
        <v>1</v>
      </c>
      <c r="O541" t="n">
        <v>1</v>
      </c>
      <c r="P541" t="n">
        <v>1.02</v>
      </c>
      <c r="Q541" t="n">
        <v>1.2</v>
      </c>
      <c r="R541" t="n">
        <v>1</v>
      </c>
      <c r="S541" t="n">
        <v>1.05</v>
      </c>
      <c r="T541">
        <f>LN(SQRT(EXP(
SQRT(
+POWER(LN(M541),2)
+POWER(LN(N541),2)
+POWER(LN(O541),2)
+POWER(LN(P541),2)
+POWER(LN(Q541),2)
+POWER(LN(R541),2)
+POWER(LN(S541),2)
)
)))</f>
        <v>9.4886477223156879E-2</v>
      </c>
    </row>
    <row r="542">
      <c r="A542" t="inlineStr">
        <is>
          <t>Hydrochloric acid</t>
        </is>
      </c>
      <c r="B542">
        <f>unallocated!B214/I542*J542</f>
        <v>2.1653084982537833E-6</v>
      </c>
      <c r="D542" t="inlineStr">
        <is>
          <t>kilogram</t>
        </is>
      </c>
      <c r="E542" t="inlineStr">
        <is>
          <t>air</t>
        </is>
      </c>
      <c r="F542" t="inlineStr">
        <is>
          <t>biosphere</t>
        </is>
      </c>
      <c r="I542" t="n">
        <v>1000</v>
      </c>
      <c r="J542" s="11">
        <f>J527</f>
        <v>0.72176949941792778</v>
      </c>
      <c r="K542" t="n">
        <v>2</v>
      </c>
      <c r="L542" s="3">
        <f>LN(B542)</f>
        <v>-13.042947713241283</v>
      </c>
      <c r="M542" t="n">
        <v>1</v>
      </c>
      <c r="N542" t="n">
        <v>1</v>
      </c>
      <c r="O542" t="n">
        <v>1</v>
      </c>
      <c r="P542" t="n">
        <v>1.02</v>
      </c>
      <c r="Q542" t="n">
        <v>1.2</v>
      </c>
      <c r="R542" t="n">
        <v>1</v>
      </c>
      <c r="S542" t="n">
        <v>1.5</v>
      </c>
      <c r="T542">
        <f>LN(SQRT(EXP(
SQRT(
+POWER(LN(M542),2)
+POWER(LN(N542),2)
+POWER(LN(O542),2)
+POWER(LN(P542),2)
+POWER(LN(Q542),2)
+POWER(LN(R542),2)
+POWER(LN(S542),2)
)
)))</f>
        <v>0.22250575723605889</v>
      </c>
    </row>
    <row r="543">
      <c r="A543" t="inlineStr">
        <is>
          <t>Nitrogen oxides</t>
        </is>
      </c>
      <c r="B543">
        <f>unallocated!B215/I543*J543</f>
        <v>4.8863795110593716E-4</v>
      </c>
      <c r="D543" t="inlineStr">
        <is>
          <t>kilogram</t>
        </is>
      </c>
      <c r="E543" t="inlineStr">
        <is>
          <t>air::urban air close to ground</t>
        </is>
      </c>
      <c r="F543" t="inlineStr">
        <is>
          <t>biosphere</t>
        </is>
      </c>
      <c r="I543" t="n">
        <v>1000</v>
      </c>
      <c r="J543" s="11">
        <f>J527</f>
        <v>0.72176949941792778</v>
      </c>
      <c r="K543" t="n">
        <v>2</v>
      </c>
      <c r="L543" s="3">
        <f>LN(B543)</f>
        <v>-7.6238887289971169</v>
      </c>
      <c r="M543" t="n">
        <v>1</v>
      </c>
      <c r="N543" t="n">
        <v>1</v>
      </c>
      <c r="O543" t="n">
        <v>1</v>
      </c>
      <c r="P543" t="n">
        <v>1.02</v>
      </c>
      <c r="Q543" t="n">
        <v>1.2</v>
      </c>
      <c r="R543" t="n">
        <v>1</v>
      </c>
      <c r="S543" t="n">
        <v>1.5</v>
      </c>
      <c r="T543">
        <f>LN(SQRT(EXP(
SQRT(
+POWER(LN(M543),2)
+POWER(LN(N543),2)
+POWER(LN(O543),2)
+POWER(LN(P543),2)
+POWER(LN(Q543),2)
+POWER(LN(R543),2)
+POWER(LN(S543),2)
)
)))</f>
        <v>0.22250575723605889</v>
      </c>
    </row>
    <row r="544">
      <c r="A544" t="inlineStr">
        <is>
          <t>Ammonia</t>
        </is>
      </c>
      <c r="B544">
        <f>unallocated!B216/I544*J544</f>
        <v>1.4435389988358557E-5</v>
      </c>
      <c r="D544" t="inlineStr">
        <is>
          <t>kilogram</t>
        </is>
      </c>
      <c r="E544" t="inlineStr">
        <is>
          <t>air::urban air close to ground</t>
        </is>
      </c>
      <c r="F544" t="inlineStr">
        <is>
          <t>biosphere</t>
        </is>
      </c>
      <c r="I544" t="n">
        <v>1000</v>
      </c>
      <c r="J544" s="11">
        <f>J527</f>
        <v>0.72176949941792778</v>
      </c>
      <c r="K544" t="n">
        <v>2</v>
      </c>
      <c r="L544" s="3">
        <f>LN(B544)</f>
        <v>-11.145827728355401</v>
      </c>
      <c r="M544" t="n">
        <v>1</v>
      </c>
      <c r="N544" t="n">
        <v>1</v>
      </c>
      <c r="O544" t="n">
        <v>1</v>
      </c>
      <c r="P544" t="n">
        <v>1.02</v>
      </c>
      <c r="Q544" t="n">
        <v>1.2</v>
      </c>
      <c r="R544" t="n">
        <v>1</v>
      </c>
      <c r="S544" t="n">
        <v>1.5</v>
      </c>
      <c r="T544">
        <f>LN(SQRT(EXP(
SQRT(
+POWER(LN(M544),2)
+POWER(LN(N544),2)
+POWER(LN(O544),2)
+POWER(LN(P544),2)
+POWER(LN(Q544),2)
+POWER(LN(R544),2)
+POWER(LN(S544),2)
)
)))</f>
        <v>0.22250575723605889</v>
      </c>
    </row>
    <row r="545">
      <c r="A545" t="inlineStr">
        <is>
          <t>Particulate Matter, &lt; 2.5 um</t>
        </is>
      </c>
      <c r="B545">
        <f>unallocated!B217/I545*J545</f>
        <v>4.3306169965075666E-6</v>
      </c>
      <c r="D545" t="inlineStr">
        <is>
          <t>kilogram</t>
        </is>
      </c>
      <c r="E545" t="inlineStr">
        <is>
          <t>air::urban air close to ground</t>
        </is>
      </c>
      <c r="F545" t="inlineStr">
        <is>
          <t>biosphere</t>
        </is>
      </c>
      <c r="I545" t="n">
        <v>1000</v>
      </c>
      <c r="J545" s="11">
        <f>J527</f>
        <v>0.72176949941792778</v>
      </c>
      <c r="K545" t="n">
        <v>2</v>
      </c>
      <c r="L545" s="3">
        <f>LN(B545)</f>
        <v>-12.349800532681337</v>
      </c>
      <c r="M545" t="n">
        <v>1</v>
      </c>
      <c r="N545" t="n">
        <v>1</v>
      </c>
      <c r="O545" t="n">
        <v>1</v>
      </c>
      <c r="P545" t="n">
        <v>1.02</v>
      </c>
      <c r="Q545" t="n">
        <v>1.2</v>
      </c>
      <c r="R545" t="n">
        <v>1</v>
      </c>
      <c r="S545" t="n">
        <v>3</v>
      </c>
      <c r="T545">
        <f>LN(SQRT(EXP(
SQRT(
+POWER(LN(M545),2)
+POWER(LN(N545),2)
+POWER(LN(O545),2)
+POWER(LN(P545),2)
+POWER(LN(Q545),2)
+POWER(LN(R545),2)
+POWER(LN(S545),2)
)
)))</f>
        <v>0.5569071410325479</v>
      </c>
    </row>
    <row r="546">
      <c r="A546" t="inlineStr">
        <is>
          <t>Mercury II</t>
        </is>
      </c>
      <c r="B546">
        <f>unallocated!B218/I546*J546</f>
        <v>4.3306169965075669E-9</v>
      </c>
      <c r="D546" t="inlineStr">
        <is>
          <t>kilogram</t>
        </is>
      </c>
      <c r="E546" t="inlineStr">
        <is>
          <t>air::urban air close to ground</t>
        </is>
      </c>
      <c r="F546" t="inlineStr">
        <is>
          <t>biosphere</t>
        </is>
      </c>
      <c r="I546" t="n">
        <v>1000</v>
      </c>
      <c r="J546" s="11">
        <f>J527</f>
        <v>0.72176949941792778</v>
      </c>
      <c r="K546" t="n">
        <v>2</v>
      </c>
      <c r="L546" s="3">
        <f>LN(B546)</f>
        <v>-19.257555811663476</v>
      </c>
      <c r="M546" t="n">
        <v>1</v>
      </c>
      <c r="N546" t="n">
        <v>1</v>
      </c>
      <c r="O546" t="n">
        <v>1</v>
      </c>
      <c r="P546" t="n">
        <v>1.02</v>
      </c>
      <c r="Q546" t="n">
        <v>1.2</v>
      </c>
      <c r="R546" t="n">
        <v>1</v>
      </c>
      <c r="S546" t="n">
        <v>5</v>
      </c>
      <c r="T546">
        <f>LN(SQRT(EXP(
SQRT(
+POWER(LN(M546),2)
+POWER(LN(N546),2)
+POWER(LN(O546),2)
+POWER(LN(P546),2)
+POWER(LN(Q546),2)
+POWER(LN(R546),2)
+POWER(LN(S546),2)
)
)))</f>
        <v>0.80992649174166365</v>
      </c>
    </row>
    <row r="547">
      <c r="A547" t="inlineStr">
        <is>
          <t>Lead II</t>
        </is>
      </c>
      <c r="B547">
        <f>unallocated!B219/I547*J547</f>
        <v>4.3306169965075669E-9</v>
      </c>
      <c r="D547" t="inlineStr">
        <is>
          <t>kilogram</t>
        </is>
      </c>
      <c r="E547" t="inlineStr">
        <is>
          <t>air::urban air close to ground</t>
        </is>
      </c>
      <c r="F547" t="inlineStr">
        <is>
          <t>biosphere</t>
        </is>
      </c>
      <c r="I547" t="n">
        <v>1000</v>
      </c>
      <c r="J547" s="11">
        <f>J527</f>
        <v>0.72176949941792778</v>
      </c>
      <c r="K547" t="n">
        <v>2</v>
      </c>
      <c r="L547" s="3">
        <f>LN(B547)</f>
        <v>-19.257555811663476</v>
      </c>
      <c r="M547" t="n">
        <v>1</v>
      </c>
      <c r="N547" t="n">
        <v>1</v>
      </c>
      <c r="O547" t="n">
        <v>1</v>
      </c>
      <c r="P547" t="n">
        <v>1.02</v>
      </c>
      <c r="Q547" t="n">
        <v>1.2</v>
      </c>
      <c r="R547" t="n">
        <v>1</v>
      </c>
      <c r="S547" t="n">
        <v>5</v>
      </c>
      <c r="T547">
        <f>LN(SQRT(EXP(
SQRT(
+POWER(LN(M547),2)
+POWER(LN(N547),2)
+POWER(LN(O547),2)
+POWER(LN(P547),2)
+POWER(LN(Q547),2)
+POWER(LN(R547),2)
+POWER(LN(S547),2)
)
)))</f>
        <v>0.80992649174166365</v>
      </c>
    </row>
    <row r="548">
      <c r="A548" t="inlineStr">
        <is>
          <t>Cadmium II</t>
        </is>
      </c>
      <c r="B548">
        <f>unallocated!B220/I548*J548</f>
        <v>2.1653084982537834E-9</v>
      </c>
      <c r="D548" t="inlineStr">
        <is>
          <t>kilogram</t>
        </is>
      </c>
      <c r="E548" t="inlineStr">
        <is>
          <t>air::urban air close to ground</t>
        </is>
      </c>
      <c r="F548" t="inlineStr">
        <is>
          <t>biosphere</t>
        </is>
      </c>
      <c r="I548" t="n">
        <v>1000</v>
      </c>
      <c r="J548" s="11">
        <f>J527</f>
        <v>0.72176949941792778</v>
      </c>
      <c r="K548" t="n">
        <v>2</v>
      </c>
      <c r="L548" s="3">
        <f>LN(B548)</f>
        <v>-19.95070299222342</v>
      </c>
      <c r="M548" t="n">
        <v>1</v>
      </c>
      <c r="N548" t="n">
        <v>1</v>
      </c>
      <c r="O548" t="n">
        <v>1</v>
      </c>
      <c r="P548" t="n">
        <v>1.02</v>
      </c>
      <c r="Q548" t="n">
        <v>1.2</v>
      </c>
      <c r="R548" t="n">
        <v>1</v>
      </c>
      <c r="S548" t="n">
        <v>5</v>
      </c>
      <c r="T548">
        <f>LN(SQRT(EXP(
SQRT(
+POWER(LN(M548),2)
+POWER(LN(N548),2)
+POWER(LN(O548),2)
+POWER(LN(P548),2)
+POWER(LN(Q548),2)
+POWER(LN(R548),2)
+POWER(LN(S548),2)
)
)))</f>
        <v>0.80992649174166365</v>
      </c>
    </row>
    <row r="549">
      <c r="A549" t="inlineStr">
        <is>
          <t>Arsenic ion</t>
        </is>
      </c>
      <c r="B549">
        <f>unallocated!B221/I549*J549</f>
        <v>2.1653084982537834E-9</v>
      </c>
      <c r="D549" t="inlineStr">
        <is>
          <t>kilogram</t>
        </is>
      </c>
      <c r="E549" t="inlineStr">
        <is>
          <t>air::urban air close to ground</t>
        </is>
      </c>
      <c r="F549" t="inlineStr">
        <is>
          <t>biosphere</t>
        </is>
      </c>
      <c r="I549" t="n">
        <v>1000</v>
      </c>
      <c r="J549" s="11">
        <f>J527</f>
        <v>0.72176949941792778</v>
      </c>
      <c r="K549" t="n">
        <v>2</v>
      </c>
      <c r="L549" s="3">
        <f>LN(B549)</f>
        <v>-19.95070299222342</v>
      </c>
      <c r="M549" t="n">
        <v>1</v>
      </c>
      <c r="N549" t="n">
        <v>1</v>
      </c>
      <c r="O549" t="n">
        <v>1</v>
      </c>
      <c r="P549" t="n">
        <v>1.02</v>
      </c>
      <c r="Q549" t="n">
        <v>1.2</v>
      </c>
      <c r="R549" t="n">
        <v>1</v>
      </c>
      <c r="S549" t="n">
        <v>5</v>
      </c>
      <c r="T549">
        <f>LN(SQRT(EXP(
SQRT(
+POWER(LN(M549),2)
+POWER(LN(N549),2)
+POWER(LN(O549),2)
+POWER(LN(P549),2)
+POWER(LN(Q549),2)
+POWER(LN(R549),2)
+POWER(LN(S549),2)
)
)))</f>
        <v>0.80992649174166365</v>
      </c>
    </row>
    <row r="550">
      <c r="A550" t="inlineStr">
        <is>
          <t>Dioxins, measured as 2,3,7,8-tetrachlorodibenzo-p-dioxin</t>
        </is>
      </c>
      <c r="B550">
        <f>unallocated!B222/I550*J550</f>
        <v>7.9394644935972067E-14</v>
      </c>
      <c r="D550" t="inlineStr">
        <is>
          <t>kilogram</t>
        </is>
      </c>
      <c r="E550" t="inlineStr">
        <is>
          <t>air::urban air close to ground</t>
        </is>
      </c>
      <c r="F550" t="inlineStr">
        <is>
          <t>biosphere</t>
        </is>
      </c>
      <c r="I550" t="n">
        <v>1000</v>
      </c>
      <c r="J550" s="11">
        <f>J527</f>
        <v>0.72176949941792778</v>
      </c>
      <c r="K550" t="n">
        <v>2</v>
      </c>
      <c r="L550" s="3">
        <f>LN(B550)</f>
        <v>-30.164345473063388</v>
      </c>
      <c r="M550" t="n">
        <v>1</v>
      </c>
      <c r="N550" t="n">
        <v>1</v>
      </c>
      <c r="O550" t="n">
        <v>1</v>
      </c>
      <c r="P550" t="n">
        <v>1.02</v>
      </c>
      <c r="Q550" t="n">
        <v>1.2</v>
      </c>
      <c r="R550" t="n">
        <v>1</v>
      </c>
      <c r="S550" t="n">
        <v>5</v>
      </c>
      <c r="T550">
        <f>LN(SQRT(EXP(
SQRT(
+POWER(LN(M550),2)
+POWER(LN(N550),2)
+POWER(LN(O550),2)
+POWER(LN(P550),2)
+POWER(LN(Q550),2)
+POWER(LN(R550),2)
+POWER(LN(S550),2)
)
)))</f>
        <v>0.80992649174166365</v>
      </c>
    </row>
    <row r="551">
      <c r="A551" t="inlineStr">
        <is>
          <t>Carbon dioxide, fossil</t>
        </is>
      </c>
      <c r="B551">
        <f>unallocated!B223/I551*J551</f>
        <v>4.041909196740396E-2</v>
      </c>
      <c r="D551" t="inlineStr">
        <is>
          <t>kilogram</t>
        </is>
      </c>
      <c r="E551" t="inlineStr">
        <is>
          <t>air::urban air close to ground</t>
        </is>
      </c>
      <c r="F551" t="inlineStr">
        <is>
          <t>biosphere</t>
        </is>
      </c>
      <c r="I551" t="n">
        <v>1000</v>
      </c>
      <c r="J551" s="11">
        <f>J527</f>
        <v>0.72176949941792778</v>
      </c>
      <c r="K551" t="n">
        <v>2</v>
      </c>
      <c r="L551" s="3">
        <f>LN(B551)</f>
        <v>-3.2084530321921059</v>
      </c>
      <c r="M551" t="n">
        <v>1</v>
      </c>
      <c r="N551" t="n">
        <v>1</v>
      </c>
      <c r="O551" t="n">
        <v>1</v>
      </c>
      <c r="P551" t="n">
        <v>1.02</v>
      </c>
      <c r="Q551" t="n">
        <v>1.2</v>
      </c>
      <c r="R551" t="n">
        <v>1</v>
      </c>
      <c r="S551" t="n">
        <v>1.05</v>
      </c>
      <c r="T551">
        <f>LN(SQRT(EXP(
SQRT(
+POWER(LN(M551),2)
+POWER(LN(N551),2)
+POWER(LN(O551),2)
+POWER(LN(P551),2)
+POWER(LN(Q551),2)
+POWER(LN(R551),2)
+POWER(LN(S551),2)
)
)))</f>
        <v>9.4886477223156879E-2</v>
      </c>
    </row>
    <row r="552">
      <c r="A552" t="inlineStr">
        <is>
          <t>Carbon dioxide, non-fossil</t>
        </is>
      </c>
      <c r="B552">
        <f>unallocated!B224/I552*J552</f>
        <v>6.4237485448195575E-2</v>
      </c>
      <c r="D552" t="inlineStr">
        <is>
          <t>kilogram</t>
        </is>
      </c>
      <c r="E552" t="inlineStr">
        <is>
          <t>air::urban air close to ground</t>
        </is>
      </c>
      <c r="F552" t="inlineStr">
        <is>
          <t>biosphere</t>
        </is>
      </c>
      <c r="I552" t="n">
        <v>1000</v>
      </c>
      <c r="J552">
        <f>J527</f>
        <v>0.72176949941792778</v>
      </c>
      <c r="K552" t="n">
        <v>2</v>
      </c>
      <c r="L552" s="3">
        <f>LN(B552)</f>
        <v>-2.7451683531951154</v>
      </c>
      <c r="M552" t="n">
        <v>1</v>
      </c>
      <c r="N552" t="n">
        <v>1</v>
      </c>
      <c r="O552" t="n">
        <v>1</v>
      </c>
      <c r="P552" t="n">
        <v>1.02</v>
      </c>
      <c r="Q552" t="n">
        <v>1.2</v>
      </c>
      <c r="R552" t="n">
        <v>1</v>
      </c>
      <c r="S552" t="n">
        <v>1.05</v>
      </c>
      <c r="T552">
        <f>LN(SQRT(EXP(
SQRT(
+POWER(LN(M552),2)
+POWER(LN(N552),2)
+POWER(LN(O552),2)
+POWER(LN(P552),2)
+POWER(LN(Q552),2)
+POWER(LN(R552),2)
+POWER(LN(S552),2)
)
)))</f>
        <v>9.4886477223156879E-2</v>
      </c>
    </row>
    <row r="553">
      <c r="A553" t="inlineStr">
        <is>
          <t>Carbon dioxide, in air</t>
        </is>
      </c>
      <c r="B553">
        <f>unallocated!B225/I553*J553</f>
        <v>0.36449359720605351</v>
      </c>
      <c r="D553" t="inlineStr">
        <is>
          <t>kilogram</t>
        </is>
      </c>
      <c r="E553" t="inlineStr">
        <is>
          <t>natural resource::in air</t>
        </is>
      </c>
      <c r="F553" t="inlineStr">
        <is>
          <t>biosphere</t>
        </is>
      </c>
      <c r="H553" t="inlineStr">
        <is>
          <t>To reflect the permanent storage of non-fossil CO.</t>
        </is>
      </c>
      <c r="I553" t="n">
        <v>1000</v>
      </c>
      <c r="J553">
        <f>J527</f>
        <v>0.72176949941792778</v>
      </c>
      <c r="K553" t="n">
        <v>2</v>
      </c>
      <c r="L553" s="3">
        <f>LN(B553)</f>
        <v>-1.0092462936518956</v>
      </c>
      <c r="M553" t="n">
        <v>1</v>
      </c>
      <c r="N553" t="n">
        <v>1</v>
      </c>
      <c r="O553" t="n">
        <v>1</v>
      </c>
      <c r="P553" t="n">
        <v>1.02</v>
      </c>
      <c r="Q553" t="n">
        <v>1.2</v>
      </c>
      <c r="R553" t="n">
        <v>1</v>
      </c>
      <c r="S553" t="n">
        <v>1.05</v>
      </c>
      <c r="T553">
        <f>LN(SQRT(EXP(
SQRT(
+POWER(LN(M553),2)
+POWER(LN(N553),2)
+POWER(LN(O553),2)
+POWER(LN(P553),2)
+POWER(LN(Q553),2)
+POWER(LN(R553),2)
+POWER(LN(S553),2)
)
)))</f>
        <v>9.4886477223156879E-2</v>
      </c>
    </row>
    <row r="554"/>
    <row r="555">
      <c r="A555" s="1" t="inlineStr">
        <is>
          <t>Activity</t>
        </is>
      </c>
      <c r="B555" s="1" t="inlineStr">
        <is>
          <t>municipal waste incineration, at incineration plant, with semi-dry air pollution control, with flue gas condensation, with electricity recovery only, with carbon capture and storage, economic allocation</t>
        </is>
      </c>
    </row>
    <row r="556">
      <c r="A556" t="inlineStr">
        <is>
          <t>location</t>
        </is>
      </c>
      <c r="B556" t="inlineStr">
        <is>
          <t>RER</t>
        </is>
      </c>
    </row>
    <row r="557">
      <c r="A557" t="inlineStr">
        <is>
          <t>production amount</t>
        </is>
      </c>
      <c r="B557" t="n">
        <v>1</v>
      </c>
    </row>
    <row r="558">
      <c r="A558" s="2" t="inlineStr">
        <is>
          <t>source</t>
        </is>
      </c>
      <c r="B558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559">
      <c r="A559" t="inlineStr">
        <is>
          <t>reference product</t>
        </is>
      </c>
      <c r="B559" t="inlineStr">
        <is>
          <t>electricity, medium voltage</t>
        </is>
      </c>
    </row>
    <row r="560">
      <c r="A560" t="inlineStr">
        <is>
          <t>type</t>
        </is>
      </c>
      <c r="B560" t="inlineStr">
        <is>
          <t>process</t>
        </is>
      </c>
    </row>
    <row r="561">
      <c r="A561" t="inlineStr">
        <is>
          <t>unit</t>
        </is>
      </c>
      <c r="B561" t="inlineStr">
        <is>
          <t>kilowatt hour</t>
        </is>
      </c>
    </row>
    <row r="562">
      <c r="A562" t="inlineStr">
        <is>
          <t>comment</t>
        </is>
      </c>
      <c r="B562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No. Carbon capture: Yes. Electricity production per ton MSWI incinerated: 478 kWh.</t>
        </is>
      </c>
    </row>
    <row r="563">
      <c r="A563" s="1" t="inlineStr">
        <is>
          <t>Exchanges</t>
        </is>
      </c>
    </row>
    <row r="564">
      <c r="A564" s="7" t="inlineStr">
        <is>
          <t>name</t>
        </is>
      </c>
      <c r="B564" s="7" t="inlineStr">
        <is>
          <t>amount</t>
        </is>
      </c>
      <c r="C564" s="7" t="inlineStr">
        <is>
          <t>location</t>
        </is>
      </c>
      <c r="D564" s="7" t="inlineStr">
        <is>
          <t>unit</t>
        </is>
      </c>
      <c r="E564" s="7" t="inlineStr">
        <is>
          <t>categories</t>
        </is>
      </c>
      <c r="F564" s="7" t="inlineStr">
        <is>
          <t>type</t>
        </is>
      </c>
      <c r="G564" s="7" t="inlineStr">
        <is>
          <t>reference product</t>
        </is>
      </c>
      <c r="H564" s="7" t="inlineStr">
        <is>
          <t>comment</t>
        </is>
      </c>
      <c r="I564" s="7" t="inlineStr">
        <is>
          <t>normalization</t>
        </is>
      </c>
      <c r="J564" s="7" t="inlineStr">
        <is>
          <t>allocation</t>
        </is>
      </c>
      <c r="K564" s="7" t="inlineStr">
        <is>
          <t>uncertainty type</t>
        </is>
      </c>
      <c r="L564" s="7" t="inlineStr">
        <is>
          <t>loc</t>
        </is>
      </c>
      <c r="M564" s="1" t="inlineStr">
        <is>
          <t>u1</t>
        </is>
      </c>
      <c r="N564" s="1" t="inlineStr">
        <is>
          <t>u2</t>
        </is>
      </c>
      <c r="O564" s="1" t="inlineStr">
        <is>
          <t>u3</t>
        </is>
      </c>
      <c r="P564" s="1" t="inlineStr">
        <is>
          <t>u4</t>
        </is>
      </c>
      <c r="Q564" s="1" t="inlineStr">
        <is>
          <t>u5</t>
        </is>
      </c>
      <c r="R564" s="1" t="inlineStr">
        <is>
          <t>u6</t>
        </is>
      </c>
      <c r="S564" s="1" t="inlineStr">
        <is>
          <t>ub</t>
        </is>
      </c>
      <c r="T564" s="1" t="inlineStr">
        <is>
          <t>scale</t>
        </is>
      </c>
      <c r="U564" s="1" t="inlineStr">
        <is>
          <t>negative</t>
        </is>
      </c>
    </row>
    <row r="565">
      <c r="A565" t="inlineStr">
        <is>
          <t>municipal waste incineration, at incineration plant, with semi-dry air pollution control, with flue gas condensation, with electricity recovery only, with carbon capture and storage, economic allocation</t>
        </is>
      </c>
      <c r="B565" t="n">
        <v>0</v>
      </c>
      <c r="C565" t="inlineStr">
        <is>
          <t>RER</t>
        </is>
      </c>
      <c r="D565" t="inlineStr">
        <is>
          <t>kilogram</t>
        </is>
      </c>
      <c r="F565" t="inlineStr">
        <is>
          <t>technosphere</t>
        </is>
      </c>
      <c r="G565" t="inlineStr">
        <is>
          <t>municipal solid waste</t>
        </is>
      </c>
      <c r="H565" t="inlineStr"/>
      <c r="I565" s="6" t="n">
        <v>478</v>
      </c>
      <c r="J565" s="14">
        <f>INDEX('allocation keys'!$L$4:$N$30,MATCH('allocated (economic)'!$B$555,'allocation keys'!$B$4:$B$28,0),MATCH('allocated (economic)'!$B$559,'allocation keys'!$L$3:$N$3,0))</f>
        <v>0.27823050058207216</v>
      </c>
      <c r="K565" t="n">
        <v>0</v>
      </c>
      <c r="M565" s="5" t="n"/>
      <c r="N565" s="5" t="n"/>
      <c r="O565" s="5" t="n"/>
      <c r="P565" s="5" t="n"/>
      <c r="Q565" s="5" t="n"/>
      <c r="R565" s="5" t="n"/>
    </row>
    <row r="566">
      <c r="A566" t="inlineStr">
        <is>
          <t>municipal waste incineration, at incineration plant, with semi-dry air pollution control, with flue gas condensation, with electricity recovery only, with carbon capture and storage, economic allocation</t>
        </is>
      </c>
      <c r="B566" s="6" t="n">
        <v>1</v>
      </c>
      <c r="C566" t="inlineStr">
        <is>
          <t>RER</t>
        </is>
      </c>
      <c r="D566" t="inlineStr">
        <is>
          <t>kilowatt hour</t>
        </is>
      </c>
      <c r="F566" t="inlineStr">
        <is>
          <t>production</t>
        </is>
      </c>
      <c r="G566" t="inlineStr">
        <is>
          <t>electricity, medium voltage</t>
        </is>
      </c>
      <c r="H566" t="inlineStr"/>
      <c r="I566" s="6" t="n">
        <v>478</v>
      </c>
      <c r="J566" s="11">
        <f>J565</f>
        <v>0.27823050058207216</v>
      </c>
      <c r="K566" t="n">
        <v>0</v>
      </c>
      <c r="L566" s="3" t="n"/>
    </row>
    <row r="567">
      <c r="A567" t="inlineStr">
        <is>
          <t>market for diesel, low-sulfur</t>
        </is>
      </c>
      <c r="B567">
        <f>unallocated!B201/I567*J567</f>
        <v>4.9476135040745058E-5</v>
      </c>
      <c r="C567" t="inlineStr">
        <is>
          <t>Europe without Switzerland</t>
        </is>
      </c>
      <c r="D567" t="inlineStr">
        <is>
          <t>kilogram</t>
        </is>
      </c>
      <c r="F567" t="inlineStr">
        <is>
          <t>technosphere</t>
        </is>
      </c>
      <c r="G567" t="inlineStr">
        <is>
          <t>diesel, low-sulfur</t>
        </is>
      </c>
      <c r="H567" t="inlineStr">
        <is>
          <t>Diesel density: 0.85 kg/l</t>
        </is>
      </c>
      <c r="I567" s="6" t="n">
        <v>478</v>
      </c>
      <c r="J567" s="11">
        <f>J565</f>
        <v>0.27823050058207216</v>
      </c>
      <c r="K567" t="n">
        <v>2</v>
      </c>
      <c r="L567" s="3">
        <f>LN(B567)</f>
        <v>-9.9140201250360214</v>
      </c>
      <c r="M567" t="n">
        <v>1</v>
      </c>
      <c r="N567" t="n">
        <v>1</v>
      </c>
      <c r="O567" t="n">
        <v>1</v>
      </c>
      <c r="P567" t="n">
        <v>1.02</v>
      </c>
      <c r="Q567" t="n">
        <v>1.2</v>
      </c>
      <c r="R567" t="n">
        <v>1</v>
      </c>
      <c r="S567" t="n">
        <v>1.05</v>
      </c>
      <c r="T567">
        <f>LN(SQRT(EXP(
SQRT(
+POWER(LN(M567),2)
+POWER(LN(N567),2)
+POWER(LN(O567),2)
+POWER(LN(P567),2)
+POWER(LN(Q567),2)
+POWER(LN(R567),2)
+POWER(LN(S567),2)
)
)))</f>
        <v>9.4886477223156879E-2</v>
      </c>
    </row>
    <row r="568">
      <c r="A568" t="inlineStr">
        <is>
          <t>market for activated carbon, granular</t>
        </is>
      </c>
      <c r="B568">
        <f>unallocated!B202/I568*J568</f>
        <v>2.3282887077997672E-4</v>
      </c>
      <c r="C568" t="inlineStr">
        <is>
          <t>GLO</t>
        </is>
      </c>
      <c r="D568" t="inlineStr">
        <is>
          <t>kilogram</t>
        </is>
      </c>
      <c r="F568" t="inlineStr">
        <is>
          <t>technosphere</t>
        </is>
      </c>
      <c r="G568" t="inlineStr">
        <is>
          <t>activated carbon, granular</t>
        </is>
      </c>
      <c r="I568" s="6" t="n">
        <v>478</v>
      </c>
      <c r="J568" s="11">
        <f>J565</f>
        <v>0.27823050058207216</v>
      </c>
      <c r="K568" t="n">
        <v>2</v>
      </c>
      <c r="L568" s="3">
        <f>LN(B568)</f>
        <v>-8.3652068344183554</v>
      </c>
      <c r="M568" t="n">
        <v>1</v>
      </c>
      <c r="N568" t="n">
        <v>1</v>
      </c>
      <c r="O568" t="n">
        <v>1</v>
      </c>
      <c r="P568" t="n">
        <v>1.02</v>
      </c>
      <c r="Q568" t="n">
        <v>1.2</v>
      </c>
      <c r="R568" t="n">
        <v>1</v>
      </c>
      <c r="S568" t="n">
        <v>1.05</v>
      </c>
      <c r="T568">
        <f>LN(SQRT(EXP(
SQRT(
+POWER(LN(M568),2)
+POWER(LN(N568),2)
+POWER(LN(O568),2)
+POWER(LN(P568),2)
+POWER(LN(Q568),2)
+POWER(LN(R568),2)
+POWER(LN(S568),2)
)
)))</f>
        <v>9.4886477223156879E-2</v>
      </c>
    </row>
    <row r="569">
      <c r="A569" t="inlineStr">
        <is>
          <t>market for ammonia, anhydrous, liquid</t>
        </is>
      </c>
      <c r="B569">
        <f>unallocated!B203/I569*J569</f>
        <v>5.704307334109429E-4</v>
      </c>
      <c r="C569" t="inlineStr">
        <is>
          <t>RER</t>
        </is>
      </c>
      <c r="D569" t="inlineStr">
        <is>
          <t>kilogram</t>
        </is>
      </c>
      <c r="F569" t="inlineStr">
        <is>
          <t>technosphere</t>
        </is>
      </c>
      <c r="G569" t="inlineStr">
        <is>
          <t>ammonia, anhydrous, liquid</t>
        </is>
      </c>
      <c r="H569" t="inlineStr">
        <is>
          <t>100% liquid ammonia. In original publication, it is dilluated to 23.5% in water. We discount the original value by 75%.</t>
        </is>
      </c>
      <c r="I569" s="6" t="n">
        <v>478</v>
      </c>
      <c r="J569" s="11">
        <f>J565</f>
        <v>0.27823050058207216</v>
      </c>
      <c r="K569" t="n">
        <v>2</v>
      </c>
      <c r="L569" s="3">
        <f>LN(B569)</f>
        <v>-7.4691188098617198</v>
      </c>
      <c r="M569" t="n">
        <v>1</v>
      </c>
      <c r="N569" t="n">
        <v>1</v>
      </c>
      <c r="O569" t="n">
        <v>1</v>
      </c>
      <c r="P569" t="n">
        <v>1.02</v>
      </c>
      <c r="Q569" t="n">
        <v>1.2</v>
      </c>
      <c r="R569" t="n">
        <v>1</v>
      </c>
      <c r="S569" t="n">
        <v>1.05</v>
      </c>
      <c r="T569">
        <f>LN(SQRT(EXP(
SQRT(
+POWER(LN(M569),2)
+POWER(LN(N569),2)
+POWER(LN(O569),2)
+POWER(LN(P569),2)
+POWER(LN(Q569),2)
+POWER(LN(R569),2)
+POWER(LN(S569),2)
)
)))</f>
        <v>9.4886477223156879E-2</v>
      </c>
    </row>
    <row r="570">
      <c r="A570" t="inlineStr">
        <is>
          <t>market for tap water</t>
        </is>
      </c>
      <c r="B570">
        <f>unallocated!B204/I570*J570</f>
        <v>1.7578579743888242E-3</v>
      </c>
      <c r="C570" t="inlineStr">
        <is>
          <t>Europe without Switzerland</t>
        </is>
      </c>
      <c r="D570" t="inlineStr">
        <is>
          <t>kilogram</t>
        </is>
      </c>
      <c r="F570" t="inlineStr">
        <is>
          <t>technosphere</t>
        </is>
      </c>
      <c r="G570" t="inlineStr">
        <is>
          <t>tap water</t>
        </is>
      </c>
      <c r="H570" t="inlineStr">
        <is>
          <t>Used to dilute the ammonia.</t>
        </is>
      </c>
      <c r="I570" s="6" t="n">
        <v>478</v>
      </c>
      <c r="J570" s="11">
        <f>J565</f>
        <v>0.27823050058207216</v>
      </c>
      <c r="K570" t="n">
        <v>2</v>
      </c>
      <c r="L570" s="3">
        <f>LN(B570)</f>
        <v>-6.3436592711574225</v>
      </c>
      <c r="M570" t="n">
        <v>1</v>
      </c>
      <c r="N570" t="n">
        <v>1</v>
      </c>
      <c r="O570" t="n">
        <v>1</v>
      </c>
      <c r="P570" t="n">
        <v>1.02</v>
      </c>
      <c r="Q570" t="n">
        <v>1.2</v>
      </c>
      <c r="R570" t="n">
        <v>1</v>
      </c>
      <c r="S570" t="n">
        <v>1.05</v>
      </c>
      <c r="T570">
        <f>LN(SQRT(EXP(
SQRT(
+POWER(LN(M570),2)
+POWER(LN(N570),2)
+POWER(LN(O570),2)
+POWER(LN(P570),2)
+POWER(LN(Q570),2)
+POWER(LN(R570),2)
+POWER(LN(S570),2)
)
)))</f>
        <v>9.4886477223156879E-2</v>
      </c>
    </row>
    <row r="571">
      <c r="A571" t="inlineStr">
        <is>
          <t>market for calcium carbonate, precipitated</t>
        </is>
      </c>
      <c r="B571">
        <f>unallocated!B205/I571*J571</f>
        <v>0</v>
      </c>
      <c r="C571" t="inlineStr">
        <is>
          <t>RER</t>
        </is>
      </c>
      <c r="D571" t="inlineStr">
        <is>
          <t>kilogram</t>
        </is>
      </c>
      <c r="F571" t="inlineStr">
        <is>
          <t>technosphere</t>
        </is>
      </c>
      <c r="G571" t="inlineStr">
        <is>
          <t>calcium carbonate, precipitated</t>
        </is>
      </c>
      <c r="I571" s="6" t="n">
        <v>478</v>
      </c>
      <c r="J571" s="11">
        <f>J565</f>
        <v>0.27823050058207216</v>
      </c>
      <c r="K571" t="n">
        <v>0</v>
      </c>
      <c r="L571" s="3" t="n"/>
    </row>
    <row r="572">
      <c r="A572" t="inlineStr">
        <is>
          <t>market for iron(III) chloride, without water, in 40% solution state</t>
        </is>
      </c>
      <c r="B572">
        <f>unallocated!B206/I572*J572</f>
        <v>0</v>
      </c>
      <c r="C572" t="inlineStr">
        <is>
          <t>GLO</t>
        </is>
      </c>
      <c r="D572" t="inlineStr">
        <is>
          <t>kilogram</t>
        </is>
      </c>
      <c r="F572" t="inlineStr">
        <is>
          <t>technosphere</t>
        </is>
      </c>
      <c r="G572" t="inlineStr">
        <is>
          <t>iron(III) chloride, without water, in 40% solution state</t>
        </is>
      </c>
      <c r="I572" s="6" t="n">
        <v>478</v>
      </c>
      <c r="J572" s="11">
        <f>J565</f>
        <v>0.27823050058207216</v>
      </c>
      <c r="K572" t="n">
        <v>0</v>
      </c>
      <c r="L572" s="3" t="n"/>
    </row>
    <row r="573">
      <c r="A573" t="inlineStr">
        <is>
          <t>market for lime, hydrated, packed</t>
        </is>
      </c>
      <c r="B573">
        <f>unallocated!B207/I573*J573</f>
        <v>5.8207217694994174E-3</v>
      </c>
      <c r="C573" t="inlineStr">
        <is>
          <t>RER</t>
        </is>
      </c>
      <c r="D573" t="inlineStr">
        <is>
          <t>kilogram</t>
        </is>
      </c>
      <c r="F573" t="inlineStr">
        <is>
          <t>technosphere</t>
        </is>
      </c>
      <c r="G573" t="inlineStr">
        <is>
          <t>lime, hydrated, packed</t>
        </is>
      </c>
      <c r="I573" s="6" t="n">
        <v>478</v>
      </c>
      <c r="J573" s="11">
        <f>J565</f>
        <v>0.27823050058207216</v>
      </c>
      <c r="K573" t="n">
        <v>2</v>
      </c>
      <c r="L573" s="3">
        <f>LN(B573)</f>
        <v>-5.1463310095501553</v>
      </c>
      <c r="M573" t="n">
        <v>1</v>
      </c>
      <c r="N573" t="n">
        <v>1</v>
      </c>
      <c r="O573" t="n">
        <v>1</v>
      </c>
      <c r="P573" t="n">
        <v>1.02</v>
      </c>
      <c r="Q573" t="n">
        <v>1.2</v>
      </c>
      <c r="R573" t="n">
        <v>1</v>
      </c>
      <c r="S573" t="n">
        <v>1.05</v>
      </c>
      <c r="T573">
        <f>LN(SQRT(EXP(
SQRT(
+POWER(LN(M573),2)
+POWER(LN(N573),2)
+POWER(LN(O573),2)
+POWER(LN(P573),2)
+POWER(LN(Q573),2)
+POWER(LN(R573),2)
+POWER(LN(S573),2)
)
)))</f>
        <v>9.4886477223156879E-2</v>
      </c>
    </row>
    <row r="574">
      <c r="A574" t="inlineStr">
        <is>
          <t>market for sodium hydroxide, without water, in 50% solution state</t>
        </is>
      </c>
      <c r="B574">
        <f>unallocated!B208/I574*J574</f>
        <v>2.9103608847497084E-4</v>
      </c>
      <c r="C574" t="inlineStr">
        <is>
          <t>RER</t>
        </is>
      </c>
      <c r="D574" t="inlineStr">
        <is>
          <t>kilogram</t>
        </is>
      </c>
      <c r="F574" t="inlineStr">
        <is>
          <t>technosphere</t>
        </is>
      </c>
      <c r="G574" t="inlineStr">
        <is>
          <t>sodium hydroxide, without water, in 50% solution state</t>
        </is>
      </c>
      <c r="H574" t="inlineStr">
        <is>
          <t>50% liquid ammonia. In original publication, it is dilluated to 27% in water. We discount the original value by 50%.</t>
        </is>
      </c>
      <c r="I574" s="6" t="n">
        <v>478</v>
      </c>
      <c r="J574" s="11">
        <f>J565</f>
        <v>0.27823050058207216</v>
      </c>
      <c r="K574" t="n">
        <v>0</v>
      </c>
      <c r="L574" s="3" t="n"/>
    </row>
    <row r="575">
      <c r="A575" t="inlineStr">
        <is>
          <t>market for monoethanolamine</t>
        </is>
      </c>
      <c r="B575">
        <f>unallocated!B209/I575*J575</f>
        <v>2.3282887077997667E-3</v>
      </c>
      <c r="C575" t="inlineStr">
        <is>
          <t>GLO</t>
        </is>
      </c>
      <c r="D575" t="inlineStr">
        <is>
          <t>kilogram</t>
        </is>
      </c>
      <c r="F575" t="inlineStr">
        <is>
          <t>technosphere</t>
        </is>
      </c>
      <c r="G575" t="inlineStr">
        <is>
          <t>monoethanolamine</t>
        </is>
      </c>
      <c r="I575" s="6" t="n">
        <v>478</v>
      </c>
      <c r="J575" s="11">
        <f>J565</f>
        <v>0.27823050058207216</v>
      </c>
      <c r="K575" t="n">
        <v>0</v>
      </c>
      <c r="L575" s="3" t="n"/>
    </row>
    <row r="576">
      <c r="A576" t="inlineStr">
        <is>
          <t>municipal waste incineration facility construction</t>
        </is>
      </c>
      <c r="B576">
        <f>unallocated!B210/I576*J576</f>
        <v>1.4551804423748543E-10</v>
      </c>
      <c r="C576" t="inlineStr">
        <is>
          <t>CH</t>
        </is>
      </c>
      <c r="D576" t="inlineStr">
        <is>
          <t>unit</t>
        </is>
      </c>
      <c r="F576" t="inlineStr">
        <is>
          <t>technosphere</t>
        </is>
      </c>
      <c r="G576" t="inlineStr">
        <is>
          <t>municipal waste incineration facility</t>
        </is>
      </c>
      <c r="H576" t="inlineStr">
        <is>
          <t>Lifetime: 4'000'000 tons MSWI treated.</t>
        </is>
      </c>
      <c r="I576" s="6" t="n">
        <v>478</v>
      </c>
      <c r="J576" s="11">
        <f>J565</f>
        <v>0.27823050058207216</v>
      </c>
      <c r="K576" t="n">
        <v>2</v>
      </c>
      <c r="L576" s="3">
        <f>LN(B576)</f>
        <v>-22.650721021628364</v>
      </c>
      <c r="M576" t="n">
        <v>1</v>
      </c>
      <c r="N576" t="n">
        <v>1</v>
      </c>
      <c r="O576" t="n">
        <v>1</v>
      </c>
      <c r="P576" t="n">
        <v>1.02</v>
      </c>
      <c r="Q576" t="n">
        <v>1.2</v>
      </c>
      <c r="R576" t="n">
        <v>1</v>
      </c>
      <c r="S576" t="n">
        <v>3</v>
      </c>
      <c r="T576">
        <f>LN(SQRT(EXP(
SQRT(
+POWER(LN(M576),2)
+POWER(LN(N576),2)
+POWER(LN(O576),2)
+POWER(LN(P576),2)
+POWER(LN(Q576),2)
+POWER(LN(R576),2)
+POWER(LN(S576),2)
)
)))</f>
        <v>0.5569071410325479</v>
      </c>
    </row>
    <row r="577">
      <c r="A577" t="inlineStr">
        <is>
          <t>carbon dioxide storage at wood burning power plant 20 MW post, pipeline 200km, storage 1000m</t>
        </is>
      </c>
      <c r="B577">
        <f>unallocated!B211/I577*J577</f>
        <v>0.47904540162980208</v>
      </c>
      <c r="C577" t="inlineStr">
        <is>
          <t>RER</t>
        </is>
      </c>
      <c r="D577" t="inlineStr">
        <is>
          <t>kilogram</t>
        </is>
      </c>
      <c r="F577" t="inlineStr">
        <is>
          <t>technosphere</t>
        </is>
      </c>
      <c r="G577" t="inlineStr">
        <is>
          <t>carbon dioxide storage at wood burning power plant 20 MW post, pipeline 200km, storage 1000m</t>
        </is>
      </c>
      <c r="I577" s="6" t="n">
        <v>478</v>
      </c>
      <c r="J577" s="11">
        <f>J565</f>
        <v>0.27823050058207216</v>
      </c>
      <c r="K577" t="n">
        <v>2</v>
      </c>
      <c r="L577" s="3">
        <f>LN(B577)</f>
        <v>-0.73595990186713089</v>
      </c>
      <c r="M577" t="n">
        <v>1</v>
      </c>
      <c r="N577" t="n">
        <v>1</v>
      </c>
      <c r="O577" t="n">
        <v>1</v>
      </c>
      <c r="P577" t="n">
        <v>1.02</v>
      </c>
      <c r="Q577" t="n">
        <v>1.2</v>
      </c>
      <c r="R577" t="n">
        <v>1</v>
      </c>
      <c r="S577" t="n">
        <v>3</v>
      </c>
      <c r="T577">
        <f>LN(SQRT(EXP(
SQRT(
+POWER(LN(M577),2)
+POWER(LN(N577),2)
+POWER(LN(O577),2)
+POWER(LN(P577),2)
+POWER(LN(Q577),2)
+POWER(LN(R577),2)
+POWER(LN(S577),2)
)
)))</f>
        <v>0.5569071410325479</v>
      </c>
    </row>
    <row r="578">
      <c r="A578" t="inlineStr">
        <is>
          <t>Water, cooling, unspecified natural origin</t>
        </is>
      </c>
      <c r="B578">
        <f>unallocated!B212/I578*J578</f>
        <v>0</v>
      </c>
      <c r="D578" t="inlineStr">
        <is>
          <t>cubic meter</t>
        </is>
      </c>
      <c r="E578" t="inlineStr">
        <is>
          <t>natural resource::in water</t>
        </is>
      </c>
      <c r="F578" t="inlineStr">
        <is>
          <t>biosphere</t>
        </is>
      </c>
      <c r="I578" s="6" t="n">
        <v>478</v>
      </c>
      <c r="J578" s="11">
        <f>J565</f>
        <v>0.27823050058207216</v>
      </c>
      <c r="K578" t="n">
        <v>0</v>
      </c>
      <c r="L578" s="3" t="n"/>
    </row>
    <row r="579">
      <c r="A579" t="inlineStr">
        <is>
          <t>Sulfur dioxide</t>
        </is>
      </c>
      <c r="B579">
        <f>unallocated!B213/I579*J579</f>
        <v>3.4924330616996507E-6</v>
      </c>
      <c r="D579" t="inlineStr">
        <is>
          <t>kilogram</t>
        </is>
      </c>
      <c r="E579" t="inlineStr">
        <is>
          <t>air::urban air close to ground</t>
        </is>
      </c>
      <c r="F579" t="inlineStr">
        <is>
          <t>biosphere</t>
        </is>
      </c>
      <c r="I579" s="6" t="n">
        <v>478</v>
      </c>
      <c r="J579" s="11">
        <f>J565</f>
        <v>0.27823050058207216</v>
      </c>
      <c r="K579" t="n">
        <v>2</v>
      </c>
      <c r="L579" s="3">
        <f>LN(B579)</f>
        <v>-12.564911912298284</v>
      </c>
      <c r="M579" t="n">
        <v>1</v>
      </c>
      <c r="N579" t="n">
        <v>1</v>
      </c>
      <c r="O579" t="n">
        <v>1</v>
      </c>
      <c r="P579" t="n">
        <v>1.02</v>
      </c>
      <c r="Q579" t="n">
        <v>1.2</v>
      </c>
      <c r="R579" t="n">
        <v>1</v>
      </c>
      <c r="S579" t="n">
        <v>1.05</v>
      </c>
      <c r="T579">
        <f>LN(SQRT(EXP(
SQRT(
+POWER(LN(M579),2)
+POWER(LN(N579),2)
+POWER(LN(O579),2)
+POWER(LN(P579),2)
+POWER(LN(Q579),2)
+POWER(LN(R579),2)
+POWER(LN(S579),2)
)
)))</f>
        <v>9.4886477223156879E-2</v>
      </c>
    </row>
    <row r="580">
      <c r="A580" t="inlineStr">
        <is>
          <t>Hydrochloric acid</t>
        </is>
      </c>
      <c r="B580">
        <f>unallocated!B214/I580*J580</f>
        <v>1.7462165308498253E-6</v>
      </c>
      <c r="D580" t="inlineStr">
        <is>
          <t>kilogram</t>
        </is>
      </c>
      <c r="E580" t="inlineStr">
        <is>
          <t>air</t>
        </is>
      </c>
      <c r="F580" t="inlineStr">
        <is>
          <t>biosphere</t>
        </is>
      </c>
      <c r="I580" s="6" t="n">
        <v>478</v>
      </c>
      <c r="J580" s="11">
        <f>J565</f>
        <v>0.27823050058207216</v>
      </c>
      <c r="K580" t="n">
        <v>2</v>
      </c>
      <c r="L580" s="3">
        <f>LN(B580)</f>
        <v>-13.258059092858229</v>
      </c>
      <c r="M580" t="n">
        <v>1</v>
      </c>
      <c r="N580" t="n">
        <v>1</v>
      </c>
      <c r="O580" t="n">
        <v>1</v>
      </c>
      <c r="P580" t="n">
        <v>1.02</v>
      </c>
      <c r="Q580" t="n">
        <v>1.2</v>
      </c>
      <c r="R580" t="n">
        <v>1</v>
      </c>
      <c r="S580" t="n">
        <v>1.5</v>
      </c>
      <c r="T580">
        <f>LN(SQRT(EXP(
SQRT(
+POWER(LN(M580),2)
+POWER(LN(N580),2)
+POWER(LN(O580),2)
+POWER(LN(P580),2)
+POWER(LN(Q580),2)
+POWER(LN(R580),2)
+POWER(LN(S580),2)
)
)))</f>
        <v>0.22250575723605889</v>
      </c>
    </row>
    <row r="581">
      <c r="A581" t="inlineStr">
        <is>
          <t>Nitrogen oxides</t>
        </is>
      </c>
      <c r="B581">
        <f>unallocated!B215/I581*J581</f>
        <v>3.9406286379511062E-4</v>
      </c>
      <c r="D581" t="inlineStr">
        <is>
          <t>kilogram</t>
        </is>
      </c>
      <c r="E581" t="inlineStr">
        <is>
          <t>air::urban air close to ground</t>
        </is>
      </c>
      <c r="F581" t="inlineStr">
        <is>
          <t>biosphere</t>
        </is>
      </c>
      <c r="I581" s="6" t="n">
        <v>478</v>
      </c>
      <c r="J581" s="11">
        <f>J565</f>
        <v>0.27823050058207216</v>
      </c>
      <c r="K581" t="n">
        <v>2</v>
      </c>
      <c r="L581" s="3">
        <f>LN(B581)</f>
        <v>-7.839000108614063</v>
      </c>
      <c r="M581" t="n">
        <v>1</v>
      </c>
      <c r="N581" t="n">
        <v>1</v>
      </c>
      <c r="O581" t="n">
        <v>1</v>
      </c>
      <c r="P581" t="n">
        <v>1.02</v>
      </c>
      <c r="Q581" t="n">
        <v>1.2</v>
      </c>
      <c r="R581" t="n">
        <v>1</v>
      </c>
      <c r="S581" t="n">
        <v>1.5</v>
      </c>
      <c r="T581">
        <f>LN(SQRT(EXP(
SQRT(
+POWER(LN(M581),2)
+POWER(LN(N581),2)
+POWER(LN(O581),2)
+POWER(LN(P581),2)
+POWER(LN(Q581),2)
+POWER(LN(R581),2)
+POWER(LN(S581),2)
)
)))</f>
        <v>0.22250575723605889</v>
      </c>
    </row>
    <row r="582">
      <c r="A582" t="inlineStr">
        <is>
          <t>Ammonia</t>
        </is>
      </c>
      <c r="B582">
        <f>unallocated!B216/I582*J582</f>
        <v>1.1641443538998836E-5</v>
      </c>
      <c r="D582" t="inlineStr">
        <is>
          <t>kilogram</t>
        </is>
      </c>
      <c r="E582" t="inlineStr">
        <is>
          <t>air::urban air close to ground</t>
        </is>
      </c>
      <c r="F582" t="inlineStr">
        <is>
          <t>biosphere</t>
        </is>
      </c>
      <c r="I582" s="6" t="n">
        <v>478</v>
      </c>
      <c r="J582" s="11">
        <f>J565</f>
        <v>0.27823050058207216</v>
      </c>
      <c r="K582" t="n">
        <v>2</v>
      </c>
      <c r="L582" s="3">
        <f>LN(B582)</f>
        <v>-11.360939107972346</v>
      </c>
      <c r="M582" t="n">
        <v>1</v>
      </c>
      <c r="N582" t="n">
        <v>1</v>
      </c>
      <c r="O582" t="n">
        <v>1</v>
      </c>
      <c r="P582" t="n">
        <v>1.02</v>
      </c>
      <c r="Q582" t="n">
        <v>1.2</v>
      </c>
      <c r="R582" t="n">
        <v>1</v>
      </c>
      <c r="S582" t="n">
        <v>1.5</v>
      </c>
      <c r="T582">
        <f>LN(SQRT(EXP(
SQRT(
+POWER(LN(M582),2)
+POWER(LN(N582),2)
+POWER(LN(O582),2)
+POWER(LN(P582),2)
+POWER(LN(Q582),2)
+POWER(LN(R582),2)
+POWER(LN(S582),2)
)
)))</f>
        <v>0.22250575723605889</v>
      </c>
    </row>
    <row r="583">
      <c r="A583" t="inlineStr">
        <is>
          <t>Particulate Matter, &lt; 2.5 um</t>
        </is>
      </c>
      <c r="B583">
        <f>unallocated!B217/I583*J583</f>
        <v>3.4924330616996507E-6</v>
      </c>
      <c r="D583" t="inlineStr">
        <is>
          <t>kilogram</t>
        </is>
      </c>
      <c r="E583" t="inlineStr">
        <is>
          <t>air::urban air close to ground</t>
        </is>
      </c>
      <c r="F583" t="inlineStr">
        <is>
          <t>biosphere</t>
        </is>
      </c>
      <c r="I583" s="6" t="n">
        <v>478</v>
      </c>
      <c r="J583" s="11">
        <f>J565</f>
        <v>0.27823050058207216</v>
      </c>
      <c r="K583" t="n">
        <v>2</v>
      </c>
      <c r="L583" s="3">
        <f>LN(B583)</f>
        <v>-12.564911912298284</v>
      </c>
      <c r="M583" t="n">
        <v>1</v>
      </c>
      <c r="N583" t="n">
        <v>1</v>
      </c>
      <c r="O583" t="n">
        <v>1</v>
      </c>
      <c r="P583" t="n">
        <v>1.02</v>
      </c>
      <c r="Q583" t="n">
        <v>1.2</v>
      </c>
      <c r="R583" t="n">
        <v>1</v>
      </c>
      <c r="S583" t="n">
        <v>3</v>
      </c>
      <c r="T583">
        <f>LN(SQRT(EXP(
SQRT(
+POWER(LN(M583),2)
+POWER(LN(N583),2)
+POWER(LN(O583),2)
+POWER(LN(P583),2)
+POWER(LN(Q583),2)
+POWER(LN(R583),2)
+POWER(LN(S583),2)
)
)))</f>
        <v>0.5569071410325479</v>
      </c>
    </row>
    <row r="584">
      <c r="A584" t="inlineStr">
        <is>
          <t>Mercury II</t>
        </is>
      </c>
      <c r="B584">
        <f>unallocated!B218/I584*J584</f>
        <v>3.4924330616996507E-9</v>
      </c>
      <c r="D584" t="inlineStr">
        <is>
          <t>kilogram</t>
        </is>
      </c>
      <c r="E584" t="inlineStr">
        <is>
          <t>air::urban air close to ground</t>
        </is>
      </c>
      <c r="F584" t="inlineStr">
        <is>
          <t>biosphere</t>
        </is>
      </c>
      <c r="I584" s="6" t="n">
        <v>478</v>
      </c>
      <c r="J584" s="11">
        <f>J565</f>
        <v>0.27823050058207216</v>
      </c>
      <c r="K584" t="n">
        <v>2</v>
      </c>
      <c r="L584" s="3">
        <f>LN(B584)</f>
        <v>-19.472667191280419</v>
      </c>
      <c r="M584" t="n">
        <v>1</v>
      </c>
      <c r="N584" t="n">
        <v>1</v>
      </c>
      <c r="O584" t="n">
        <v>1</v>
      </c>
      <c r="P584" t="n">
        <v>1.02</v>
      </c>
      <c r="Q584" t="n">
        <v>1.2</v>
      </c>
      <c r="R584" t="n">
        <v>1</v>
      </c>
      <c r="S584" t="n">
        <v>5</v>
      </c>
      <c r="T584">
        <f>LN(SQRT(EXP(
SQRT(
+POWER(LN(M584),2)
+POWER(LN(N584),2)
+POWER(LN(O584),2)
+POWER(LN(P584),2)
+POWER(LN(Q584),2)
+POWER(LN(R584),2)
+POWER(LN(S584),2)
)
)))</f>
        <v>0.80992649174166365</v>
      </c>
    </row>
    <row r="585">
      <c r="A585" t="inlineStr">
        <is>
          <t>Lead II</t>
        </is>
      </c>
      <c r="B585">
        <f>unallocated!B219/I585*J585</f>
        <v>3.4924330616996507E-9</v>
      </c>
      <c r="D585" t="inlineStr">
        <is>
          <t>kilogram</t>
        </is>
      </c>
      <c r="E585" t="inlineStr">
        <is>
          <t>air::urban air close to ground</t>
        </is>
      </c>
      <c r="F585" t="inlineStr">
        <is>
          <t>biosphere</t>
        </is>
      </c>
      <c r="I585" s="6" t="n">
        <v>478</v>
      </c>
      <c r="J585" s="11">
        <f>J565</f>
        <v>0.27823050058207216</v>
      </c>
      <c r="K585" t="n">
        <v>2</v>
      </c>
      <c r="L585" s="3">
        <f>LN(B585)</f>
        <v>-19.472667191280419</v>
      </c>
      <c r="M585" t="n">
        <v>1</v>
      </c>
      <c r="N585" t="n">
        <v>1</v>
      </c>
      <c r="O585" t="n">
        <v>1</v>
      </c>
      <c r="P585" t="n">
        <v>1.02</v>
      </c>
      <c r="Q585" t="n">
        <v>1.2</v>
      </c>
      <c r="R585" t="n">
        <v>1</v>
      </c>
      <c r="S585" t="n">
        <v>5</v>
      </c>
      <c r="T585">
        <f>LN(SQRT(EXP(
SQRT(
+POWER(LN(M585),2)
+POWER(LN(N585),2)
+POWER(LN(O585),2)
+POWER(LN(P585),2)
+POWER(LN(Q585),2)
+POWER(LN(R585),2)
+POWER(LN(S585),2)
)
)))</f>
        <v>0.80992649174166365</v>
      </c>
    </row>
    <row r="586">
      <c r="A586" t="inlineStr">
        <is>
          <t>Cadmium II</t>
        </is>
      </c>
      <c r="B586">
        <f>unallocated!B220/I586*J586</f>
        <v>1.7462165308498253E-9</v>
      </c>
      <c r="D586" t="inlineStr">
        <is>
          <t>kilogram</t>
        </is>
      </c>
      <c r="E586" t="inlineStr">
        <is>
          <t>air::urban air close to ground</t>
        </is>
      </c>
      <c r="F586" t="inlineStr">
        <is>
          <t>biosphere</t>
        </is>
      </c>
      <c r="I586" s="6" t="n">
        <v>478</v>
      </c>
      <c r="J586" s="11">
        <f>J565</f>
        <v>0.27823050058207216</v>
      </c>
      <c r="K586" t="n">
        <v>2</v>
      </c>
      <c r="L586" s="3">
        <f>LN(B586)</f>
        <v>-20.165814371840366</v>
      </c>
      <c r="M586" t="n">
        <v>1</v>
      </c>
      <c r="N586" t="n">
        <v>1</v>
      </c>
      <c r="O586" t="n">
        <v>1</v>
      </c>
      <c r="P586" t="n">
        <v>1.02</v>
      </c>
      <c r="Q586" t="n">
        <v>1.2</v>
      </c>
      <c r="R586" t="n">
        <v>1</v>
      </c>
      <c r="S586" t="n">
        <v>5</v>
      </c>
      <c r="T586">
        <f>LN(SQRT(EXP(
SQRT(
+POWER(LN(M586),2)
+POWER(LN(N586),2)
+POWER(LN(O586),2)
+POWER(LN(P586),2)
+POWER(LN(Q586),2)
+POWER(LN(R586),2)
+POWER(LN(S586),2)
)
)))</f>
        <v>0.80992649174166365</v>
      </c>
    </row>
    <row r="587">
      <c r="A587" t="inlineStr">
        <is>
          <t>Arsenic ion</t>
        </is>
      </c>
      <c r="B587">
        <f>unallocated!B221/I587*J587</f>
        <v>1.7462165308498253E-9</v>
      </c>
      <c r="D587" t="inlineStr">
        <is>
          <t>kilogram</t>
        </is>
      </c>
      <c r="E587" t="inlineStr">
        <is>
          <t>air::urban air close to ground</t>
        </is>
      </c>
      <c r="F587" t="inlineStr">
        <is>
          <t>biosphere</t>
        </is>
      </c>
      <c r="I587" s="6" t="n">
        <v>478</v>
      </c>
      <c r="J587" s="11">
        <f>J565</f>
        <v>0.27823050058207216</v>
      </c>
      <c r="K587" t="n">
        <v>2</v>
      </c>
      <c r="L587" s="3">
        <f>LN(B587)</f>
        <v>-20.165814371840366</v>
      </c>
      <c r="M587" t="n">
        <v>1</v>
      </c>
      <c r="N587" t="n">
        <v>1</v>
      </c>
      <c r="O587" t="n">
        <v>1</v>
      </c>
      <c r="P587" t="n">
        <v>1.02</v>
      </c>
      <c r="Q587" t="n">
        <v>1.2</v>
      </c>
      <c r="R587" t="n">
        <v>1</v>
      </c>
      <c r="S587" t="n">
        <v>5</v>
      </c>
      <c r="T587">
        <f>LN(SQRT(EXP(
SQRT(
+POWER(LN(M587),2)
+POWER(LN(N587),2)
+POWER(LN(O587),2)
+POWER(LN(P587),2)
+POWER(LN(Q587),2)
+POWER(LN(R587),2)
+POWER(LN(S587),2)
)
)))</f>
        <v>0.80992649174166365</v>
      </c>
    </row>
    <row r="588">
      <c r="A588" t="inlineStr">
        <is>
          <t>Dioxins, measured as 2,3,7,8-tetrachlorodibenzo-p-dioxin</t>
        </is>
      </c>
      <c r="B588">
        <f>unallocated!B222/I588*J588</f>
        <v>6.4027939464493599E-14</v>
      </c>
      <c r="D588" t="inlineStr">
        <is>
          <t>kilogram</t>
        </is>
      </c>
      <c r="E588" t="inlineStr">
        <is>
          <t>air::urban air close to ground</t>
        </is>
      </c>
      <c r="F588" t="inlineStr">
        <is>
          <t>biosphere</t>
        </is>
      </c>
      <c r="I588" s="6" t="n">
        <v>478</v>
      </c>
      <c r="J588" s="11">
        <f>J565</f>
        <v>0.27823050058207216</v>
      </c>
      <c r="K588" t="n">
        <v>2</v>
      </c>
      <c r="L588" s="3">
        <f>LN(B588)</f>
        <v>-30.379456852680331</v>
      </c>
      <c r="M588" t="n">
        <v>1</v>
      </c>
      <c r="N588" t="n">
        <v>1</v>
      </c>
      <c r="O588" t="n">
        <v>1</v>
      </c>
      <c r="P588" t="n">
        <v>1.02</v>
      </c>
      <c r="Q588" t="n">
        <v>1.2</v>
      </c>
      <c r="R588" t="n">
        <v>1</v>
      </c>
      <c r="S588" t="n">
        <v>5</v>
      </c>
      <c r="T588">
        <f>LN(SQRT(EXP(
SQRT(
+POWER(LN(M588),2)
+POWER(LN(N588),2)
+POWER(LN(O588),2)
+POWER(LN(P588),2)
+POWER(LN(Q588),2)
+POWER(LN(R588),2)
+POWER(LN(S588),2)
)
)))</f>
        <v>0.80992649174166365</v>
      </c>
    </row>
    <row r="589">
      <c r="A589" t="inlineStr">
        <is>
          <t>Carbon dioxide, fossil</t>
        </is>
      </c>
      <c r="B589">
        <f>unallocated!B223/I589*J589</f>
        <v>3.2596041909196738E-2</v>
      </c>
      <c r="D589" t="inlineStr">
        <is>
          <t>kilogram</t>
        </is>
      </c>
      <c r="E589" t="inlineStr">
        <is>
          <t>air::urban air close to ground</t>
        </is>
      </c>
      <c r="F589" t="inlineStr">
        <is>
          <t>biosphere</t>
        </is>
      </c>
      <c r="I589" s="6" t="n">
        <v>478</v>
      </c>
      <c r="J589" s="11">
        <f>J565</f>
        <v>0.27823050058207216</v>
      </c>
      <c r="K589" t="n">
        <v>2</v>
      </c>
      <c r="L589" s="3">
        <f>LN(B589)</f>
        <v>-3.4235644118090516</v>
      </c>
      <c r="M589" t="n">
        <v>1</v>
      </c>
      <c r="N589" t="n">
        <v>1</v>
      </c>
      <c r="O589" t="n">
        <v>1</v>
      </c>
      <c r="P589" t="n">
        <v>1.02</v>
      </c>
      <c r="Q589" t="n">
        <v>1.2</v>
      </c>
      <c r="R589" t="n">
        <v>1</v>
      </c>
      <c r="S589" t="n">
        <v>1.05</v>
      </c>
      <c r="T589">
        <f>LN(SQRT(EXP(
SQRT(
+POWER(LN(M589),2)
+POWER(LN(N589),2)
+POWER(LN(O589),2)
+POWER(LN(P589),2)
+POWER(LN(Q589),2)
+POWER(LN(R589),2)
+POWER(LN(S589),2)
)
)))</f>
        <v>9.4886477223156879E-2</v>
      </c>
    </row>
    <row r="590">
      <c r="A590" t="inlineStr">
        <is>
          <t>Carbon dioxide, non-fossil</t>
        </is>
      </c>
      <c r="B590">
        <f>unallocated!B224/I590*J590</f>
        <v>5.1804423748544812E-2</v>
      </c>
      <c r="D590" t="inlineStr">
        <is>
          <t>kilogram</t>
        </is>
      </c>
      <c r="E590" t="inlineStr">
        <is>
          <t>air::urban air close to ground</t>
        </is>
      </c>
      <c r="F590" t="inlineStr">
        <is>
          <t>biosphere</t>
        </is>
      </c>
      <c r="I590" s="6" t="n">
        <v>478</v>
      </c>
      <c r="J590" s="14">
        <f>J565</f>
        <v>0.27823050058207216</v>
      </c>
      <c r="K590" t="n">
        <v>2</v>
      </c>
      <c r="L590" s="3">
        <f>LN(B590)</f>
        <v>-2.9602797328120611</v>
      </c>
      <c r="M590" t="n">
        <v>1</v>
      </c>
      <c r="N590" t="n">
        <v>1</v>
      </c>
      <c r="O590" t="n">
        <v>1</v>
      </c>
      <c r="P590" t="n">
        <v>1.02</v>
      </c>
      <c r="Q590" t="n">
        <v>1.2</v>
      </c>
      <c r="R590" t="n">
        <v>1</v>
      </c>
      <c r="S590" t="n">
        <v>1.05</v>
      </c>
      <c r="T590">
        <f>LN(SQRT(EXP(
SQRT(
+POWER(LN(M590),2)
+POWER(LN(N590),2)
+POWER(LN(O590),2)
+POWER(LN(P590),2)
+POWER(LN(Q590),2)
+POWER(LN(R590),2)
+POWER(LN(S590),2)
)
)))</f>
        <v>9.4886477223156879E-2</v>
      </c>
    </row>
    <row r="591">
      <c r="A591" t="inlineStr">
        <is>
          <t>Carbon dioxide, in air</t>
        </is>
      </c>
      <c r="B591">
        <f>unallocated!B225/I591*J591</f>
        <v>0.29394644935972059</v>
      </c>
      <c r="D591" t="inlineStr">
        <is>
          <t>kilogram</t>
        </is>
      </c>
      <c r="E591" t="inlineStr">
        <is>
          <t>natural resource::in air</t>
        </is>
      </c>
      <c r="F591" t="inlineStr">
        <is>
          <t>biosphere</t>
        </is>
      </c>
      <c r="H591" t="inlineStr">
        <is>
          <t>To reflect the permanent storage of non-fossil CO.</t>
        </is>
      </c>
      <c r="I591" s="6" t="n">
        <v>478</v>
      </c>
      <c r="J591" s="14">
        <f>J565</f>
        <v>0.27823050058207216</v>
      </c>
      <c r="K591" t="n">
        <v>2</v>
      </c>
      <c r="L591" s="3">
        <f>LN(B591)</f>
        <v>-1.2243576732688408</v>
      </c>
      <c r="M591" t="n">
        <v>1</v>
      </c>
      <c r="N591" t="n">
        <v>1</v>
      </c>
      <c r="O591" t="n">
        <v>1</v>
      </c>
      <c r="P591" t="n">
        <v>1.02</v>
      </c>
      <c r="Q591" t="n">
        <v>1.2</v>
      </c>
      <c r="R591" t="n">
        <v>1</v>
      </c>
      <c r="S591" t="n">
        <v>1.05</v>
      </c>
      <c r="T591">
        <f>LN(SQRT(EXP(
SQRT(
+POWER(LN(M591),2)
+POWER(LN(N591),2)
+POWER(LN(O591),2)
+POWER(LN(P591),2)
+POWER(LN(Q591),2)
+POWER(LN(R591),2)
+POWER(LN(S591),2)
)
)))</f>
        <v>9.4886477223156879E-2</v>
      </c>
    </row>
    <row r="592"/>
    <row r="593">
      <c r="A593" s="1" t="inlineStr">
        <is>
          <t>Activity</t>
        </is>
      </c>
      <c r="B593" s="1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</row>
    <row r="594">
      <c r="A594" t="inlineStr">
        <is>
          <t>location</t>
        </is>
      </c>
      <c r="B594" t="inlineStr">
        <is>
          <t>RER</t>
        </is>
      </c>
    </row>
    <row r="595">
      <c r="A595" t="inlineStr">
        <is>
          <t>production amount</t>
        </is>
      </c>
      <c r="B595" t="n">
        <v>1</v>
      </c>
    </row>
    <row r="596">
      <c r="A596" s="2" t="inlineStr">
        <is>
          <t>source</t>
        </is>
      </c>
      <c r="B596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597">
      <c r="A597" t="inlineStr">
        <is>
          <t>reference product</t>
        </is>
      </c>
      <c r="B597" t="inlineStr">
        <is>
          <t>municipal solid waste</t>
        </is>
      </c>
    </row>
    <row r="598">
      <c r="A598" t="inlineStr">
        <is>
          <t>type</t>
        </is>
      </c>
      <c r="B598" t="inlineStr">
        <is>
          <t>process</t>
        </is>
      </c>
    </row>
    <row r="599">
      <c r="A599" t="inlineStr">
        <is>
          <t>unit</t>
        </is>
      </c>
      <c r="B599" t="inlineStr">
        <is>
          <t>kilogram</t>
        </is>
      </c>
    </row>
    <row r="600">
      <c r="A600" t="inlineStr">
        <is>
          <t>comment</t>
        </is>
      </c>
      <c r="B600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Yes. Electricity production per ton MSWI incinerated: 312 kWh. Heat production per ton MSWI incinerated: 7'400 MJ.</t>
        </is>
      </c>
    </row>
    <row r="601">
      <c r="A601" s="1" t="inlineStr">
        <is>
          <t>Exchanges</t>
        </is>
      </c>
    </row>
    <row r="602">
      <c r="A602" s="7" t="inlineStr">
        <is>
          <t>name</t>
        </is>
      </c>
      <c r="B602" s="7" t="inlineStr">
        <is>
          <t>amount</t>
        </is>
      </c>
      <c r="C602" s="7" t="inlineStr">
        <is>
          <t>location</t>
        </is>
      </c>
      <c r="D602" s="7" t="inlineStr">
        <is>
          <t>unit</t>
        </is>
      </c>
      <c r="E602" s="7" t="inlineStr">
        <is>
          <t>categories</t>
        </is>
      </c>
      <c r="F602" s="7" t="inlineStr">
        <is>
          <t>type</t>
        </is>
      </c>
      <c r="G602" s="7" t="inlineStr">
        <is>
          <t>reference product</t>
        </is>
      </c>
      <c r="H602" s="7" t="inlineStr">
        <is>
          <t>comment</t>
        </is>
      </c>
      <c r="I602" s="7" t="inlineStr">
        <is>
          <t>normalization</t>
        </is>
      </c>
      <c r="J602" s="7" t="inlineStr">
        <is>
          <t>allocation</t>
        </is>
      </c>
      <c r="K602" s="7" t="inlineStr">
        <is>
          <t>uncertainty type</t>
        </is>
      </c>
      <c r="L602" s="7" t="inlineStr">
        <is>
          <t>loc</t>
        </is>
      </c>
      <c r="M602" s="1" t="inlineStr">
        <is>
          <t>u1</t>
        </is>
      </c>
      <c r="N602" s="1" t="inlineStr">
        <is>
          <t>u2</t>
        </is>
      </c>
      <c r="O602" s="1" t="inlineStr">
        <is>
          <t>u3</t>
        </is>
      </c>
      <c r="P602" s="1" t="inlineStr">
        <is>
          <t>u4</t>
        </is>
      </c>
      <c r="Q602" s="1" t="inlineStr">
        <is>
          <t>u5</t>
        </is>
      </c>
      <c r="R602" s="1" t="inlineStr">
        <is>
          <t>u6</t>
        </is>
      </c>
      <c r="S602" s="1" t="inlineStr">
        <is>
          <t>ub</t>
        </is>
      </c>
      <c r="T602" s="1" t="inlineStr">
        <is>
          <t>scale</t>
        </is>
      </c>
      <c r="U602" s="1" t="inlineStr">
        <is>
          <t>negative</t>
        </is>
      </c>
    </row>
    <row r="603">
      <c r="A603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B603" t="n">
        <v>1</v>
      </c>
      <c r="C603" t="inlineStr">
        <is>
          <t>RER</t>
        </is>
      </c>
      <c r="D603" t="inlineStr">
        <is>
          <t>kilogram</t>
        </is>
      </c>
      <c r="F603" t="inlineStr">
        <is>
          <t>production</t>
        </is>
      </c>
      <c r="G603" t="inlineStr">
        <is>
          <t>municipal solid waste</t>
        </is>
      </c>
      <c r="H603" t="inlineStr"/>
      <c r="I603" t="n">
        <v>1000</v>
      </c>
      <c r="J603" s="14">
        <f>INDEX('allocation keys'!$L$4:$N$30,MATCH('allocated (economic)'!$B$593,'allocation keys'!$B$4:$B$28,0),MATCH('allocated (economic)'!$B$597,'allocation keys'!$L$3:$N$3,0))</f>
        <v>0.53073103920561548</v>
      </c>
      <c r="K603" t="n">
        <v>0</v>
      </c>
      <c r="M603" s="5" t="n"/>
      <c r="N603" s="5" t="n"/>
      <c r="O603" s="5" t="n"/>
      <c r="P603" s="5" t="n"/>
      <c r="Q603" s="5" t="n"/>
      <c r="R603" s="5" t="n"/>
    </row>
    <row r="604">
      <c r="A604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B604" s="6" t="n">
        <v>0</v>
      </c>
      <c r="C604" t="inlineStr">
        <is>
          <t>RER</t>
        </is>
      </c>
      <c r="D604" t="inlineStr">
        <is>
          <t>kilowatt hour</t>
        </is>
      </c>
      <c r="F604" t="inlineStr">
        <is>
          <t>technosphere</t>
        </is>
      </c>
      <c r="G604" t="inlineStr">
        <is>
          <t>electricity, medium voltage</t>
        </is>
      </c>
      <c r="H604" t="inlineStr"/>
      <c r="I604" t="n">
        <v>1000</v>
      </c>
      <c r="J604" s="11">
        <f>J603</f>
        <v>0.53073103920561548</v>
      </c>
      <c r="K604" t="n">
        <v>0</v>
      </c>
      <c r="L604" s="3" t="n"/>
    </row>
    <row r="605">
      <c r="A605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B605" t="n">
        <v>0</v>
      </c>
      <c r="C605" t="inlineStr">
        <is>
          <t>RER</t>
        </is>
      </c>
      <c r="D605" t="inlineStr">
        <is>
          <t>megajoule</t>
        </is>
      </c>
      <c r="F605" t="inlineStr">
        <is>
          <t>technosphere</t>
        </is>
      </c>
      <c r="G605" t="inlineStr">
        <is>
          <t>heat, district or industrial, other than natural gas</t>
        </is>
      </c>
      <c r="H605" t="inlineStr"/>
      <c r="I605" t="n">
        <v>1000</v>
      </c>
      <c r="J605" s="11">
        <f>J603</f>
        <v>0.53073103920561548</v>
      </c>
      <c r="K605" t="n">
        <v>0</v>
      </c>
      <c r="L605" s="3" t="n"/>
    </row>
    <row r="606">
      <c r="A606" t="inlineStr">
        <is>
          <t>market for diesel, low-sulfur</t>
        </is>
      </c>
      <c r="B606">
        <f>unallocated!B240/I606*J606</f>
        <v>4.511213833247732E-5</v>
      </c>
      <c r="C606" t="inlineStr">
        <is>
          <t>Europe without Switzerland</t>
        </is>
      </c>
      <c r="D606" t="inlineStr">
        <is>
          <t>kilogram</t>
        </is>
      </c>
      <c r="F606" t="inlineStr">
        <is>
          <t>technosphere</t>
        </is>
      </c>
      <c r="G606" t="inlineStr">
        <is>
          <t>diesel, low-sulfur</t>
        </is>
      </c>
      <c r="H606" t="inlineStr">
        <is>
          <t>Diesel density: 0.85 kg/l</t>
        </is>
      </c>
      <c r="I606" t="n">
        <v>1000</v>
      </c>
      <c r="J606" s="11">
        <f>J603</f>
        <v>0.53073103920561548</v>
      </c>
      <c r="K606" t="n">
        <v>2</v>
      </c>
      <c r="L606" s="3">
        <f>LN(B606)</f>
        <v>-10.006359205041029</v>
      </c>
      <c r="M606" t="n">
        <v>1</v>
      </c>
      <c r="N606" t="n">
        <v>1</v>
      </c>
      <c r="O606" t="n">
        <v>1</v>
      </c>
      <c r="P606" t="n">
        <v>1.02</v>
      </c>
      <c r="Q606" t="n">
        <v>1.2</v>
      </c>
      <c r="R606" t="n">
        <v>1</v>
      </c>
      <c r="S606" t="n">
        <v>1.05</v>
      </c>
      <c r="T606">
        <f>LN(SQRT(EXP(
SQRT(
+POWER(LN(M606),2)
+POWER(LN(N606),2)
+POWER(LN(O606),2)
+POWER(LN(P606),2)
+POWER(LN(Q606),2)
+POWER(LN(R606),2)
+POWER(LN(S606),2)
)
)))</f>
        <v>9.4886477223156879E-2</v>
      </c>
    </row>
    <row r="607">
      <c r="A607" t="inlineStr">
        <is>
          <t>market for activated carbon, granular</t>
        </is>
      </c>
      <c r="B607">
        <f>unallocated!B241/I607*J607</f>
        <v>2.1229241568224621E-4</v>
      </c>
      <c r="C607" t="inlineStr">
        <is>
          <t>GLO</t>
        </is>
      </c>
      <c r="D607" t="inlineStr">
        <is>
          <t>kilogram</t>
        </is>
      </c>
      <c r="F607" t="inlineStr">
        <is>
          <t>technosphere</t>
        </is>
      </c>
      <c r="G607" t="inlineStr">
        <is>
          <t>activated carbon, granular</t>
        </is>
      </c>
      <c r="I607" t="n">
        <v>1000</v>
      </c>
      <c r="J607" s="11">
        <f>J603</f>
        <v>0.53073103920561548</v>
      </c>
      <c r="K607" t="n">
        <v>2</v>
      </c>
      <c r="L607" s="3">
        <f>LN(B607)</f>
        <v>-8.4575459144233633</v>
      </c>
      <c r="M607" t="n">
        <v>1</v>
      </c>
      <c r="N607" t="n">
        <v>1</v>
      </c>
      <c r="O607" t="n">
        <v>1</v>
      </c>
      <c r="P607" t="n">
        <v>1.02</v>
      </c>
      <c r="Q607" t="n">
        <v>1.2</v>
      </c>
      <c r="R607" t="n">
        <v>1</v>
      </c>
      <c r="S607" t="n">
        <v>1.05</v>
      </c>
      <c r="T607">
        <f>LN(SQRT(EXP(
SQRT(
+POWER(LN(M607),2)
+POWER(LN(N607),2)
+POWER(LN(O607),2)
+POWER(LN(P607),2)
+POWER(LN(Q607),2)
+POWER(LN(R607),2)
+POWER(LN(S607),2)
)
)))</f>
        <v>9.4886477223156879E-2</v>
      </c>
    </row>
    <row r="608">
      <c r="A608" t="inlineStr">
        <is>
          <t>market for ammonia, anhydrous, liquid</t>
        </is>
      </c>
      <c r="B608">
        <f>unallocated!B242/I608*J608</f>
        <v>5.2011641842150311E-4</v>
      </c>
      <c r="C608" t="inlineStr">
        <is>
          <t>RER</t>
        </is>
      </c>
      <c r="D608" t="inlineStr">
        <is>
          <t>kilogram</t>
        </is>
      </c>
      <c r="F608" t="inlineStr">
        <is>
          <t>technosphere</t>
        </is>
      </c>
      <c r="G608" t="inlineStr">
        <is>
          <t>ammonia, anhydrous, liquid</t>
        </is>
      </c>
      <c r="H608" t="inlineStr">
        <is>
          <t>100% liquid ammonia. In original publication, it is dilluated to 23.5% in water. We discount the original value by 75%.</t>
        </is>
      </c>
      <c r="I608" t="n">
        <v>1000</v>
      </c>
      <c r="J608" s="11">
        <f>J603</f>
        <v>0.53073103920561548</v>
      </c>
      <c r="K608" t="n">
        <v>2</v>
      </c>
      <c r="L608" s="3">
        <f>LN(B608)</f>
        <v>-7.5614578898667286</v>
      </c>
      <c r="M608" t="n">
        <v>1</v>
      </c>
      <c r="N608" t="n">
        <v>1</v>
      </c>
      <c r="O608" t="n">
        <v>1</v>
      </c>
      <c r="P608" t="n">
        <v>1.02</v>
      </c>
      <c r="Q608" t="n">
        <v>1.2</v>
      </c>
      <c r="R608" t="n">
        <v>1</v>
      </c>
      <c r="S608" t="n">
        <v>1.05</v>
      </c>
      <c r="T608">
        <f>LN(SQRT(EXP(
SQRT(
+POWER(LN(M608),2)
+POWER(LN(N608),2)
+POWER(LN(O608),2)
+POWER(LN(P608),2)
+POWER(LN(Q608),2)
+POWER(LN(R608),2)
+POWER(LN(S608),2)
)
)))</f>
        <v>9.4886477223156879E-2</v>
      </c>
    </row>
    <row r="609">
      <c r="A609" t="inlineStr">
        <is>
          <t>market for tap water</t>
        </is>
      </c>
      <c r="B609">
        <f>unallocated!B243/I609*J609</f>
        <v>1.6028077384009588E-3</v>
      </c>
      <c r="C609" t="inlineStr">
        <is>
          <t>Europe without Switzerland</t>
        </is>
      </c>
      <c r="D609" t="inlineStr">
        <is>
          <t>kilogram</t>
        </is>
      </c>
      <c r="F609" t="inlineStr">
        <is>
          <t>technosphere</t>
        </is>
      </c>
      <c r="G609" t="inlineStr">
        <is>
          <t>tap water</t>
        </is>
      </c>
      <c r="H609" t="inlineStr">
        <is>
          <t>Used to dilute the ammonia.</t>
        </is>
      </c>
      <c r="I609" t="n">
        <v>1000</v>
      </c>
      <c r="J609" s="11">
        <f>J603</f>
        <v>0.53073103920561548</v>
      </c>
      <c r="K609" t="n">
        <v>2</v>
      </c>
      <c r="L609" s="3">
        <f>LN(B609)</f>
        <v>-6.4359983511624304</v>
      </c>
      <c r="M609" t="n">
        <v>1</v>
      </c>
      <c r="N609" t="n">
        <v>1</v>
      </c>
      <c r="O609" t="n">
        <v>1</v>
      </c>
      <c r="P609" t="n">
        <v>1.02</v>
      </c>
      <c r="Q609" t="n">
        <v>1.2</v>
      </c>
      <c r="R609" t="n">
        <v>1</v>
      </c>
      <c r="S609" t="n">
        <v>1.05</v>
      </c>
      <c r="T609">
        <f>LN(SQRT(EXP(
SQRT(
+POWER(LN(M609),2)
+POWER(LN(N609),2)
+POWER(LN(O609),2)
+POWER(LN(P609),2)
+POWER(LN(Q609),2)
+POWER(LN(R609),2)
+POWER(LN(S609),2)
)
)))</f>
        <v>9.4886477223156879E-2</v>
      </c>
    </row>
    <row r="610">
      <c r="A610" t="inlineStr">
        <is>
          <t>market for calcium carbonate, precipitated</t>
        </is>
      </c>
      <c r="B610">
        <f>unallocated!B244/I610*J610</f>
        <v>0</v>
      </c>
      <c r="C610" t="inlineStr">
        <is>
          <t>RER</t>
        </is>
      </c>
      <c r="D610" t="inlineStr">
        <is>
          <t>kilogram</t>
        </is>
      </c>
      <c r="F610" t="inlineStr">
        <is>
          <t>technosphere</t>
        </is>
      </c>
      <c r="G610" t="inlineStr">
        <is>
          <t>calcium carbonate, precipitated</t>
        </is>
      </c>
      <c r="I610" t="n">
        <v>1000</v>
      </c>
      <c r="J610" s="11">
        <f>J603</f>
        <v>0.53073103920561548</v>
      </c>
      <c r="K610" t="n">
        <v>0</v>
      </c>
      <c r="L610" s="3" t="n"/>
    </row>
    <row r="611">
      <c r="A611" t="inlineStr">
        <is>
          <t>market for iron(III) chloride, without water, in 40% solution state</t>
        </is>
      </c>
      <c r="B611">
        <f>unallocated!B245/I611*J611</f>
        <v>0</v>
      </c>
      <c r="C611" t="inlineStr">
        <is>
          <t>GLO</t>
        </is>
      </c>
      <c r="D611" t="inlineStr">
        <is>
          <t>kilogram</t>
        </is>
      </c>
      <c r="F611" t="inlineStr">
        <is>
          <t>technosphere</t>
        </is>
      </c>
      <c r="G611" t="inlineStr">
        <is>
          <t>iron(III) chloride, without water, in 40% solution state</t>
        </is>
      </c>
      <c r="I611" t="n">
        <v>1000</v>
      </c>
      <c r="J611" s="11">
        <f>J603</f>
        <v>0.53073103920561548</v>
      </c>
      <c r="K611" t="n">
        <v>0</v>
      </c>
      <c r="L611" s="3" t="n"/>
    </row>
    <row r="612">
      <c r="A612" t="inlineStr">
        <is>
          <t>market for lime, hydrated, packed</t>
        </is>
      </c>
      <c r="B612">
        <f>unallocated!B246/I612*J612</f>
        <v>5.3073103920561549E-3</v>
      </c>
      <c r="C612" t="inlineStr">
        <is>
          <t>RER</t>
        </is>
      </c>
      <c r="D612" t="inlineStr">
        <is>
          <t>kilogram</t>
        </is>
      </c>
      <c r="F612" t="inlineStr">
        <is>
          <t>technosphere</t>
        </is>
      </c>
      <c r="G612" t="inlineStr">
        <is>
          <t>lime, hydrated, packed</t>
        </is>
      </c>
      <c r="I612" t="n">
        <v>1000</v>
      </c>
      <c r="J612" s="11">
        <f>J603</f>
        <v>0.53073103920561548</v>
      </c>
      <c r="K612" t="n">
        <v>2</v>
      </c>
      <c r="L612" s="3">
        <f>LN(B612)</f>
        <v>-5.2386700895551632</v>
      </c>
      <c r="M612" t="n">
        <v>1</v>
      </c>
      <c r="N612" t="n">
        <v>1</v>
      </c>
      <c r="O612" t="n">
        <v>1</v>
      </c>
      <c r="P612" t="n">
        <v>1.02</v>
      </c>
      <c r="Q612" t="n">
        <v>1.2</v>
      </c>
      <c r="R612" t="n">
        <v>1</v>
      </c>
      <c r="S612" t="n">
        <v>1.05</v>
      </c>
      <c r="T612">
        <f>LN(SQRT(EXP(
SQRT(
+POWER(LN(M612),2)
+POWER(LN(N612),2)
+POWER(LN(O612),2)
+POWER(LN(P612),2)
+POWER(LN(Q612),2)
+POWER(LN(R612),2)
+POWER(LN(S612),2)
)
)))</f>
        <v>9.4886477223156879E-2</v>
      </c>
    </row>
    <row r="613">
      <c r="A613" t="inlineStr">
        <is>
          <t>market for sodium hydroxide, without water, in 50% solution state</t>
        </is>
      </c>
      <c r="B613">
        <f>unallocated!B247/I613*J613</f>
        <v>1.3268275980140388E-4</v>
      </c>
      <c r="C613" t="inlineStr">
        <is>
          <t>RER</t>
        </is>
      </c>
      <c r="D613" t="inlineStr">
        <is>
          <t>kilogram</t>
        </is>
      </c>
      <c r="F613" t="inlineStr">
        <is>
          <t>technosphere</t>
        </is>
      </c>
      <c r="G613" t="inlineStr">
        <is>
          <t>sodium hydroxide, without water, in 50% solution state</t>
        </is>
      </c>
      <c r="H613" t="inlineStr">
        <is>
          <t>50% liquid ammonia. In original publication, it is dilluated to 27% in water. We discount the original value by 50%.</t>
        </is>
      </c>
      <c r="I613" t="n">
        <v>1000</v>
      </c>
      <c r="J613" s="11">
        <f>J603</f>
        <v>0.53073103920561548</v>
      </c>
      <c r="K613" t="n">
        <v>0</v>
      </c>
      <c r="L613" s="3" t="n"/>
    </row>
    <row r="614">
      <c r="A614" t="inlineStr">
        <is>
          <t>market for monoethanolamine</t>
        </is>
      </c>
      <c r="B614">
        <f>unallocated!B248/I614*J614</f>
        <v>2.1229241568224621E-3</v>
      </c>
      <c r="C614" t="inlineStr">
        <is>
          <t>GLO</t>
        </is>
      </c>
      <c r="D614" t="inlineStr">
        <is>
          <t>kilogram</t>
        </is>
      </c>
      <c r="F614" t="inlineStr">
        <is>
          <t>technosphere</t>
        </is>
      </c>
      <c r="G614" t="inlineStr">
        <is>
          <t>monoethanolamine</t>
        </is>
      </c>
      <c r="I614" t="n">
        <v>1000</v>
      </c>
      <c r="J614" s="11">
        <f>J603</f>
        <v>0.53073103920561548</v>
      </c>
      <c r="K614" t="n">
        <v>0</v>
      </c>
      <c r="L614" s="3" t="n"/>
    </row>
    <row r="615">
      <c r="A615" t="inlineStr">
        <is>
          <t>municipal waste incineration facility construction</t>
        </is>
      </c>
      <c r="B615">
        <f>unallocated!B249/I615*J615</f>
        <v>1.3268275980140385E-10</v>
      </c>
      <c r="C615" t="inlineStr">
        <is>
          <t>CH</t>
        </is>
      </c>
      <c r="D615" t="inlineStr">
        <is>
          <t>unit</t>
        </is>
      </c>
      <c r="F615" t="inlineStr">
        <is>
          <t>technosphere</t>
        </is>
      </c>
      <c r="G615" t="inlineStr">
        <is>
          <t>municipal waste incineration facility</t>
        </is>
      </c>
      <c r="H615" t="inlineStr">
        <is>
          <t>Lifetime: 4'000'000 tons MSWI treated.</t>
        </is>
      </c>
      <c r="I615" t="n">
        <v>1000</v>
      </c>
      <c r="J615" s="11">
        <f>J603</f>
        <v>0.53073103920561548</v>
      </c>
      <c r="K615" t="n">
        <v>2</v>
      </c>
      <c r="L615" s="3">
        <f>LN(B615)</f>
        <v>-22.743060101633375</v>
      </c>
      <c r="M615" t="n">
        <v>1</v>
      </c>
      <c r="N615" t="n">
        <v>1</v>
      </c>
      <c r="O615" t="n">
        <v>1</v>
      </c>
      <c r="P615" t="n">
        <v>1.02</v>
      </c>
      <c r="Q615" t="n">
        <v>1.2</v>
      </c>
      <c r="R615" t="n">
        <v>1</v>
      </c>
      <c r="S615" t="n">
        <v>3</v>
      </c>
      <c r="T615">
        <f>LN(SQRT(EXP(
SQRT(
+POWER(LN(M615),2)
+POWER(LN(N615),2)
+POWER(LN(O615),2)
+POWER(LN(P615),2)
+POWER(LN(Q615),2)
+POWER(LN(R615),2)
+POWER(LN(S615),2)
)
)))</f>
        <v>0.5569071410325479</v>
      </c>
    </row>
    <row r="616">
      <c r="A616" t="inlineStr">
        <is>
          <t>carbon dioxide storage at wood burning power plant 20 MW post, pipeline 200km, storage 1000m</t>
        </is>
      </c>
      <c r="B616">
        <f>unallocated!B250/I616*J616</f>
        <v>0.4367916452662215</v>
      </c>
      <c r="C616" t="inlineStr">
        <is>
          <t>RER</t>
        </is>
      </c>
      <c r="D616" t="inlineStr">
        <is>
          <t>kilogram</t>
        </is>
      </c>
      <c r="F616" t="inlineStr">
        <is>
          <t>technosphere</t>
        </is>
      </c>
      <c r="G616" t="inlineStr">
        <is>
          <t>carbon dioxide storage at wood burning power plant 20 MW post, pipeline 200km, storage 1000m</t>
        </is>
      </c>
      <c r="I616" t="n">
        <v>1000</v>
      </c>
      <c r="J616" s="11">
        <f>J603</f>
        <v>0.53073103920561548</v>
      </c>
      <c r="K616" t="n">
        <v>2</v>
      </c>
      <c r="L616" s="3">
        <f>LN(B616)</f>
        <v>-0.82829898187213913</v>
      </c>
      <c r="M616" t="n">
        <v>1</v>
      </c>
      <c r="N616" t="n">
        <v>1</v>
      </c>
      <c r="O616" t="n">
        <v>1</v>
      </c>
      <c r="P616" t="n">
        <v>1.02</v>
      </c>
      <c r="Q616" t="n">
        <v>1.2</v>
      </c>
      <c r="R616" t="n">
        <v>1</v>
      </c>
      <c r="S616" t="n">
        <v>3</v>
      </c>
      <c r="T616">
        <f>LN(SQRT(EXP(
SQRT(
+POWER(LN(M616),2)
+POWER(LN(N616),2)
+POWER(LN(O616),2)
+POWER(LN(P616),2)
+POWER(LN(Q616),2)
+POWER(LN(R616),2)
+POWER(LN(S616),2)
)
)))</f>
        <v>0.5569071410325479</v>
      </c>
    </row>
    <row r="617">
      <c r="A617" t="inlineStr">
        <is>
          <t>Water, cooling, unspecified natural origin</t>
        </is>
      </c>
      <c r="B617">
        <f>unallocated!B251/I617*J617</f>
        <v>0</v>
      </c>
      <c r="D617" t="inlineStr">
        <is>
          <t>cubic meter</t>
        </is>
      </c>
      <c r="E617" t="inlineStr">
        <is>
          <t>natural resource::in water</t>
        </is>
      </c>
      <c r="F617" t="inlineStr">
        <is>
          <t>biosphere</t>
        </is>
      </c>
      <c r="I617" t="n">
        <v>1000</v>
      </c>
      <c r="J617" s="11">
        <f>J603</f>
        <v>0.53073103920561548</v>
      </c>
      <c r="K617" t="n">
        <v>0</v>
      </c>
      <c r="L617" s="3" t="n"/>
    </row>
    <row r="618">
      <c r="A618" t="inlineStr">
        <is>
          <t>Sulfur dioxide</t>
        </is>
      </c>
      <c r="B618">
        <f>unallocated!B252/I618*J618</f>
        <v>3.1843862352336931E-6</v>
      </c>
      <c r="D618" t="inlineStr">
        <is>
          <t>kilogram</t>
        </is>
      </c>
      <c r="E618" t="inlineStr">
        <is>
          <t>air::urban air close to ground</t>
        </is>
      </c>
      <c r="F618" t="inlineStr">
        <is>
          <t>biosphere</t>
        </is>
      </c>
      <c r="I618" t="n">
        <v>1000</v>
      </c>
      <c r="J618" s="11">
        <f>J603</f>
        <v>0.53073103920561548</v>
      </c>
      <c r="K618" t="n">
        <v>2</v>
      </c>
      <c r="L618" s="3">
        <f>LN(B618)</f>
        <v>-12.657250992303291</v>
      </c>
      <c r="M618" t="n">
        <v>1</v>
      </c>
      <c r="N618" t="n">
        <v>1</v>
      </c>
      <c r="O618" t="n">
        <v>1</v>
      </c>
      <c r="P618" t="n">
        <v>1.02</v>
      </c>
      <c r="Q618" t="n">
        <v>1.2</v>
      </c>
      <c r="R618" t="n">
        <v>1</v>
      </c>
      <c r="S618" t="n">
        <v>1.05</v>
      </c>
      <c r="T618">
        <f>LN(SQRT(EXP(
SQRT(
+POWER(LN(M618),2)
+POWER(LN(N618),2)
+POWER(LN(O618),2)
+POWER(LN(P618),2)
+POWER(LN(Q618),2)
+POWER(LN(R618),2)
+POWER(LN(S618),2)
)
)))</f>
        <v>9.4886477223156879E-2</v>
      </c>
    </row>
    <row r="619">
      <c r="A619" t="inlineStr">
        <is>
          <t>Hydrochloric acid</t>
        </is>
      </c>
      <c r="B619">
        <f>unallocated!B253/I619*J619</f>
        <v>1.5921931176168466E-6</v>
      </c>
      <c r="D619" t="inlineStr">
        <is>
          <t>kilogram</t>
        </is>
      </c>
      <c r="E619" t="inlineStr">
        <is>
          <t>air</t>
        </is>
      </c>
      <c r="F619" t="inlineStr">
        <is>
          <t>biosphere</t>
        </is>
      </c>
      <c r="I619" t="n">
        <v>1000</v>
      </c>
      <c r="J619" s="11">
        <f>J603</f>
        <v>0.53073103920561548</v>
      </c>
      <c r="K619" t="n">
        <v>2</v>
      </c>
      <c r="L619" s="3">
        <f>LN(B619)</f>
        <v>-13.350398172863237</v>
      </c>
      <c r="M619" t="n">
        <v>1</v>
      </c>
      <c r="N619" t="n">
        <v>1</v>
      </c>
      <c r="O619" t="n">
        <v>1</v>
      </c>
      <c r="P619" t="n">
        <v>1.02</v>
      </c>
      <c r="Q619" t="n">
        <v>1.2</v>
      </c>
      <c r="R619" t="n">
        <v>1</v>
      </c>
      <c r="S619" t="n">
        <v>1.5</v>
      </c>
      <c r="T619">
        <f>LN(SQRT(EXP(
SQRT(
+POWER(LN(M619),2)
+POWER(LN(N619),2)
+POWER(LN(O619),2)
+POWER(LN(P619),2)
+POWER(LN(Q619),2)
+POWER(LN(R619),2)
+POWER(LN(S619),2)
)
)))</f>
        <v>0.22250575723605889</v>
      </c>
    </row>
    <row r="620">
      <c r="A620" t="inlineStr">
        <is>
          <t>Nitrogen oxides</t>
        </is>
      </c>
      <c r="B620">
        <f>unallocated!B254/I620*J620</f>
        <v>3.5930491354220175E-4</v>
      </c>
      <c r="D620" t="inlineStr">
        <is>
          <t>kilogram</t>
        </is>
      </c>
      <c r="E620" t="inlineStr">
        <is>
          <t>air::urban air close to ground</t>
        </is>
      </c>
      <c r="F620" t="inlineStr">
        <is>
          <t>biosphere</t>
        </is>
      </c>
      <c r="I620" t="n">
        <v>1000</v>
      </c>
      <c r="J620" s="11">
        <f>J603</f>
        <v>0.53073103920561548</v>
      </c>
      <c r="K620" t="n">
        <v>2</v>
      </c>
      <c r="L620" s="3">
        <f>LN(B620)</f>
        <v>-7.9313391886190709</v>
      </c>
      <c r="M620" t="n">
        <v>1</v>
      </c>
      <c r="N620" t="n">
        <v>1</v>
      </c>
      <c r="O620" t="n">
        <v>1</v>
      </c>
      <c r="P620" t="n">
        <v>1.02</v>
      </c>
      <c r="Q620" t="n">
        <v>1.2</v>
      </c>
      <c r="R620" t="n">
        <v>1</v>
      </c>
      <c r="S620" t="n">
        <v>1.5</v>
      </c>
      <c r="T620">
        <f>LN(SQRT(EXP(
SQRT(
+POWER(LN(M620),2)
+POWER(LN(N620),2)
+POWER(LN(O620),2)
+POWER(LN(P620),2)
+POWER(LN(Q620),2)
+POWER(LN(R620),2)
+POWER(LN(S620),2)
)
)))</f>
        <v>0.22250575723605889</v>
      </c>
    </row>
    <row r="621">
      <c r="A621" t="inlineStr">
        <is>
          <t>Ammonia</t>
        </is>
      </c>
      <c r="B621">
        <f>unallocated!B255/I621*J621</f>
        <v>1.0614620784112311E-5</v>
      </c>
      <c r="D621" t="inlineStr">
        <is>
          <t>kilogram</t>
        </is>
      </c>
      <c r="E621" t="inlineStr">
        <is>
          <t>air::urban air close to ground</t>
        </is>
      </c>
      <c r="F621" t="inlineStr">
        <is>
          <t>biosphere</t>
        </is>
      </c>
      <c r="I621" t="n">
        <v>1000</v>
      </c>
      <c r="J621" s="11">
        <f>J603</f>
        <v>0.53073103920561548</v>
      </c>
      <c r="K621" t="n">
        <v>2</v>
      </c>
      <c r="L621" s="3">
        <f>LN(B621)</f>
        <v>-11.453278187977356</v>
      </c>
      <c r="M621" t="n">
        <v>1</v>
      </c>
      <c r="N621" t="n">
        <v>1</v>
      </c>
      <c r="O621" t="n">
        <v>1</v>
      </c>
      <c r="P621" t="n">
        <v>1.02</v>
      </c>
      <c r="Q621" t="n">
        <v>1.2</v>
      </c>
      <c r="R621" t="n">
        <v>1</v>
      </c>
      <c r="S621" t="n">
        <v>1.5</v>
      </c>
      <c r="T621">
        <f>LN(SQRT(EXP(
SQRT(
+POWER(LN(M621),2)
+POWER(LN(N621),2)
+POWER(LN(O621),2)
+POWER(LN(P621),2)
+POWER(LN(Q621),2)
+POWER(LN(R621),2)
+POWER(LN(S621),2)
)
)))</f>
        <v>0.22250575723605889</v>
      </c>
    </row>
    <row r="622">
      <c r="A622" t="inlineStr">
        <is>
          <t>Particulate Matter, &lt; 2.5 um</t>
        </is>
      </c>
      <c r="B622">
        <f>unallocated!B256/I622*J622</f>
        <v>3.1843862352336931E-6</v>
      </c>
      <c r="D622" t="inlineStr">
        <is>
          <t>kilogram</t>
        </is>
      </c>
      <c r="E622" t="inlineStr">
        <is>
          <t>air::urban air close to ground</t>
        </is>
      </c>
      <c r="F622" t="inlineStr">
        <is>
          <t>biosphere</t>
        </is>
      </c>
      <c r="I622" t="n">
        <v>1000</v>
      </c>
      <c r="J622" s="11">
        <f>J603</f>
        <v>0.53073103920561548</v>
      </c>
      <c r="K622" t="n">
        <v>2</v>
      </c>
      <c r="L622" s="3">
        <f>LN(B622)</f>
        <v>-12.657250992303291</v>
      </c>
      <c r="M622" t="n">
        <v>1</v>
      </c>
      <c r="N622" t="n">
        <v>1</v>
      </c>
      <c r="O622" t="n">
        <v>1</v>
      </c>
      <c r="P622" t="n">
        <v>1.02</v>
      </c>
      <c r="Q622" t="n">
        <v>1.2</v>
      </c>
      <c r="R622" t="n">
        <v>1</v>
      </c>
      <c r="S622" t="n">
        <v>3</v>
      </c>
      <c r="T622">
        <f>LN(SQRT(EXP(
SQRT(
+POWER(LN(M622),2)
+POWER(LN(N622),2)
+POWER(LN(O622),2)
+POWER(LN(P622),2)
+POWER(LN(Q622),2)
+POWER(LN(R622),2)
+POWER(LN(S622),2)
)
)))</f>
        <v>0.5569071410325479</v>
      </c>
    </row>
    <row r="623">
      <c r="A623" t="inlineStr">
        <is>
          <t>Mercury II</t>
        </is>
      </c>
      <c r="B623">
        <f>unallocated!B257/I623*J623</f>
        <v>3.1843862352336929E-9</v>
      </c>
      <c r="D623" t="inlineStr">
        <is>
          <t>kilogram</t>
        </is>
      </c>
      <c r="E623" t="inlineStr">
        <is>
          <t>air::urban air close to ground</t>
        </is>
      </c>
      <c r="F623" t="inlineStr">
        <is>
          <t>biosphere</t>
        </is>
      </c>
      <c r="I623" t="n">
        <v>1000</v>
      </c>
      <c r="J623" s="11">
        <f>J603</f>
        <v>0.53073103920561548</v>
      </c>
      <c r="K623" t="n">
        <v>2</v>
      </c>
      <c r="L623" s="3">
        <f>LN(B623)</f>
        <v>-19.565006271285426</v>
      </c>
      <c r="M623" t="n">
        <v>1</v>
      </c>
      <c r="N623" t="n">
        <v>1</v>
      </c>
      <c r="O623" t="n">
        <v>1</v>
      </c>
      <c r="P623" t="n">
        <v>1.02</v>
      </c>
      <c r="Q623" t="n">
        <v>1.2</v>
      </c>
      <c r="R623" t="n">
        <v>1</v>
      </c>
      <c r="S623" t="n">
        <v>5</v>
      </c>
      <c r="T623">
        <f>LN(SQRT(EXP(
SQRT(
+POWER(LN(M623),2)
+POWER(LN(N623),2)
+POWER(LN(O623),2)
+POWER(LN(P623),2)
+POWER(LN(Q623),2)
+POWER(LN(R623),2)
+POWER(LN(S623),2)
)
)))</f>
        <v>0.80992649174166365</v>
      </c>
    </row>
    <row r="624">
      <c r="A624" t="inlineStr">
        <is>
          <t>Lead II</t>
        </is>
      </c>
      <c r="B624">
        <f>unallocated!B258/I624*J624</f>
        <v>3.1843862352336929E-9</v>
      </c>
      <c r="D624" t="inlineStr">
        <is>
          <t>kilogram</t>
        </is>
      </c>
      <c r="E624" t="inlineStr">
        <is>
          <t>air::urban air close to ground</t>
        </is>
      </c>
      <c r="F624" t="inlineStr">
        <is>
          <t>biosphere</t>
        </is>
      </c>
      <c r="I624" t="n">
        <v>1000</v>
      </c>
      <c r="J624" s="11">
        <f>J603</f>
        <v>0.53073103920561548</v>
      </c>
      <c r="K624" t="n">
        <v>2</v>
      </c>
      <c r="L624" s="3">
        <f>LN(B624)</f>
        <v>-19.565006271285426</v>
      </c>
      <c r="M624" t="n">
        <v>1</v>
      </c>
      <c r="N624" t="n">
        <v>1</v>
      </c>
      <c r="O624" t="n">
        <v>1</v>
      </c>
      <c r="P624" t="n">
        <v>1.02</v>
      </c>
      <c r="Q624" t="n">
        <v>1.2</v>
      </c>
      <c r="R624" t="n">
        <v>1</v>
      </c>
      <c r="S624" t="n">
        <v>5</v>
      </c>
      <c r="T624">
        <f>LN(SQRT(EXP(
SQRT(
+POWER(LN(M624),2)
+POWER(LN(N624),2)
+POWER(LN(O624),2)
+POWER(LN(P624),2)
+POWER(LN(Q624),2)
+POWER(LN(R624),2)
+POWER(LN(S624),2)
)
)))</f>
        <v>0.80992649174166365</v>
      </c>
    </row>
    <row r="625">
      <c r="A625" t="inlineStr">
        <is>
          <t>Cadmium II</t>
        </is>
      </c>
      <c r="B625">
        <f>unallocated!B259/I625*J625</f>
        <v>1.5921931176168464E-9</v>
      </c>
      <c r="D625" t="inlineStr">
        <is>
          <t>kilogram</t>
        </is>
      </c>
      <c r="E625" t="inlineStr">
        <is>
          <t>air::urban air close to ground</t>
        </is>
      </c>
      <c r="F625" t="inlineStr">
        <is>
          <t>biosphere</t>
        </is>
      </c>
      <c r="I625" t="n">
        <v>1000</v>
      </c>
      <c r="J625" s="11">
        <f>J603</f>
        <v>0.53073103920561548</v>
      </c>
      <c r="K625" t="n">
        <v>2</v>
      </c>
      <c r="L625" s="3">
        <f>LN(B625)</f>
        <v>-20.258153451845374</v>
      </c>
      <c r="M625" t="n">
        <v>1</v>
      </c>
      <c r="N625" t="n">
        <v>1</v>
      </c>
      <c r="O625" t="n">
        <v>1</v>
      </c>
      <c r="P625" t="n">
        <v>1.02</v>
      </c>
      <c r="Q625" t="n">
        <v>1.2</v>
      </c>
      <c r="R625" t="n">
        <v>1</v>
      </c>
      <c r="S625" t="n">
        <v>5</v>
      </c>
      <c r="T625">
        <f>LN(SQRT(EXP(
SQRT(
+POWER(LN(M625),2)
+POWER(LN(N625),2)
+POWER(LN(O625),2)
+POWER(LN(P625),2)
+POWER(LN(Q625),2)
+POWER(LN(R625),2)
+POWER(LN(S625),2)
)
)))</f>
        <v>0.80992649174166365</v>
      </c>
    </row>
    <row r="626">
      <c r="A626" t="inlineStr">
        <is>
          <t>Arsenic ion</t>
        </is>
      </c>
      <c r="B626">
        <f>unallocated!B260/I626*J626</f>
        <v>1.5921931176168464E-9</v>
      </c>
      <c r="D626" t="inlineStr">
        <is>
          <t>kilogram</t>
        </is>
      </c>
      <c r="E626" t="inlineStr">
        <is>
          <t>air::urban air close to ground</t>
        </is>
      </c>
      <c r="F626" t="inlineStr">
        <is>
          <t>biosphere</t>
        </is>
      </c>
      <c r="I626" t="n">
        <v>1000</v>
      </c>
      <c r="J626" s="11">
        <f>J603</f>
        <v>0.53073103920561548</v>
      </c>
      <c r="K626" t="n">
        <v>2</v>
      </c>
      <c r="L626" s="3">
        <f>LN(B626)</f>
        <v>-20.258153451845374</v>
      </c>
      <c r="M626" t="n">
        <v>1</v>
      </c>
      <c r="N626" t="n">
        <v>1</v>
      </c>
      <c r="O626" t="n">
        <v>1</v>
      </c>
      <c r="P626" t="n">
        <v>1.02</v>
      </c>
      <c r="Q626" t="n">
        <v>1.2</v>
      </c>
      <c r="R626" t="n">
        <v>1</v>
      </c>
      <c r="S626" t="n">
        <v>5</v>
      </c>
      <c r="T626">
        <f>LN(SQRT(EXP(
SQRT(
+POWER(LN(M626),2)
+POWER(LN(N626),2)
+POWER(LN(O626),2)
+POWER(LN(P626),2)
+POWER(LN(Q626),2)
+POWER(LN(R626),2)
+POWER(LN(S626),2)
)
)))</f>
        <v>0.80992649174166365</v>
      </c>
    </row>
    <row r="627">
      <c r="A627" t="inlineStr">
        <is>
          <t>Dioxins, measured as 2,3,7,8-tetrachlorodibenzo-p-dioxin</t>
        </is>
      </c>
      <c r="B627">
        <f>unallocated!B261/I627*J627</f>
        <v>5.8380414312617714E-14</v>
      </c>
      <c r="D627" t="inlineStr">
        <is>
          <t>kilogram</t>
        </is>
      </c>
      <c r="E627" t="inlineStr">
        <is>
          <t>air::urban air close to ground</t>
        </is>
      </c>
      <c r="F627" t="inlineStr">
        <is>
          <t>biosphere</t>
        </is>
      </c>
      <c r="I627" t="n">
        <v>1000</v>
      </c>
      <c r="J627" s="11">
        <f>J603</f>
        <v>0.53073103920561548</v>
      </c>
      <c r="K627" t="n">
        <v>2</v>
      </c>
      <c r="L627" s="3">
        <f>LN(B627)</f>
        <v>-30.471795932685339</v>
      </c>
      <c r="M627" t="n">
        <v>1</v>
      </c>
      <c r="N627" t="n">
        <v>1</v>
      </c>
      <c r="O627" t="n">
        <v>1</v>
      </c>
      <c r="P627" t="n">
        <v>1.02</v>
      </c>
      <c r="Q627" t="n">
        <v>1.2</v>
      </c>
      <c r="R627" t="n">
        <v>1</v>
      </c>
      <c r="S627" t="n">
        <v>5</v>
      </c>
      <c r="T627">
        <f>LN(SQRT(EXP(
SQRT(
+POWER(LN(M627),2)
+POWER(LN(N627),2)
+POWER(LN(O627),2)
+POWER(LN(P627),2)
+POWER(LN(Q627),2)
+POWER(LN(R627),2)
+POWER(LN(S627),2)
)
)))</f>
        <v>0.80992649174166365</v>
      </c>
    </row>
    <row r="628">
      <c r="A628" t="inlineStr">
        <is>
          <t>Carbon dioxide, fossil</t>
        </is>
      </c>
      <c r="B628">
        <f>unallocated!B262/I628*J628</f>
        <v>2.9720938195514468E-2</v>
      </c>
      <c r="D628" t="inlineStr">
        <is>
          <t>kilogram</t>
        </is>
      </c>
      <c r="E628" t="inlineStr">
        <is>
          <t>air::urban air close to ground</t>
        </is>
      </c>
      <c r="F628" t="inlineStr">
        <is>
          <t>biosphere</t>
        </is>
      </c>
      <c r="I628" t="n">
        <v>1000</v>
      </c>
      <c r="J628" s="11">
        <f>J603</f>
        <v>0.53073103920561548</v>
      </c>
      <c r="K628" t="n">
        <v>2</v>
      </c>
      <c r="L628" s="3">
        <f>LN(B628)</f>
        <v>-3.5159034918140595</v>
      </c>
      <c r="M628" t="n">
        <v>1</v>
      </c>
      <c r="N628" t="n">
        <v>1</v>
      </c>
      <c r="O628" t="n">
        <v>1</v>
      </c>
      <c r="P628" t="n">
        <v>1.02</v>
      </c>
      <c r="Q628" t="n">
        <v>1.2</v>
      </c>
      <c r="R628" t="n">
        <v>1</v>
      </c>
      <c r="S628" t="n">
        <v>1.05</v>
      </c>
      <c r="T628">
        <f>LN(SQRT(EXP(
SQRT(
+POWER(LN(M628),2)
+POWER(LN(N628),2)
+POWER(LN(O628),2)
+POWER(LN(P628),2)
+POWER(LN(Q628),2)
+POWER(LN(R628),2)
+POWER(LN(S628),2)
)
)))</f>
        <v>9.4886477223156879E-2</v>
      </c>
    </row>
    <row r="629">
      <c r="A629" t="inlineStr">
        <is>
          <t>Carbon dioxide, non-fossil</t>
        </is>
      </c>
      <c r="B629">
        <f>unallocated!B263/I629*J629</f>
        <v>4.7235062489299776E-2</v>
      </c>
      <c r="D629" t="inlineStr">
        <is>
          <t>kilogram</t>
        </is>
      </c>
      <c r="E629" t="inlineStr">
        <is>
          <t>air::urban air close to ground</t>
        </is>
      </c>
      <c r="F629" t="inlineStr">
        <is>
          <t>biosphere</t>
        </is>
      </c>
      <c r="I629" t="n">
        <v>1000</v>
      </c>
      <c r="J629" s="14">
        <f>J603</f>
        <v>0.53073103920561548</v>
      </c>
      <c r="K629" t="n">
        <v>2</v>
      </c>
      <c r="L629" s="3">
        <f>LN(B629)</f>
        <v>-3.052618812817069</v>
      </c>
      <c r="M629" t="n">
        <v>1</v>
      </c>
      <c r="N629" t="n">
        <v>1</v>
      </c>
      <c r="O629" t="n">
        <v>1</v>
      </c>
      <c r="P629" t="n">
        <v>1.02</v>
      </c>
      <c r="Q629" t="n">
        <v>1.2</v>
      </c>
      <c r="R629" t="n">
        <v>1</v>
      </c>
      <c r="S629" t="n">
        <v>1.05</v>
      </c>
      <c r="T629">
        <f>LN(SQRT(EXP(
SQRT(
+POWER(LN(M629),2)
+POWER(LN(N629),2)
+POWER(LN(O629),2)
+POWER(LN(P629),2)
+POWER(LN(Q629),2)
+POWER(LN(R629),2)
+POWER(LN(S629),2)
)
)))</f>
        <v>9.4886477223156879E-2</v>
      </c>
    </row>
    <row r="630">
      <c r="A630" t="inlineStr">
        <is>
          <t>Carbon dioxide, in air</t>
        </is>
      </c>
      <c r="B630">
        <f>unallocated!B264/I630*J630</f>
        <v>0.2680191747988358</v>
      </c>
      <c r="D630" t="inlineStr">
        <is>
          <t>kilogram</t>
        </is>
      </c>
      <c r="E630" t="inlineStr">
        <is>
          <t>natural resource::in air</t>
        </is>
      </c>
      <c r="F630" t="inlineStr">
        <is>
          <t>biosphere</t>
        </is>
      </c>
      <c r="H630" t="inlineStr">
        <is>
          <t>To reflect the permanent storage of non-fossil CO.</t>
        </is>
      </c>
      <c r="I630" t="n">
        <v>1000</v>
      </c>
      <c r="J630" s="14">
        <f>J603</f>
        <v>0.53073103920561548</v>
      </c>
      <c r="K630" t="n">
        <v>2</v>
      </c>
      <c r="L630" s="3">
        <f>LN(B630)</f>
        <v>-1.3166967532738489</v>
      </c>
      <c r="M630" t="n">
        <v>1</v>
      </c>
      <c r="N630" t="n">
        <v>1</v>
      </c>
      <c r="O630" t="n">
        <v>1</v>
      </c>
      <c r="P630" t="n">
        <v>1.02</v>
      </c>
      <c r="Q630" t="n">
        <v>1.2</v>
      </c>
      <c r="R630" t="n">
        <v>1</v>
      </c>
      <c r="S630" t="n">
        <v>1.05</v>
      </c>
      <c r="T630">
        <f>LN(SQRT(EXP(
SQRT(
+POWER(LN(M630),2)
+POWER(LN(N630),2)
+POWER(LN(O630),2)
+POWER(LN(P630),2)
+POWER(LN(Q630),2)
+POWER(LN(R630),2)
+POWER(LN(S630),2)
)
)))</f>
        <v>9.4886477223156879E-2</v>
      </c>
    </row>
    <row r="631"/>
    <row r="632">
      <c r="A632" s="1" t="inlineStr">
        <is>
          <t>Activity</t>
        </is>
      </c>
      <c r="B632" s="1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</row>
    <row r="633">
      <c r="A633" t="inlineStr">
        <is>
          <t>location</t>
        </is>
      </c>
      <c r="B633" t="inlineStr">
        <is>
          <t>RER</t>
        </is>
      </c>
    </row>
    <row r="634">
      <c r="A634" t="inlineStr">
        <is>
          <t>production amount</t>
        </is>
      </c>
      <c r="B634" t="n">
        <v>1</v>
      </c>
    </row>
    <row r="635">
      <c r="A635" s="2" t="inlineStr">
        <is>
          <t>source</t>
        </is>
      </c>
      <c r="B635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636">
      <c r="A636" t="inlineStr">
        <is>
          <t>reference product</t>
        </is>
      </c>
      <c r="B636" t="inlineStr">
        <is>
          <t>electricity, medium voltage</t>
        </is>
      </c>
    </row>
    <row r="637">
      <c r="A637" t="inlineStr">
        <is>
          <t>type</t>
        </is>
      </c>
      <c r="B637" t="inlineStr">
        <is>
          <t>process</t>
        </is>
      </c>
    </row>
    <row r="638">
      <c r="A638" t="inlineStr">
        <is>
          <t>unit</t>
        </is>
      </c>
      <c r="B638" t="inlineStr">
        <is>
          <t>kilowatt hour</t>
        </is>
      </c>
    </row>
    <row r="639">
      <c r="A639" t="inlineStr">
        <is>
          <t>comment</t>
        </is>
      </c>
      <c r="B639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Yes. Electricity production per ton MSWI incinerated: 312 kWh. Heat production per ton MSWI incinerated: 7'400 MJ.</t>
        </is>
      </c>
    </row>
    <row r="640">
      <c r="A640" s="1" t="inlineStr">
        <is>
          <t>Exchanges</t>
        </is>
      </c>
    </row>
    <row r="641">
      <c r="A641" s="7" t="inlineStr">
        <is>
          <t>name</t>
        </is>
      </c>
      <c r="B641" s="7" t="inlineStr">
        <is>
          <t>amount</t>
        </is>
      </c>
      <c r="C641" s="7" t="inlineStr">
        <is>
          <t>location</t>
        </is>
      </c>
      <c r="D641" s="7" t="inlineStr">
        <is>
          <t>unit</t>
        </is>
      </c>
      <c r="E641" s="7" t="inlineStr">
        <is>
          <t>categories</t>
        </is>
      </c>
      <c r="F641" s="7" t="inlineStr">
        <is>
          <t>type</t>
        </is>
      </c>
      <c r="G641" s="7" t="inlineStr">
        <is>
          <t>reference product</t>
        </is>
      </c>
      <c r="H641" s="7" t="inlineStr">
        <is>
          <t>comment</t>
        </is>
      </c>
      <c r="I641" s="7" t="inlineStr">
        <is>
          <t>normalization</t>
        </is>
      </c>
      <c r="J641" s="7" t="inlineStr">
        <is>
          <t>allocation</t>
        </is>
      </c>
      <c r="K641" s="7" t="inlineStr">
        <is>
          <t>uncertainty type</t>
        </is>
      </c>
      <c r="L641" s="7" t="inlineStr">
        <is>
          <t>loc</t>
        </is>
      </c>
      <c r="M641" s="1" t="inlineStr">
        <is>
          <t>u1</t>
        </is>
      </c>
      <c r="N641" s="1" t="inlineStr">
        <is>
          <t>u2</t>
        </is>
      </c>
      <c r="O641" s="1" t="inlineStr">
        <is>
          <t>u3</t>
        </is>
      </c>
      <c r="P641" s="1" t="inlineStr">
        <is>
          <t>u4</t>
        </is>
      </c>
      <c r="Q641" s="1" t="inlineStr">
        <is>
          <t>u5</t>
        </is>
      </c>
      <c r="R641" s="1" t="inlineStr">
        <is>
          <t>u6</t>
        </is>
      </c>
      <c r="S641" s="1" t="inlineStr">
        <is>
          <t>ub</t>
        </is>
      </c>
      <c r="T641" s="1" t="inlineStr">
        <is>
          <t>scale</t>
        </is>
      </c>
      <c r="U641" s="1" t="inlineStr">
        <is>
          <t>negative</t>
        </is>
      </c>
    </row>
    <row r="642">
      <c r="A642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B642" t="n">
        <v>0</v>
      </c>
      <c r="C642" t="inlineStr">
        <is>
          <t>RER</t>
        </is>
      </c>
      <c r="D642" t="inlineStr">
        <is>
          <t>kilogram</t>
        </is>
      </c>
      <c r="F642" t="inlineStr">
        <is>
          <t>technosphere</t>
        </is>
      </c>
      <c r="G642" t="inlineStr">
        <is>
          <t>municipal solid waste</t>
        </is>
      </c>
      <c r="H642" t="inlineStr"/>
      <c r="I642" s="6" t="n">
        <v>312</v>
      </c>
      <c r="J642" s="14">
        <f>INDEX('allocation keys'!$L$4:$N$30,MATCH('allocated (economic)'!$B$632,'allocation keys'!$B$4:$B$28,0),MATCH('allocated (economic)'!$B$636,'allocation keys'!$L$3:$N$3,0))</f>
        <v>0.13353877760657423</v>
      </c>
      <c r="K642" t="n">
        <v>0</v>
      </c>
      <c r="M642" s="5" t="n"/>
      <c r="N642" s="5" t="n"/>
      <c r="O642" s="5" t="n"/>
      <c r="P642" s="5" t="n"/>
      <c r="Q642" s="5" t="n"/>
      <c r="R642" s="5" t="n"/>
    </row>
    <row r="643">
      <c r="A643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B643" s="6" t="n">
        <v>1</v>
      </c>
      <c r="C643" t="inlineStr">
        <is>
          <t>RER</t>
        </is>
      </c>
      <c r="D643" t="inlineStr">
        <is>
          <t>kilowatt hour</t>
        </is>
      </c>
      <c r="F643" t="inlineStr">
        <is>
          <t>production</t>
        </is>
      </c>
      <c r="G643" t="inlineStr">
        <is>
          <t>electricity, medium voltage</t>
        </is>
      </c>
      <c r="H643" t="inlineStr"/>
      <c r="I643" s="6" t="n">
        <v>312</v>
      </c>
      <c r="J643" s="11">
        <f>J642</f>
        <v>0.13353877760657423</v>
      </c>
      <c r="K643" t="n">
        <v>0</v>
      </c>
      <c r="L643" s="3" t="n"/>
    </row>
    <row r="644">
      <c r="A644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B644" t="n">
        <v>0</v>
      </c>
      <c r="C644" t="inlineStr">
        <is>
          <t>RER</t>
        </is>
      </c>
      <c r="D644" t="inlineStr">
        <is>
          <t>megajoule</t>
        </is>
      </c>
      <c r="F644" t="inlineStr">
        <is>
          <t>technosphere</t>
        </is>
      </c>
      <c r="G644" t="inlineStr">
        <is>
          <t>heat, district or industrial, other than natural gas</t>
        </is>
      </c>
      <c r="H644" t="inlineStr"/>
      <c r="I644" s="6" t="n">
        <v>312</v>
      </c>
      <c r="J644" s="11">
        <f>J642</f>
        <v>0.13353877760657423</v>
      </c>
      <c r="K644" t="n">
        <v>0</v>
      </c>
      <c r="L644" s="3" t="n"/>
    </row>
    <row r="645">
      <c r="A645" t="inlineStr">
        <is>
          <t>market for diesel, low-sulfur</t>
        </is>
      </c>
      <c r="B645">
        <f>unallocated!B240/I645*J645</f>
        <v>3.6380756719739781E-5</v>
      </c>
      <c r="C645" t="inlineStr">
        <is>
          <t>Europe without Switzerland</t>
        </is>
      </c>
      <c r="D645" t="inlineStr">
        <is>
          <t>kilogram</t>
        </is>
      </c>
      <c r="F645" t="inlineStr">
        <is>
          <t>technosphere</t>
        </is>
      </c>
      <c r="G645" t="inlineStr">
        <is>
          <t>diesel, low-sulfur</t>
        </is>
      </c>
      <c r="H645" t="inlineStr">
        <is>
          <t>Diesel density: 0.85 kg/l</t>
        </is>
      </c>
      <c r="I645" s="6" t="n">
        <v>312</v>
      </c>
      <c r="J645" s="11">
        <f>J642</f>
        <v>0.13353877760657423</v>
      </c>
      <c r="K645" t="n">
        <v>2</v>
      </c>
      <c r="L645" s="3">
        <f>LN(B645)</f>
        <v>-10.221470584657975</v>
      </c>
      <c r="M645" t="n">
        <v>1</v>
      </c>
      <c r="N645" t="n">
        <v>1</v>
      </c>
      <c r="O645" t="n">
        <v>1</v>
      </c>
      <c r="P645" t="n">
        <v>1.02</v>
      </c>
      <c r="Q645" t="n">
        <v>1.2</v>
      </c>
      <c r="R645" t="n">
        <v>1</v>
      </c>
      <c r="S645" t="n">
        <v>1.05</v>
      </c>
      <c r="T645">
        <f>LN(SQRT(EXP(
SQRT(
+POWER(LN(M645),2)
+POWER(LN(N645),2)
+POWER(LN(O645),2)
+POWER(LN(P645),2)
+POWER(LN(Q645),2)
+POWER(LN(R645),2)
+POWER(LN(S645),2)
)
)))</f>
        <v>9.4886477223156879E-2</v>
      </c>
    </row>
    <row r="646">
      <c r="A646" t="inlineStr">
        <is>
          <t>market for activated carbon, granular</t>
        </is>
      </c>
      <c r="B646">
        <f>unallocated!B241/I646*J646</f>
        <v>1.7120356103406952E-4</v>
      </c>
      <c r="C646" t="inlineStr">
        <is>
          <t>GLO</t>
        </is>
      </c>
      <c r="D646" t="inlineStr">
        <is>
          <t>kilogram</t>
        </is>
      </c>
      <c r="F646" t="inlineStr">
        <is>
          <t>technosphere</t>
        </is>
      </c>
      <c r="G646" t="inlineStr">
        <is>
          <t>activated carbon, granular</t>
        </is>
      </c>
      <c r="I646" s="6" t="n">
        <v>312</v>
      </c>
      <c r="J646" s="11">
        <f>J642</f>
        <v>0.13353877760657423</v>
      </c>
      <c r="K646" t="n">
        <v>2</v>
      </c>
      <c r="L646" s="3">
        <f>LN(B646)</f>
        <v>-8.6726572940403095</v>
      </c>
      <c r="M646" t="n">
        <v>1</v>
      </c>
      <c r="N646" t="n">
        <v>1</v>
      </c>
      <c r="O646" t="n">
        <v>1</v>
      </c>
      <c r="P646" t="n">
        <v>1.02</v>
      </c>
      <c r="Q646" t="n">
        <v>1.2</v>
      </c>
      <c r="R646" t="n">
        <v>1</v>
      </c>
      <c r="S646" t="n">
        <v>1.05</v>
      </c>
      <c r="T646">
        <f>LN(SQRT(EXP(
SQRT(
+POWER(LN(M646),2)
+POWER(LN(N646),2)
+POWER(LN(O646),2)
+POWER(LN(P646),2)
+POWER(LN(Q646),2)
+POWER(LN(R646),2)
+POWER(LN(S646),2)
)
)))</f>
        <v>9.4886477223156879E-2</v>
      </c>
    </row>
    <row r="647">
      <c r="A647" t="inlineStr">
        <is>
          <t>market for ammonia, anhydrous, liquid</t>
        </is>
      </c>
      <c r="B647">
        <f>unallocated!B242/I647*J647</f>
        <v>4.1944872453347033E-4</v>
      </c>
      <c r="C647" t="inlineStr">
        <is>
          <t>RER</t>
        </is>
      </c>
      <c r="D647" t="inlineStr">
        <is>
          <t>kilogram</t>
        </is>
      </c>
      <c r="F647" t="inlineStr">
        <is>
          <t>technosphere</t>
        </is>
      </c>
      <c r="G647" t="inlineStr">
        <is>
          <t>ammonia, anhydrous, liquid</t>
        </is>
      </c>
      <c r="H647" t="inlineStr">
        <is>
          <t>100% liquid ammonia. In original publication, it is dilluated to 23.5% in water. We discount the original value by 75%.</t>
        </is>
      </c>
      <c r="I647" s="6" t="n">
        <v>312</v>
      </c>
      <c r="J647" s="11">
        <f>J642</f>
        <v>0.13353877760657423</v>
      </c>
      <c r="K647" t="n">
        <v>2</v>
      </c>
      <c r="L647" s="3">
        <f>LN(B647)</f>
        <v>-7.7765692694836739</v>
      </c>
      <c r="M647" t="n">
        <v>1</v>
      </c>
      <c r="N647" t="n">
        <v>1</v>
      </c>
      <c r="O647" t="n">
        <v>1</v>
      </c>
      <c r="P647" t="n">
        <v>1.02</v>
      </c>
      <c r="Q647" t="n">
        <v>1.2</v>
      </c>
      <c r="R647" t="n">
        <v>1</v>
      </c>
      <c r="S647" t="n">
        <v>1.05</v>
      </c>
      <c r="T647">
        <f>LN(SQRT(EXP(
SQRT(
+POWER(LN(M647),2)
+POWER(LN(N647),2)
+POWER(LN(O647),2)
+POWER(LN(P647),2)
+POWER(LN(Q647),2)
+POWER(LN(R647),2)
+POWER(LN(S647),2)
)
)))</f>
        <v>9.4886477223156879E-2</v>
      </c>
    </row>
    <row r="648">
      <c r="A648" t="inlineStr">
        <is>
          <t>market for tap water</t>
        </is>
      </c>
      <c r="B648">
        <f>unallocated!B243/I648*J648</f>
        <v>1.292586885807225E-3</v>
      </c>
      <c r="C648" t="inlineStr">
        <is>
          <t>Europe without Switzerland</t>
        </is>
      </c>
      <c r="D648" t="inlineStr">
        <is>
          <t>kilogram</t>
        </is>
      </c>
      <c r="F648" t="inlineStr">
        <is>
          <t>technosphere</t>
        </is>
      </c>
      <c r="G648" t="inlineStr">
        <is>
          <t>tap water</t>
        </is>
      </c>
      <c r="H648" t="inlineStr">
        <is>
          <t>Used to dilute the ammonia.</t>
        </is>
      </c>
      <c r="I648" s="6" t="n">
        <v>312</v>
      </c>
      <c r="J648" s="11">
        <f>J642</f>
        <v>0.13353877760657423</v>
      </c>
      <c r="K648" t="n">
        <v>2</v>
      </c>
      <c r="L648" s="3">
        <f>LN(B648)</f>
        <v>-6.6511097307793756</v>
      </c>
      <c r="M648" t="n">
        <v>1</v>
      </c>
      <c r="N648" t="n">
        <v>1</v>
      </c>
      <c r="O648" t="n">
        <v>1</v>
      </c>
      <c r="P648" t="n">
        <v>1.02</v>
      </c>
      <c r="Q648" t="n">
        <v>1.2</v>
      </c>
      <c r="R648" t="n">
        <v>1</v>
      </c>
      <c r="S648" t="n">
        <v>1.05</v>
      </c>
      <c r="T648">
        <f>LN(SQRT(EXP(
SQRT(
+POWER(LN(M648),2)
+POWER(LN(N648),2)
+POWER(LN(O648),2)
+POWER(LN(P648),2)
+POWER(LN(Q648),2)
+POWER(LN(R648),2)
+POWER(LN(S648),2)
)
)))</f>
        <v>9.4886477223156879E-2</v>
      </c>
    </row>
    <row r="649">
      <c r="A649" t="inlineStr">
        <is>
          <t>market for calcium carbonate, precipitated</t>
        </is>
      </c>
      <c r="B649">
        <f>unallocated!B244/I649*J649</f>
        <v>0</v>
      </c>
      <c r="C649" t="inlineStr">
        <is>
          <t>RER</t>
        </is>
      </c>
      <c r="D649" t="inlineStr">
        <is>
          <t>kilogram</t>
        </is>
      </c>
      <c r="F649" t="inlineStr">
        <is>
          <t>technosphere</t>
        </is>
      </c>
      <c r="G649" t="inlineStr">
        <is>
          <t>calcium carbonate, precipitated</t>
        </is>
      </c>
      <c r="I649" s="6" t="n">
        <v>312</v>
      </c>
      <c r="J649" s="11">
        <f>J642</f>
        <v>0.13353877760657423</v>
      </c>
      <c r="K649" t="n">
        <v>0</v>
      </c>
      <c r="L649" s="3" t="n"/>
    </row>
    <row r="650">
      <c r="A650" t="inlineStr">
        <is>
          <t>market for iron(III) chloride, without water, in 40% solution state</t>
        </is>
      </c>
      <c r="B650">
        <f>unallocated!B245/I650*J650</f>
        <v>0</v>
      </c>
      <c r="C650" t="inlineStr">
        <is>
          <t>GLO</t>
        </is>
      </c>
      <c r="D650" t="inlineStr">
        <is>
          <t>kilogram</t>
        </is>
      </c>
      <c r="F650" t="inlineStr">
        <is>
          <t>technosphere</t>
        </is>
      </c>
      <c r="G650" t="inlineStr">
        <is>
          <t>iron(III) chloride, without water, in 40% solution state</t>
        </is>
      </c>
      <c r="I650" s="6" t="n">
        <v>312</v>
      </c>
      <c r="J650" s="11">
        <f>J642</f>
        <v>0.13353877760657423</v>
      </c>
      <c r="K650" t="n">
        <v>0</v>
      </c>
      <c r="L650" s="3" t="n"/>
    </row>
    <row r="651">
      <c r="A651" t="inlineStr">
        <is>
          <t>market for lime, hydrated, packed</t>
        </is>
      </c>
      <c r="B651">
        <f>unallocated!B246/I651*J651</f>
        <v>4.2800890258517382E-3</v>
      </c>
      <c r="C651" t="inlineStr">
        <is>
          <t>RER</t>
        </is>
      </c>
      <c r="D651" t="inlineStr">
        <is>
          <t>kilogram</t>
        </is>
      </c>
      <c r="F651" t="inlineStr">
        <is>
          <t>technosphere</t>
        </is>
      </c>
      <c r="G651" t="inlineStr">
        <is>
          <t>lime, hydrated, packed</t>
        </is>
      </c>
      <c r="I651" s="6" t="n">
        <v>312</v>
      </c>
      <c r="J651" s="11">
        <f>J642</f>
        <v>0.13353877760657423</v>
      </c>
      <c r="K651" t="n">
        <v>2</v>
      </c>
      <c r="L651" s="3">
        <f>LN(B651)</f>
        <v>-5.4537814691721085</v>
      </c>
      <c r="M651" t="n">
        <v>1</v>
      </c>
      <c r="N651" t="n">
        <v>1</v>
      </c>
      <c r="O651" t="n">
        <v>1</v>
      </c>
      <c r="P651" t="n">
        <v>1.02</v>
      </c>
      <c r="Q651" t="n">
        <v>1.2</v>
      </c>
      <c r="R651" t="n">
        <v>1</v>
      </c>
      <c r="S651" t="n">
        <v>1.05</v>
      </c>
      <c r="T651">
        <f>LN(SQRT(EXP(
SQRT(
+POWER(LN(M651),2)
+POWER(LN(N651),2)
+POWER(LN(O651),2)
+POWER(LN(P651),2)
+POWER(LN(Q651),2)
+POWER(LN(R651),2)
+POWER(LN(S651),2)
)
)))</f>
        <v>9.4886477223156879E-2</v>
      </c>
    </row>
    <row r="652">
      <c r="A652" t="inlineStr">
        <is>
          <t>market for sodium hydroxide, without water, in 50% solution state</t>
        </is>
      </c>
      <c r="B652">
        <f>unallocated!B247/I652*J652</f>
        <v>1.0700222564629346E-4</v>
      </c>
      <c r="C652" t="inlineStr">
        <is>
          <t>RER</t>
        </is>
      </c>
      <c r="D652" t="inlineStr">
        <is>
          <t>kilogram</t>
        </is>
      </c>
      <c r="F652" t="inlineStr">
        <is>
          <t>technosphere</t>
        </is>
      </c>
      <c r="G652" t="inlineStr">
        <is>
          <t>sodium hydroxide, without water, in 50% solution state</t>
        </is>
      </c>
      <c r="H652" t="inlineStr">
        <is>
          <t>50% liquid ammonia. In original publication, it is dilluated to 27% in water. We discount the original value by 50%.</t>
        </is>
      </c>
      <c r="I652" s="6" t="n">
        <v>312</v>
      </c>
      <c r="J652" s="11">
        <f>J642</f>
        <v>0.13353877760657423</v>
      </c>
      <c r="K652" t="n">
        <v>0</v>
      </c>
      <c r="L652" s="3" t="n"/>
    </row>
    <row r="653">
      <c r="A653" t="inlineStr">
        <is>
          <t>market for monoethanolamine</t>
        </is>
      </c>
      <c r="B653">
        <f>unallocated!B248/I653*J653</f>
        <v>1.7120356103406953E-3</v>
      </c>
      <c r="C653" t="inlineStr">
        <is>
          <t>GLO</t>
        </is>
      </c>
      <c r="D653" t="inlineStr">
        <is>
          <t>kilogram</t>
        </is>
      </c>
      <c r="F653" t="inlineStr">
        <is>
          <t>technosphere</t>
        </is>
      </c>
      <c r="G653" t="inlineStr">
        <is>
          <t>monoethanolamine</t>
        </is>
      </c>
      <c r="I653" s="6" t="n">
        <v>312</v>
      </c>
      <c r="J653" s="11">
        <f>J642</f>
        <v>0.13353877760657423</v>
      </c>
      <c r="K653" t="n">
        <v>0</v>
      </c>
      <c r="L653" s="3" t="n"/>
    </row>
    <row r="654">
      <c r="A654" t="inlineStr">
        <is>
          <t>municipal waste incineration facility construction</t>
        </is>
      </c>
      <c r="B654">
        <f>unallocated!B249/I654*J654</f>
        <v>1.0700222564629344E-10</v>
      </c>
      <c r="C654" t="inlineStr">
        <is>
          <t>CH</t>
        </is>
      </c>
      <c r="D654" t="inlineStr">
        <is>
          <t>unit</t>
        </is>
      </c>
      <c r="F654" t="inlineStr">
        <is>
          <t>technosphere</t>
        </is>
      </c>
      <c r="G654" t="inlineStr">
        <is>
          <t>municipal waste incineration facility</t>
        </is>
      </c>
      <c r="H654" t="inlineStr">
        <is>
          <t>Lifetime: 4'000'000 tons MSWI treated.</t>
        </is>
      </c>
      <c r="I654" s="6" t="n">
        <v>312</v>
      </c>
      <c r="J654" s="11">
        <f>J642</f>
        <v>0.13353877760657423</v>
      </c>
      <c r="K654" t="n">
        <v>2</v>
      </c>
      <c r="L654" s="3">
        <f>LN(B654)</f>
        <v>-22.958171481250318</v>
      </c>
      <c r="M654" t="n">
        <v>1</v>
      </c>
      <c r="N654" t="n">
        <v>1</v>
      </c>
      <c r="O654" t="n">
        <v>1</v>
      </c>
      <c r="P654" t="n">
        <v>1.02</v>
      </c>
      <c r="Q654" t="n">
        <v>1.2</v>
      </c>
      <c r="R654" t="n">
        <v>1</v>
      </c>
      <c r="S654" t="n">
        <v>3</v>
      </c>
      <c r="T654">
        <f>LN(SQRT(EXP(
SQRT(
+POWER(LN(M654),2)
+POWER(LN(N654),2)
+POWER(LN(O654),2)
+POWER(LN(P654),2)
+POWER(LN(Q654),2)
+POWER(LN(R654),2)
+POWER(LN(S654),2)
)
)))</f>
        <v>0.5569071410325479</v>
      </c>
    </row>
    <row r="655">
      <c r="A655" t="inlineStr">
        <is>
          <t>carbon dioxide storage at wood burning power plant 20 MW post, pipeline 200km, storage 1000m</t>
        </is>
      </c>
      <c r="B655">
        <f>unallocated!B250/I655*J655</f>
        <v>0.35225132682759808</v>
      </c>
      <c r="C655" t="inlineStr">
        <is>
          <t>RER</t>
        </is>
      </c>
      <c r="D655" t="inlineStr">
        <is>
          <t>kilogram</t>
        </is>
      </c>
      <c r="F655" t="inlineStr">
        <is>
          <t>technosphere</t>
        </is>
      </c>
      <c r="G655" t="inlineStr">
        <is>
          <t>carbon dioxide storage at wood burning power plant 20 MW post, pipeline 200km, storage 1000m</t>
        </is>
      </c>
      <c r="I655" s="6" t="n">
        <v>312</v>
      </c>
      <c r="J655" s="11">
        <f>J642</f>
        <v>0.13353877760657423</v>
      </c>
      <c r="K655" t="n">
        <v>2</v>
      </c>
      <c r="L655" s="3">
        <f>LN(B655)</f>
        <v>-1.0434103614890844</v>
      </c>
      <c r="M655" t="n">
        <v>1</v>
      </c>
      <c r="N655" t="n">
        <v>1</v>
      </c>
      <c r="O655" t="n">
        <v>1</v>
      </c>
      <c r="P655" t="n">
        <v>1.02</v>
      </c>
      <c r="Q655" t="n">
        <v>1.2</v>
      </c>
      <c r="R655" t="n">
        <v>1</v>
      </c>
      <c r="S655" t="n">
        <v>3</v>
      </c>
      <c r="T655">
        <f>LN(SQRT(EXP(
SQRT(
+POWER(LN(M655),2)
+POWER(LN(N655),2)
+POWER(LN(O655),2)
+POWER(LN(P655),2)
+POWER(LN(Q655),2)
+POWER(LN(R655),2)
+POWER(LN(S655),2)
)
)))</f>
        <v>0.5569071410325479</v>
      </c>
    </row>
    <row r="656">
      <c r="A656" t="inlineStr">
        <is>
          <t>Water, cooling, unspecified natural origin</t>
        </is>
      </c>
      <c r="B656">
        <f>unallocated!B251/I656*J656</f>
        <v>0</v>
      </c>
      <c r="D656" t="inlineStr">
        <is>
          <t>cubic meter</t>
        </is>
      </c>
      <c r="E656" t="inlineStr">
        <is>
          <t>natural resource::in water</t>
        </is>
      </c>
      <c r="F656" t="inlineStr">
        <is>
          <t>biosphere</t>
        </is>
      </c>
      <c r="I656" s="6" t="n">
        <v>312</v>
      </c>
      <c r="J656" s="11">
        <f>J642</f>
        <v>0.13353877760657423</v>
      </c>
      <c r="K656" t="n">
        <v>0</v>
      </c>
      <c r="L656" s="3" t="n"/>
    </row>
    <row r="657">
      <c r="A657" t="inlineStr">
        <is>
          <t>Sulfur dioxide</t>
        </is>
      </c>
      <c r="B657">
        <f>unallocated!B252/I657*J657</f>
        <v>2.5680534155110431E-6</v>
      </c>
      <c r="D657" t="inlineStr">
        <is>
          <t>kilogram</t>
        </is>
      </c>
      <c r="E657" t="inlineStr">
        <is>
          <t>air::urban air close to ground</t>
        </is>
      </c>
      <c r="F657" t="inlineStr">
        <is>
          <t>biosphere</t>
        </is>
      </c>
      <c r="I657" s="6" t="n">
        <v>312</v>
      </c>
      <c r="J657" s="11">
        <f>J642</f>
        <v>0.13353877760657423</v>
      </c>
      <c r="K657" t="n">
        <v>2</v>
      </c>
      <c r="L657" s="3">
        <f>LN(B657)</f>
        <v>-12.872362371920236</v>
      </c>
      <c r="M657" t="n">
        <v>1</v>
      </c>
      <c r="N657" t="n">
        <v>1</v>
      </c>
      <c r="O657" t="n">
        <v>1</v>
      </c>
      <c r="P657" t="n">
        <v>1.02</v>
      </c>
      <c r="Q657" t="n">
        <v>1.2</v>
      </c>
      <c r="R657" t="n">
        <v>1</v>
      </c>
      <c r="S657" t="n">
        <v>1.05</v>
      </c>
      <c r="T657">
        <f>LN(SQRT(EXP(
SQRT(
+POWER(LN(M657),2)
+POWER(LN(N657),2)
+POWER(LN(O657),2)
+POWER(LN(P657),2)
+POWER(LN(Q657),2)
+POWER(LN(R657),2)
+POWER(LN(S657),2)
)
)))</f>
        <v>9.4886477223156879E-2</v>
      </c>
    </row>
    <row r="658">
      <c r="A658" t="inlineStr">
        <is>
          <t>Hydrochloric acid</t>
        </is>
      </c>
      <c r="B658">
        <f>unallocated!B253/I658*J658</f>
        <v>1.2840267077555215E-6</v>
      </c>
      <c r="D658" t="inlineStr">
        <is>
          <t>kilogram</t>
        </is>
      </c>
      <c r="E658" t="inlineStr">
        <is>
          <t>air</t>
        </is>
      </c>
      <c r="F658" t="inlineStr">
        <is>
          <t>biosphere</t>
        </is>
      </c>
      <c r="I658" s="6" t="n">
        <v>312</v>
      </c>
      <c r="J658" s="11">
        <f>J642</f>
        <v>0.13353877760657423</v>
      </c>
      <c r="K658" t="n">
        <v>2</v>
      </c>
      <c r="L658" s="3">
        <f>LN(B658)</f>
        <v>-13.565509552480181</v>
      </c>
      <c r="M658" t="n">
        <v>1</v>
      </c>
      <c r="N658" t="n">
        <v>1</v>
      </c>
      <c r="O658" t="n">
        <v>1</v>
      </c>
      <c r="P658" t="n">
        <v>1.02</v>
      </c>
      <c r="Q658" t="n">
        <v>1.2</v>
      </c>
      <c r="R658" t="n">
        <v>1</v>
      </c>
      <c r="S658" t="n">
        <v>1.5</v>
      </c>
      <c r="T658">
        <f>LN(SQRT(EXP(
SQRT(
+POWER(LN(M658),2)
+POWER(LN(N658),2)
+POWER(LN(O658),2)
+POWER(LN(P658),2)
+POWER(LN(Q658),2)
+POWER(LN(R658),2)
+POWER(LN(S658),2)
)
)))</f>
        <v>0.22250575723605889</v>
      </c>
    </row>
    <row r="659">
      <c r="A659" t="inlineStr">
        <is>
          <t>Nitrogen oxides</t>
        </is>
      </c>
      <c r="B659">
        <f>unallocated!B254/I659*J659</f>
        <v>2.8976202705016267E-4</v>
      </c>
      <c r="D659" t="inlineStr">
        <is>
          <t>kilogram</t>
        </is>
      </c>
      <c r="E659" t="inlineStr">
        <is>
          <t>air::urban air close to ground</t>
        </is>
      </c>
      <c r="F659" t="inlineStr">
        <is>
          <t>biosphere</t>
        </is>
      </c>
      <c r="I659" s="6" t="n">
        <v>312</v>
      </c>
      <c r="J659" s="11">
        <f>J642</f>
        <v>0.13353877760657423</v>
      </c>
      <c r="K659" t="n">
        <v>2</v>
      </c>
      <c r="L659" s="3">
        <f>LN(B659)</f>
        <v>-8.1464505682360162</v>
      </c>
      <c r="M659" t="n">
        <v>1</v>
      </c>
      <c r="N659" t="n">
        <v>1</v>
      </c>
      <c r="O659" t="n">
        <v>1</v>
      </c>
      <c r="P659" t="n">
        <v>1.02</v>
      </c>
      <c r="Q659" t="n">
        <v>1.2</v>
      </c>
      <c r="R659" t="n">
        <v>1</v>
      </c>
      <c r="S659" t="n">
        <v>1.5</v>
      </c>
      <c r="T659">
        <f>LN(SQRT(EXP(
SQRT(
+POWER(LN(M659),2)
+POWER(LN(N659),2)
+POWER(LN(O659),2)
+POWER(LN(P659),2)
+POWER(LN(Q659),2)
+POWER(LN(R659),2)
+POWER(LN(S659),2)
)
)))</f>
        <v>0.22250575723605889</v>
      </c>
    </row>
    <row r="660">
      <c r="A660" t="inlineStr">
        <is>
          <t>Ammonia</t>
        </is>
      </c>
      <c r="B660">
        <f>unallocated!B255/I660*J660</f>
        <v>8.5601780517034769E-6</v>
      </c>
      <c r="D660" t="inlineStr">
        <is>
          <t>kilogram</t>
        </is>
      </c>
      <c r="E660" t="inlineStr">
        <is>
          <t>air::urban air close to ground</t>
        </is>
      </c>
      <c r="F660" t="inlineStr">
        <is>
          <t>biosphere</t>
        </is>
      </c>
      <c r="I660" s="6" t="n">
        <v>312</v>
      </c>
      <c r="J660" s="11">
        <f>J642</f>
        <v>0.13353877760657423</v>
      </c>
      <c r="K660" t="n">
        <v>2</v>
      </c>
      <c r="L660" s="3">
        <f>LN(B660)</f>
        <v>-11.6683895675943</v>
      </c>
      <c r="M660" t="n">
        <v>1</v>
      </c>
      <c r="N660" t="n">
        <v>1</v>
      </c>
      <c r="O660" t="n">
        <v>1</v>
      </c>
      <c r="P660" t="n">
        <v>1.02</v>
      </c>
      <c r="Q660" t="n">
        <v>1.2</v>
      </c>
      <c r="R660" t="n">
        <v>1</v>
      </c>
      <c r="S660" t="n">
        <v>1.5</v>
      </c>
      <c r="T660">
        <f>LN(SQRT(EXP(
SQRT(
+POWER(LN(M660),2)
+POWER(LN(N660),2)
+POWER(LN(O660),2)
+POWER(LN(P660),2)
+POWER(LN(Q660),2)
+POWER(LN(R660),2)
+POWER(LN(S660),2)
)
)))</f>
        <v>0.22250575723605889</v>
      </c>
    </row>
    <row r="661">
      <c r="A661" t="inlineStr">
        <is>
          <t>Particulate Matter, &lt; 2.5 um</t>
        </is>
      </c>
      <c r="B661">
        <f>unallocated!B256/I661*J661</f>
        <v>2.5680534155110431E-6</v>
      </c>
      <c r="D661" t="inlineStr">
        <is>
          <t>kilogram</t>
        </is>
      </c>
      <c r="E661" t="inlineStr">
        <is>
          <t>air::urban air close to ground</t>
        </is>
      </c>
      <c r="F661" t="inlineStr">
        <is>
          <t>biosphere</t>
        </is>
      </c>
      <c r="I661" s="6" t="n">
        <v>312</v>
      </c>
      <c r="J661" s="11">
        <f>J642</f>
        <v>0.13353877760657423</v>
      </c>
      <c r="K661" t="n">
        <v>2</v>
      </c>
      <c r="L661" s="3">
        <f>LN(B661)</f>
        <v>-12.872362371920236</v>
      </c>
      <c r="M661" t="n">
        <v>1</v>
      </c>
      <c r="N661" t="n">
        <v>1</v>
      </c>
      <c r="O661" t="n">
        <v>1</v>
      </c>
      <c r="P661" t="n">
        <v>1.02</v>
      </c>
      <c r="Q661" t="n">
        <v>1.2</v>
      </c>
      <c r="R661" t="n">
        <v>1</v>
      </c>
      <c r="S661" t="n">
        <v>3</v>
      </c>
      <c r="T661">
        <f>LN(SQRT(EXP(
SQRT(
+POWER(LN(M661),2)
+POWER(LN(N661),2)
+POWER(LN(O661),2)
+POWER(LN(P661),2)
+POWER(LN(Q661),2)
+POWER(LN(R661),2)
+POWER(LN(S661),2)
)
)))</f>
        <v>0.5569071410325479</v>
      </c>
    </row>
    <row r="662">
      <c r="A662" t="inlineStr">
        <is>
          <t>Mercury II</t>
        </is>
      </c>
      <c r="B662">
        <f>unallocated!B257/I662*J662</f>
        <v>2.568053415511043E-9</v>
      </c>
      <c r="D662" t="inlineStr">
        <is>
          <t>kilogram</t>
        </is>
      </c>
      <c r="E662" t="inlineStr">
        <is>
          <t>air::urban air close to ground</t>
        </is>
      </c>
      <c r="F662" t="inlineStr">
        <is>
          <t>biosphere</t>
        </is>
      </c>
      <c r="I662" s="6" t="n">
        <v>312</v>
      </c>
      <c r="J662" s="11">
        <f>J642</f>
        <v>0.13353877760657423</v>
      </c>
      <c r="K662" t="n">
        <v>2</v>
      </c>
      <c r="L662" s="3">
        <f>LN(B662)</f>
        <v>-19.780117650902373</v>
      </c>
      <c r="M662" t="n">
        <v>1</v>
      </c>
      <c r="N662" t="n">
        <v>1</v>
      </c>
      <c r="O662" t="n">
        <v>1</v>
      </c>
      <c r="P662" t="n">
        <v>1.02</v>
      </c>
      <c r="Q662" t="n">
        <v>1.2</v>
      </c>
      <c r="R662" t="n">
        <v>1</v>
      </c>
      <c r="S662" t="n">
        <v>5</v>
      </c>
      <c r="T662">
        <f>LN(SQRT(EXP(
SQRT(
+POWER(LN(M662),2)
+POWER(LN(N662),2)
+POWER(LN(O662),2)
+POWER(LN(P662),2)
+POWER(LN(Q662),2)
+POWER(LN(R662),2)
+POWER(LN(S662),2)
)
)))</f>
        <v>0.80992649174166365</v>
      </c>
    </row>
    <row r="663">
      <c r="A663" t="inlineStr">
        <is>
          <t>Lead II</t>
        </is>
      </c>
      <c r="B663">
        <f>unallocated!B258/I663*J663</f>
        <v>2.568053415511043E-9</v>
      </c>
      <c r="D663" t="inlineStr">
        <is>
          <t>kilogram</t>
        </is>
      </c>
      <c r="E663" t="inlineStr">
        <is>
          <t>air::urban air close to ground</t>
        </is>
      </c>
      <c r="F663" t="inlineStr">
        <is>
          <t>biosphere</t>
        </is>
      </c>
      <c r="I663" s="6" t="n">
        <v>312</v>
      </c>
      <c r="J663" s="11">
        <f>J642</f>
        <v>0.13353877760657423</v>
      </c>
      <c r="K663" t="n">
        <v>2</v>
      </c>
      <c r="L663" s="3">
        <f>LN(B663)</f>
        <v>-19.780117650902373</v>
      </c>
      <c r="M663" t="n">
        <v>1</v>
      </c>
      <c r="N663" t="n">
        <v>1</v>
      </c>
      <c r="O663" t="n">
        <v>1</v>
      </c>
      <c r="P663" t="n">
        <v>1.02</v>
      </c>
      <c r="Q663" t="n">
        <v>1.2</v>
      </c>
      <c r="R663" t="n">
        <v>1</v>
      </c>
      <c r="S663" t="n">
        <v>5</v>
      </c>
      <c r="T663">
        <f>LN(SQRT(EXP(
SQRT(
+POWER(LN(M663),2)
+POWER(LN(N663),2)
+POWER(LN(O663),2)
+POWER(LN(P663),2)
+POWER(LN(Q663),2)
+POWER(LN(R663),2)
+POWER(LN(S663),2)
)
)))</f>
        <v>0.80992649174166365</v>
      </c>
    </row>
    <row r="664">
      <c r="A664" t="inlineStr">
        <is>
          <t>Cadmium II</t>
        </is>
      </c>
      <c r="B664">
        <f>unallocated!B259/I664*J664</f>
        <v>1.2840267077555215E-9</v>
      </c>
      <c r="D664" t="inlineStr">
        <is>
          <t>kilogram</t>
        </is>
      </c>
      <c r="E664" t="inlineStr">
        <is>
          <t>air::urban air close to ground</t>
        </is>
      </c>
      <c r="F664" t="inlineStr">
        <is>
          <t>biosphere</t>
        </is>
      </c>
      <c r="I664" s="6" t="n">
        <v>312</v>
      </c>
      <c r="J664" s="11">
        <f>J642</f>
        <v>0.13353877760657423</v>
      </c>
      <c r="K664" t="n">
        <v>2</v>
      </c>
      <c r="L664" s="3">
        <f>LN(B664)</f>
        <v>-20.47326483146232</v>
      </c>
      <c r="M664" t="n">
        <v>1</v>
      </c>
      <c r="N664" t="n">
        <v>1</v>
      </c>
      <c r="O664" t="n">
        <v>1</v>
      </c>
      <c r="P664" t="n">
        <v>1.02</v>
      </c>
      <c r="Q664" t="n">
        <v>1.2</v>
      </c>
      <c r="R664" t="n">
        <v>1</v>
      </c>
      <c r="S664" t="n">
        <v>5</v>
      </c>
      <c r="T664">
        <f>LN(SQRT(EXP(
SQRT(
+POWER(LN(M664),2)
+POWER(LN(N664),2)
+POWER(LN(O664),2)
+POWER(LN(P664),2)
+POWER(LN(Q664),2)
+POWER(LN(R664),2)
+POWER(LN(S664),2)
)
)))</f>
        <v>0.80992649174166365</v>
      </c>
    </row>
    <row r="665">
      <c r="A665" t="inlineStr">
        <is>
          <t>Arsenic ion</t>
        </is>
      </c>
      <c r="B665">
        <f>unallocated!B260/I665*J665</f>
        <v>1.2840267077555215E-9</v>
      </c>
      <c r="D665" t="inlineStr">
        <is>
          <t>kilogram</t>
        </is>
      </c>
      <c r="E665" t="inlineStr">
        <is>
          <t>air::urban air close to ground</t>
        </is>
      </c>
      <c r="F665" t="inlineStr">
        <is>
          <t>biosphere</t>
        </is>
      </c>
      <c r="I665" s="6" t="n">
        <v>312</v>
      </c>
      <c r="J665" s="11">
        <f>J642</f>
        <v>0.13353877760657423</v>
      </c>
      <c r="K665" t="n">
        <v>2</v>
      </c>
      <c r="L665" s="3">
        <f>LN(B665)</f>
        <v>-20.47326483146232</v>
      </c>
      <c r="M665" t="n">
        <v>1</v>
      </c>
      <c r="N665" t="n">
        <v>1</v>
      </c>
      <c r="O665" t="n">
        <v>1</v>
      </c>
      <c r="P665" t="n">
        <v>1.02</v>
      </c>
      <c r="Q665" t="n">
        <v>1.2</v>
      </c>
      <c r="R665" t="n">
        <v>1</v>
      </c>
      <c r="S665" t="n">
        <v>5</v>
      </c>
      <c r="T665">
        <f>LN(SQRT(EXP(
SQRT(
+POWER(LN(M665),2)
+POWER(LN(N665),2)
+POWER(LN(O665),2)
+POWER(LN(P665),2)
+POWER(LN(Q665),2)
+POWER(LN(R665),2)
+POWER(LN(S665),2)
)
)))</f>
        <v>0.80992649174166365</v>
      </c>
    </row>
    <row r="666">
      <c r="A666" t="inlineStr">
        <is>
          <t>Dioxins, measured as 2,3,7,8-tetrachlorodibenzo-p-dioxin</t>
        </is>
      </c>
      <c r="B666">
        <f>unallocated!B261/I666*J666</f>
        <v>4.7080979284369122E-14</v>
      </c>
      <c r="D666" t="inlineStr">
        <is>
          <t>kilogram</t>
        </is>
      </c>
      <c r="E666" t="inlineStr">
        <is>
          <t>air::urban air close to ground</t>
        </is>
      </c>
      <c r="F666" t="inlineStr">
        <is>
          <t>biosphere</t>
        </is>
      </c>
      <c r="I666" s="6" t="n">
        <v>312</v>
      </c>
      <c r="J666" s="11">
        <f>J642</f>
        <v>0.13353877760657423</v>
      </c>
      <c r="K666" t="n">
        <v>2</v>
      </c>
      <c r="L666" s="3">
        <f>LN(B666)</f>
        <v>-30.686907312302285</v>
      </c>
      <c r="M666" t="n">
        <v>1</v>
      </c>
      <c r="N666" t="n">
        <v>1</v>
      </c>
      <c r="O666" t="n">
        <v>1</v>
      </c>
      <c r="P666" t="n">
        <v>1.02</v>
      </c>
      <c r="Q666" t="n">
        <v>1.2</v>
      </c>
      <c r="R666" t="n">
        <v>1</v>
      </c>
      <c r="S666" t="n">
        <v>5</v>
      </c>
      <c r="T666">
        <f>LN(SQRT(EXP(
SQRT(
+POWER(LN(M666),2)
+POWER(LN(N666),2)
+POWER(LN(O666),2)
+POWER(LN(P666),2)
+POWER(LN(Q666),2)
+POWER(LN(R666),2)
+POWER(LN(S666),2)
)
)))</f>
        <v>0.80992649174166365</v>
      </c>
    </row>
    <row r="667">
      <c r="A667" t="inlineStr">
        <is>
          <t>Carbon dioxide, fossil</t>
        </is>
      </c>
      <c r="B667">
        <f>unallocated!B262/I667*J667</f>
        <v>2.3968498544769734E-2</v>
      </c>
      <c r="D667" t="inlineStr">
        <is>
          <t>kilogram</t>
        </is>
      </c>
      <c r="E667" t="inlineStr">
        <is>
          <t>air::urban air close to ground</t>
        </is>
      </c>
      <c r="F667" t="inlineStr">
        <is>
          <t>biosphere</t>
        </is>
      </c>
      <c r="I667" s="6" t="n">
        <v>312</v>
      </c>
      <c r="J667" s="11">
        <f>J642</f>
        <v>0.13353877760657423</v>
      </c>
      <c r="K667" t="n">
        <v>2</v>
      </c>
      <c r="L667" s="3">
        <f>LN(B667)</f>
        <v>-3.7310148714310047</v>
      </c>
      <c r="M667" t="n">
        <v>1</v>
      </c>
      <c r="N667" t="n">
        <v>1</v>
      </c>
      <c r="O667" t="n">
        <v>1</v>
      </c>
      <c r="P667" t="n">
        <v>1.02</v>
      </c>
      <c r="Q667" t="n">
        <v>1.2</v>
      </c>
      <c r="R667" t="n">
        <v>1</v>
      </c>
      <c r="S667" t="n">
        <v>1.05</v>
      </c>
      <c r="T667">
        <f>LN(SQRT(EXP(
SQRT(
+POWER(LN(M667),2)
+POWER(LN(N667),2)
+POWER(LN(O667),2)
+POWER(LN(P667),2)
+POWER(LN(Q667),2)
+POWER(LN(R667),2)
+POWER(LN(S667),2)
)
)))</f>
        <v>9.4886477223156879E-2</v>
      </c>
    </row>
    <row r="668">
      <c r="A668" t="inlineStr">
        <is>
          <t>Carbon dioxide, non-fossil</t>
        </is>
      </c>
      <c r="B668">
        <f>unallocated!B263/I668*J668</f>
        <v>3.809279233008047E-2</v>
      </c>
      <c r="D668" t="inlineStr">
        <is>
          <t>kilogram</t>
        </is>
      </c>
      <c r="E668" t="inlineStr">
        <is>
          <t>air::urban air close to ground</t>
        </is>
      </c>
      <c r="F668" t="inlineStr">
        <is>
          <t>biosphere</t>
        </is>
      </c>
      <c r="I668" s="6" t="n">
        <v>312</v>
      </c>
      <c r="J668" s="14">
        <f>J642</f>
        <v>0.13353877760657423</v>
      </c>
      <c r="K668" t="n">
        <v>2</v>
      </c>
      <c r="L668" s="3">
        <f>LN(B668)</f>
        <v>-3.2677301924340143</v>
      </c>
      <c r="M668" t="n">
        <v>1</v>
      </c>
      <c r="N668" t="n">
        <v>1</v>
      </c>
      <c r="O668" t="n">
        <v>1</v>
      </c>
      <c r="P668" t="n">
        <v>1.02</v>
      </c>
      <c r="Q668" t="n">
        <v>1.2</v>
      </c>
      <c r="R668" t="n">
        <v>1</v>
      </c>
      <c r="S668" t="n">
        <v>1.05</v>
      </c>
      <c r="T668">
        <f>LN(SQRT(EXP(
SQRT(
+POWER(LN(M668),2)
+POWER(LN(N668),2)
+POWER(LN(O668),2)
+POWER(LN(P668),2)
+POWER(LN(Q668),2)
+POWER(LN(R668),2)
+POWER(LN(S668),2)
)
)))</f>
        <v>9.4886477223156879E-2</v>
      </c>
    </row>
    <row r="669">
      <c r="A669" t="inlineStr">
        <is>
          <t>Carbon dioxide, in air</t>
        </is>
      </c>
      <c r="B669">
        <f>unallocated!B264/I669*J669</f>
        <v>0.21614449580551279</v>
      </c>
      <c r="D669" t="inlineStr">
        <is>
          <t>kilogram</t>
        </is>
      </c>
      <c r="E669" t="inlineStr">
        <is>
          <t>natural resource::in air</t>
        </is>
      </c>
      <c r="F669" t="inlineStr">
        <is>
          <t>biosphere</t>
        </is>
      </c>
      <c r="H669" t="inlineStr">
        <is>
          <t>To reflect the permanent storage of non-fossil CO.</t>
        </is>
      </c>
      <c r="I669" s="6" t="n">
        <v>312</v>
      </c>
      <c r="J669" s="14">
        <f>J642</f>
        <v>0.13353877760657423</v>
      </c>
      <c r="K669" t="n">
        <v>2</v>
      </c>
      <c r="L669" s="3">
        <f>LN(B669)</f>
        <v>-1.5318081328907944</v>
      </c>
      <c r="M669" t="n">
        <v>1</v>
      </c>
      <c r="N669" t="n">
        <v>1</v>
      </c>
      <c r="O669" t="n">
        <v>1</v>
      </c>
      <c r="P669" t="n">
        <v>1.02</v>
      </c>
      <c r="Q669" t="n">
        <v>1.2</v>
      </c>
      <c r="R669" t="n">
        <v>1</v>
      </c>
      <c r="S669" t="n">
        <v>1.05</v>
      </c>
      <c r="T669">
        <f>LN(SQRT(EXP(
SQRT(
+POWER(LN(M669),2)
+POWER(LN(N669),2)
+POWER(LN(O669),2)
+POWER(LN(P669),2)
+POWER(LN(Q669),2)
+POWER(LN(R669),2)
+POWER(LN(S669),2)
)
)))</f>
        <v>9.4886477223156879E-2</v>
      </c>
    </row>
    <row r="670"/>
    <row r="671">
      <c r="A671" s="1" t="inlineStr">
        <is>
          <t>Activity</t>
        </is>
      </c>
      <c r="B671" s="1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</row>
    <row r="672">
      <c r="A672" t="inlineStr">
        <is>
          <t>location</t>
        </is>
      </c>
      <c r="B672" t="inlineStr">
        <is>
          <t>RER</t>
        </is>
      </c>
    </row>
    <row r="673">
      <c r="A673" t="inlineStr">
        <is>
          <t>production amount</t>
        </is>
      </c>
      <c r="B673" t="n">
        <v>1</v>
      </c>
    </row>
    <row r="674">
      <c r="A674" s="2" t="inlineStr">
        <is>
          <t>source</t>
        </is>
      </c>
      <c r="B674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675">
      <c r="A675" t="inlineStr">
        <is>
          <t>reference product</t>
        </is>
      </c>
      <c r="B675" t="inlineStr">
        <is>
          <t>heat, district or industrial, other than natural gas</t>
        </is>
      </c>
    </row>
    <row r="676">
      <c r="A676" t="inlineStr">
        <is>
          <t>type</t>
        </is>
      </c>
      <c r="B676" t="inlineStr">
        <is>
          <t>process</t>
        </is>
      </c>
    </row>
    <row r="677">
      <c r="A677" t="inlineStr">
        <is>
          <t>unit</t>
        </is>
      </c>
      <c r="B677" t="inlineStr">
        <is>
          <t>megajoule</t>
        </is>
      </c>
    </row>
    <row r="678">
      <c r="A678" t="inlineStr">
        <is>
          <t>comment</t>
        </is>
      </c>
      <c r="B678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Semi-dry. Flue gas condensation: No. Power production: Yes. Heat production: Yes. Carbon capture: Yes. Electricity production per ton MSWI incinerated: 312 kWh. Heat production per ton MSWI incinerated: 7'400 MJ.</t>
        </is>
      </c>
    </row>
    <row r="679">
      <c r="A679" s="1" t="inlineStr">
        <is>
          <t>Exchanges</t>
        </is>
      </c>
    </row>
    <row r="680">
      <c r="A680" s="7" t="inlineStr">
        <is>
          <t>name</t>
        </is>
      </c>
      <c r="B680" s="7" t="inlineStr">
        <is>
          <t>amount</t>
        </is>
      </c>
      <c r="C680" s="7" t="inlineStr">
        <is>
          <t>location</t>
        </is>
      </c>
      <c r="D680" s="7" t="inlineStr">
        <is>
          <t>unit</t>
        </is>
      </c>
      <c r="E680" s="7" t="inlineStr">
        <is>
          <t>categories</t>
        </is>
      </c>
      <c r="F680" s="7" t="inlineStr">
        <is>
          <t>type</t>
        </is>
      </c>
      <c r="G680" s="7" t="inlineStr">
        <is>
          <t>reference product</t>
        </is>
      </c>
      <c r="H680" s="7" t="inlineStr">
        <is>
          <t>comment</t>
        </is>
      </c>
      <c r="I680" s="7" t="inlineStr">
        <is>
          <t>normalization</t>
        </is>
      </c>
      <c r="J680" s="7" t="inlineStr">
        <is>
          <t>allocation</t>
        </is>
      </c>
      <c r="K680" s="7" t="inlineStr">
        <is>
          <t>uncertainty type</t>
        </is>
      </c>
      <c r="L680" s="7" t="inlineStr">
        <is>
          <t>loc</t>
        </is>
      </c>
      <c r="M680" s="1" t="inlineStr">
        <is>
          <t>u1</t>
        </is>
      </c>
      <c r="N680" s="1" t="inlineStr">
        <is>
          <t>u2</t>
        </is>
      </c>
      <c r="O680" s="1" t="inlineStr">
        <is>
          <t>u3</t>
        </is>
      </c>
      <c r="P680" s="1" t="inlineStr">
        <is>
          <t>u4</t>
        </is>
      </c>
      <c r="Q680" s="1" t="inlineStr">
        <is>
          <t>u5</t>
        </is>
      </c>
      <c r="R680" s="1" t="inlineStr">
        <is>
          <t>u6</t>
        </is>
      </c>
      <c r="S680" s="1" t="inlineStr">
        <is>
          <t>ub</t>
        </is>
      </c>
      <c r="T680" s="1" t="inlineStr">
        <is>
          <t>scale</t>
        </is>
      </c>
      <c r="U680" s="1" t="inlineStr">
        <is>
          <t>negative</t>
        </is>
      </c>
    </row>
    <row r="681">
      <c r="A681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B681" t="n">
        <v>0</v>
      </c>
      <c r="C681" t="inlineStr">
        <is>
          <t>RER</t>
        </is>
      </c>
      <c r="D681" t="inlineStr">
        <is>
          <t>kilogram</t>
        </is>
      </c>
      <c r="F681" t="inlineStr">
        <is>
          <t>technosphere</t>
        </is>
      </c>
      <c r="G681" t="inlineStr">
        <is>
          <t>municipal solid waste</t>
        </is>
      </c>
      <c r="H681" t="inlineStr"/>
      <c r="I681" t="n">
        <v>7400</v>
      </c>
      <c r="J681" s="14">
        <f>INDEX('allocation keys'!$L$4:$N$30,MATCH('allocated (economic)'!$B$671,'allocation keys'!$B$4:$B$28,0),MATCH('allocated (economic)'!$B$675,'allocation keys'!$L$3:$N$3,0))</f>
        <v>0.33573018318781034</v>
      </c>
      <c r="K681" t="n">
        <v>0</v>
      </c>
      <c r="M681" s="5" t="n"/>
      <c r="N681" s="5" t="n"/>
      <c r="O681" s="5" t="n"/>
      <c r="P681" s="5" t="n"/>
      <c r="Q681" s="5" t="n"/>
      <c r="R681" s="5" t="n"/>
    </row>
    <row r="682">
      <c r="A682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B682" s="6" t="n">
        <v>0</v>
      </c>
      <c r="C682" t="inlineStr">
        <is>
          <t>RER</t>
        </is>
      </c>
      <c r="D682" t="inlineStr">
        <is>
          <t>kilowatt hour</t>
        </is>
      </c>
      <c r="F682" t="inlineStr">
        <is>
          <t>technosphere</t>
        </is>
      </c>
      <c r="G682" t="inlineStr">
        <is>
          <t>electricity, medium voltage</t>
        </is>
      </c>
      <c r="H682" t="inlineStr"/>
      <c r="I682" t="n">
        <v>7400</v>
      </c>
      <c r="J682" s="11">
        <f>J681</f>
        <v>0.33573018318781034</v>
      </c>
      <c r="K682" t="n">
        <v>0</v>
      </c>
      <c r="L682" s="3" t="n"/>
    </row>
    <row r="683">
      <c r="A683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B683" t="n">
        <v>1</v>
      </c>
      <c r="C683" t="inlineStr">
        <is>
          <t>RER</t>
        </is>
      </c>
      <c r="D683" t="inlineStr">
        <is>
          <t>megajoule</t>
        </is>
      </c>
      <c r="F683" t="inlineStr">
        <is>
          <t>production</t>
        </is>
      </c>
      <c r="G683" t="inlineStr">
        <is>
          <t>heat, district or industrial, other than natural gas</t>
        </is>
      </c>
      <c r="H683" t="inlineStr"/>
      <c r="I683" t="n">
        <v>7400</v>
      </c>
      <c r="J683" s="11">
        <f>J681</f>
        <v>0.33573018318781034</v>
      </c>
      <c r="K683" t="n">
        <v>0</v>
      </c>
      <c r="L683" s="3" t="n"/>
    </row>
    <row r="684">
      <c r="A684" t="inlineStr">
        <is>
          <t>market for diesel, low-sulfur</t>
        </is>
      </c>
      <c r="B684">
        <f>unallocated!B240/I684*J684</f>
        <v>3.8563602122924162E-6</v>
      </c>
      <c r="C684" t="inlineStr">
        <is>
          <t>Europe without Switzerland</t>
        </is>
      </c>
      <c r="D684" t="inlineStr">
        <is>
          <t>kilogram</t>
        </is>
      </c>
      <c r="F684" t="inlineStr">
        <is>
          <t>technosphere</t>
        </is>
      </c>
      <c r="G684" t="inlineStr">
        <is>
          <t>diesel, low-sulfur</t>
        </is>
      </c>
      <c r="H684" t="inlineStr">
        <is>
          <t>Diesel density: 0.85 kg/l</t>
        </is>
      </c>
      <c r="I684" t="n">
        <v>7400</v>
      </c>
      <c r="J684" s="11">
        <f>J681</f>
        <v>0.33573018318781034</v>
      </c>
      <c r="K684" t="n">
        <v>2</v>
      </c>
      <c r="L684" s="3">
        <f>LN(B684)</f>
        <v>-12.465786769528044</v>
      </c>
      <c r="M684" t="n">
        <v>1</v>
      </c>
      <c r="N684" t="n">
        <v>1</v>
      </c>
      <c r="O684" t="n">
        <v>1</v>
      </c>
      <c r="P684" t="n">
        <v>1.02</v>
      </c>
      <c r="Q684" t="n">
        <v>1.2</v>
      </c>
      <c r="R684" t="n">
        <v>1</v>
      </c>
      <c r="S684" t="n">
        <v>1.05</v>
      </c>
      <c r="T684">
        <f>LN(SQRT(EXP(
SQRT(
+POWER(LN(M684),2)
+POWER(LN(N684),2)
+POWER(LN(O684),2)
+POWER(LN(P684),2)
+POWER(LN(Q684),2)
+POWER(LN(R684),2)
+POWER(LN(S684),2)
)
)))</f>
        <v>9.4886477223156879E-2</v>
      </c>
    </row>
    <row r="685">
      <c r="A685" t="inlineStr">
        <is>
          <t>market for activated carbon, granular</t>
        </is>
      </c>
      <c r="B685">
        <f>unallocated!B241/I685*J685</f>
        <v>1.8147577469611372E-5</v>
      </c>
      <c r="C685" t="inlineStr">
        <is>
          <t>GLO</t>
        </is>
      </c>
      <c r="D685" t="inlineStr">
        <is>
          <t>kilogram</t>
        </is>
      </c>
      <c r="F685" t="inlineStr">
        <is>
          <t>technosphere</t>
        </is>
      </c>
      <c r="G685" t="inlineStr">
        <is>
          <t>activated carbon, granular</t>
        </is>
      </c>
      <c r="I685" t="n">
        <v>7400</v>
      </c>
      <c r="J685" s="11">
        <f>J681</f>
        <v>0.33573018318781034</v>
      </c>
      <c r="K685" t="n">
        <v>2</v>
      </c>
      <c r="L685" s="3">
        <f>LN(B685)</f>
        <v>-10.916973478910379</v>
      </c>
      <c r="M685" t="n">
        <v>1</v>
      </c>
      <c r="N685" t="n">
        <v>1</v>
      </c>
      <c r="O685" t="n">
        <v>1</v>
      </c>
      <c r="P685" t="n">
        <v>1.02</v>
      </c>
      <c r="Q685" t="n">
        <v>1.2</v>
      </c>
      <c r="R685" t="n">
        <v>1</v>
      </c>
      <c r="S685" t="n">
        <v>1.05</v>
      </c>
      <c r="T685">
        <f>LN(SQRT(EXP(
SQRT(
+POWER(LN(M685),2)
+POWER(LN(N685),2)
+POWER(LN(O685),2)
+POWER(LN(P685),2)
+POWER(LN(Q685),2)
+POWER(LN(R685),2)
+POWER(LN(S685),2)
)
)))</f>
        <v>9.4886477223156879E-2</v>
      </c>
    </row>
    <row r="686">
      <c r="A686" t="inlineStr">
        <is>
          <t>market for ammonia, anhydrous, liquid</t>
        </is>
      </c>
      <c r="B686">
        <f>unallocated!B242/I686*J686</f>
        <v>4.4461564800547857E-5</v>
      </c>
      <c r="C686" t="inlineStr">
        <is>
          <t>RER</t>
        </is>
      </c>
      <c r="D686" t="inlineStr">
        <is>
          <t>kilogram</t>
        </is>
      </c>
      <c r="F686" t="inlineStr">
        <is>
          <t>technosphere</t>
        </is>
      </c>
      <c r="G686" t="inlineStr">
        <is>
          <t>ammonia, anhydrous, liquid</t>
        </is>
      </c>
      <c r="H686" t="inlineStr">
        <is>
          <t>100% liquid ammonia. In original publication, it is dilluated to 23.5% in water. We discount the original value by 75%.</t>
        </is>
      </c>
      <c r="I686" t="n">
        <v>7400</v>
      </c>
      <c r="J686" s="11">
        <f>J681</f>
        <v>0.33573018318781034</v>
      </c>
      <c r="K686" t="n">
        <v>2</v>
      </c>
      <c r="L686" s="3">
        <f>LN(B686)</f>
        <v>-10.020885454353744</v>
      </c>
      <c r="M686" t="n">
        <v>1</v>
      </c>
      <c r="N686" t="n">
        <v>1</v>
      </c>
      <c r="O686" t="n">
        <v>1</v>
      </c>
      <c r="P686" t="n">
        <v>1.02</v>
      </c>
      <c r="Q686" t="n">
        <v>1.2</v>
      </c>
      <c r="R686" t="n">
        <v>1</v>
      </c>
      <c r="S686" t="n">
        <v>1.05</v>
      </c>
      <c r="T686">
        <f>LN(SQRT(EXP(
SQRT(
+POWER(LN(M686),2)
+POWER(LN(N686),2)
+POWER(LN(O686),2)
+POWER(LN(P686),2)
+POWER(LN(Q686),2)
+POWER(LN(R686),2)
+POWER(LN(S686),2)
)
)))</f>
        <v>9.4886477223156879E-2</v>
      </c>
    </row>
    <row r="687">
      <c r="A687" t="inlineStr">
        <is>
          <t>market for tap water</t>
        </is>
      </c>
      <c r="B687">
        <f>unallocated!B243/I687*J687</f>
        <v>1.3701420989556583E-4</v>
      </c>
      <c r="C687" t="inlineStr">
        <is>
          <t>Europe without Switzerland</t>
        </is>
      </c>
      <c r="D687" t="inlineStr">
        <is>
          <t>kilogram</t>
        </is>
      </c>
      <c r="F687" t="inlineStr">
        <is>
          <t>technosphere</t>
        </is>
      </c>
      <c r="G687" t="inlineStr">
        <is>
          <t>tap water</t>
        </is>
      </c>
      <c r="H687" t="inlineStr">
        <is>
          <t>Used to dilute the ammonia.</t>
        </is>
      </c>
      <c r="I687" t="n">
        <v>7400</v>
      </c>
      <c r="J687" s="11">
        <f>J681</f>
        <v>0.33573018318781034</v>
      </c>
      <c r="K687" t="n">
        <v>2</v>
      </c>
      <c r="L687" s="3">
        <f>LN(B687)</f>
        <v>-8.8954259156494455</v>
      </c>
      <c r="M687" t="n">
        <v>1</v>
      </c>
      <c r="N687" t="n">
        <v>1</v>
      </c>
      <c r="O687" t="n">
        <v>1</v>
      </c>
      <c r="P687" t="n">
        <v>1.02</v>
      </c>
      <c r="Q687" t="n">
        <v>1.2</v>
      </c>
      <c r="R687" t="n">
        <v>1</v>
      </c>
      <c r="S687" t="n">
        <v>1.05</v>
      </c>
      <c r="T687">
        <f>LN(SQRT(EXP(
SQRT(
+POWER(LN(M687),2)
+POWER(LN(N687),2)
+POWER(LN(O687),2)
+POWER(LN(P687),2)
+POWER(LN(Q687),2)
+POWER(LN(R687),2)
+POWER(LN(S687),2)
)
)))</f>
        <v>9.4886477223156879E-2</v>
      </c>
    </row>
    <row r="688">
      <c r="A688" t="inlineStr">
        <is>
          <t>market for calcium carbonate, precipitated</t>
        </is>
      </c>
      <c r="B688">
        <f>unallocated!B244/I688*J688</f>
        <v>0</v>
      </c>
      <c r="C688" t="inlineStr">
        <is>
          <t>RER</t>
        </is>
      </c>
      <c r="D688" t="inlineStr">
        <is>
          <t>kilogram</t>
        </is>
      </c>
      <c r="F688" t="inlineStr">
        <is>
          <t>technosphere</t>
        </is>
      </c>
      <c r="G688" t="inlineStr">
        <is>
          <t>calcium carbonate, precipitated</t>
        </is>
      </c>
      <c r="I688" t="n">
        <v>7400</v>
      </c>
      <c r="J688" s="11">
        <f>J681</f>
        <v>0.33573018318781034</v>
      </c>
      <c r="K688" t="n">
        <v>0</v>
      </c>
      <c r="L688" s="3" t="n"/>
    </row>
    <row r="689">
      <c r="A689" t="inlineStr">
        <is>
          <t>market for iron(III) chloride, without water, in 40% solution state</t>
        </is>
      </c>
      <c r="B689">
        <f>unallocated!B245/I689*J689</f>
        <v>0</v>
      </c>
      <c r="C689" t="inlineStr">
        <is>
          <t>GLO</t>
        </is>
      </c>
      <c r="D689" t="inlineStr">
        <is>
          <t>kilogram</t>
        </is>
      </c>
      <c r="F689" t="inlineStr">
        <is>
          <t>technosphere</t>
        </is>
      </c>
      <c r="G689" t="inlineStr">
        <is>
          <t>iron(III) chloride, without water, in 40% solution state</t>
        </is>
      </c>
      <c r="I689" t="n">
        <v>7400</v>
      </c>
      <c r="J689" s="11">
        <f>J681</f>
        <v>0.33573018318781034</v>
      </c>
      <c r="K689" t="n">
        <v>0</v>
      </c>
      <c r="L689" s="3" t="n"/>
    </row>
    <row r="690">
      <c r="A690" t="inlineStr">
        <is>
          <t>market for lime, hydrated, packed</t>
        </is>
      </c>
      <c r="B690">
        <f>unallocated!B246/I690*J690</f>
        <v>4.5368943674028425E-4</v>
      </c>
      <c r="C690" t="inlineStr">
        <is>
          <t>RER</t>
        </is>
      </c>
      <c r="D690" t="inlineStr">
        <is>
          <t>kilogram</t>
        </is>
      </c>
      <c r="F690" t="inlineStr">
        <is>
          <t>technosphere</t>
        </is>
      </c>
      <c r="G690" t="inlineStr">
        <is>
          <t>lime, hydrated, packed</t>
        </is>
      </c>
      <c r="I690" t="n">
        <v>7400</v>
      </c>
      <c r="J690" s="11">
        <f>J681</f>
        <v>0.33573018318781034</v>
      </c>
      <c r="K690" t="n">
        <v>2</v>
      </c>
      <c r="L690" s="3">
        <f>LN(B690)</f>
        <v>-7.6980976540421784</v>
      </c>
      <c r="M690" t="n">
        <v>1</v>
      </c>
      <c r="N690" t="n">
        <v>1</v>
      </c>
      <c r="O690" t="n">
        <v>1</v>
      </c>
      <c r="P690" t="n">
        <v>1.02</v>
      </c>
      <c r="Q690" t="n">
        <v>1.2</v>
      </c>
      <c r="R690" t="n">
        <v>1</v>
      </c>
      <c r="S690" t="n">
        <v>1.05</v>
      </c>
      <c r="T690">
        <f>LN(SQRT(EXP(
SQRT(
+POWER(LN(M690),2)
+POWER(LN(N690),2)
+POWER(LN(O690),2)
+POWER(LN(P690),2)
+POWER(LN(Q690),2)
+POWER(LN(R690),2)
+POWER(LN(S690),2)
)
)))</f>
        <v>9.4886477223156879E-2</v>
      </c>
    </row>
    <row r="691">
      <c r="A691" t="inlineStr">
        <is>
          <t>market for sodium hydroxide, without water, in 50% solution state</t>
        </is>
      </c>
      <c r="B691">
        <f>unallocated!B247/I691*J691</f>
        <v>1.1342235918507106E-5</v>
      </c>
      <c r="C691" t="inlineStr">
        <is>
          <t>RER</t>
        </is>
      </c>
      <c r="D691" t="inlineStr">
        <is>
          <t>kilogram</t>
        </is>
      </c>
      <c r="F691" t="inlineStr">
        <is>
          <t>technosphere</t>
        </is>
      </c>
      <c r="G691" t="inlineStr">
        <is>
          <t>sodium hydroxide, without water, in 50% solution state</t>
        </is>
      </c>
      <c r="H691" t="inlineStr">
        <is>
          <t>50% liquid ammonia. In original publication, it is dilluated to 27% in water. We discount the original value by 50%.</t>
        </is>
      </c>
      <c r="I691" t="n">
        <v>7400</v>
      </c>
      <c r="J691" s="11">
        <f>J681</f>
        <v>0.33573018318781034</v>
      </c>
      <c r="K691" t="n">
        <v>0</v>
      </c>
      <c r="L691" s="3" t="n"/>
    </row>
    <row r="692">
      <c r="A692" t="inlineStr">
        <is>
          <t>market for monoethanolamine</t>
        </is>
      </c>
      <c r="B692">
        <f>unallocated!B248/I692*J692</f>
        <v>1.8147577469611369E-4</v>
      </c>
      <c r="C692" t="inlineStr">
        <is>
          <t>GLO</t>
        </is>
      </c>
      <c r="D692" t="inlineStr">
        <is>
          <t>kilogram</t>
        </is>
      </c>
      <c r="F692" t="inlineStr">
        <is>
          <t>technosphere</t>
        </is>
      </c>
      <c r="G692" t="inlineStr">
        <is>
          <t>monoethanolamine</t>
        </is>
      </c>
      <c r="I692" t="n">
        <v>7400</v>
      </c>
      <c r="J692" s="11">
        <f>J681</f>
        <v>0.33573018318781034</v>
      </c>
      <c r="K692" t="n">
        <v>0</v>
      </c>
      <c r="L692" s="3" t="n"/>
    </row>
    <row r="693">
      <c r="A693" t="inlineStr">
        <is>
          <t>municipal waste incineration facility construction</t>
        </is>
      </c>
      <c r="B693">
        <f>unallocated!B249/I693*J693</f>
        <v>1.1342235918507106E-11</v>
      </c>
      <c r="C693" t="inlineStr">
        <is>
          <t>CH</t>
        </is>
      </c>
      <c r="D693" t="inlineStr">
        <is>
          <t>unit</t>
        </is>
      </c>
      <c r="F693" t="inlineStr">
        <is>
          <t>technosphere</t>
        </is>
      </c>
      <c r="G693" t="inlineStr">
        <is>
          <t>municipal waste incineration facility</t>
        </is>
      </c>
      <c r="H693" t="inlineStr">
        <is>
          <t>Lifetime: 4'000'000 tons MSWI treated.</t>
        </is>
      </c>
      <c r="I693" t="n">
        <v>7400</v>
      </c>
      <c r="J693" s="11">
        <f>J681</f>
        <v>0.33573018318781034</v>
      </c>
      <c r="K693" t="n">
        <v>2</v>
      </c>
      <c r="L693" s="3">
        <f>LN(B693)</f>
        <v>-25.20248766612039</v>
      </c>
      <c r="M693" t="n">
        <v>1</v>
      </c>
      <c r="N693" t="n">
        <v>1</v>
      </c>
      <c r="O693" t="n">
        <v>1</v>
      </c>
      <c r="P693" t="n">
        <v>1.02</v>
      </c>
      <c r="Q693" t="n">
        <v>1.2</v>
      </c>
      <c r="R693" t="n">
        <v>1</v>
      </c>
      <c r="S693" t="n">
        <v>3</v>
      </c>
      <c r="T693">
        <f>LN(SQRT(EXP(
SQRT(
+POWER(LN(M693),2)
+POWER(LN(N693),2)
+POWER(LN(O693),2)
+POWER(LN(P693),2)
+POWER(LN(Q693),2)
+POWER(LN(R693),2)
+POWER(LN(S693),2)
)
)))</f>
        <v>0.5569071410325479</v>
      </c>
    </row>
    <row r="694">
      <c r="A694" t="inlineStr">
        <is>
          <t>carbon dioxide storage at wood burning power plant 20 MW post, pipeline 200km, storage 1000m</t>
        </is>
      </c>
      <c r="B694">
        <f>unallocated!B250/I694*J694</f>
        <v>3.7338640643725392E-2</v>
      </c>
      <c r="C694" t="inlineStr">
        <is>
          <t>RER</t>
        </is>
      </c>
      <c r="D694" t="inlineStr">
        <is>
          <t>kilogram</t>
        </is>
      </c>
      <c r="F694" t="inlineStr">
        <is>
          <t>technosphere</t>
        </is>
      </c>
      <c r="G694" t="inlineStr">
        <is>
          <t>carbon dioxide storage at wood burning power plant 20 MW post, pipeline 200km, storage 1000m</t>
        </is>
      </c>
      <c r="I694" t="n">
        <v>7400</v>
      </c>
      <c r="J694" s="11">
        <f>J681</f>
        <v>0.33573018318781034</v>
      </c>
      <c r="K694" t="n">
        <v>2</v>
      </c>
      <c r="L694" s="3">
        <f>LN(B694)</f>
        <v>-3.2877265463591545</v>
      </c>
      <c r="M694" t="n">
        <v>1</v>
      </c>
      <c r="N694" t="n">
        <v>1</v>
      </c>
      <c r="O694" t="n">
        <v>1</v>
      </c>
      <c r="P694" t="n">
        <v>1.02</v>
      </c>
      <c r="Q694" t="n">
        <v>1.2</v>
      </c>
      <c r="R694" t="n">
        <v>1</v>
      </c>
      <c r="S694" t="n">
        <v>3</v>
      </c>
      <c r="T694">
        <f>LN(SQRT(EXP(
SQRT(
+POWER(LN(M694),2)
+POWER(LN(N694),2)
+POWER(LN(O694),2)
+POWER(LN(P694),2)
+POWER(LN(Q694),2)
+POWER(LN(R694),2)
+POWER(LN(S694),2)
)
)))</f>
        <v>0.5569071410325479</v>
      </c>
    </row>
    <row r="695">
      <c r="A695" t="inlineStr">
        <is>
          <t>Water, cooling, unspecified natural origin</t>
        </is>
      </c>
      <c r="B695">
        <f>unallocated!B251/I695*J695</f>
        <v>0</v>
      </c>
      <c r="D695" t="inlineStr">
        <is>
          <t>cubic meter</t>
        </is>
      </c>
      <c r="E695" t="inlineStr">
        <is>
          <t>natural resource::in water</t>
        </is>
      </c>
      <c r="F695" t="inlineStr">
        <is>
          <t>biosphere</t>
        </is>
      </c>
      <c r="I695" t="n">
        <v>7400</v>
      </c>
      <c r="J695" s="11">
        <f>J681</f>
        <v>0.33573018318781034</v>
      </c>
      <c r="K695" t="n">
        <v>0</v>
      </c>
      <c r="L695" s="3" t="n"/>
    </row>
    <row r="696">
      <c r="A696" t="inlineStr">
        <is>
          <t>Sulfur dioxide</t>
        </is>
      </c>
      <c r="B696">
        <f>unallocated!B252/I696*J696</f>
        <v>2.7221366204417057E-7</v>
      </c>
      <c r="D696" t="inlineStr">
        <is>
          <t>kilogram</t>
        </is>
      </c>
      <c r="E696" t="inlineStr">
        <is>
          <t>air::urban air close to ground</t>
        </is>
      </c>
      <c r="F696" t="inlineStr">
        <is>
          <t>biosphere</t>
        </is>
      </c>
      <c r="I696" t="n">
        <v>7400</v>
      </c>
      <c r="J696" s="11">
        <f>J681</f>
        <v>0.33573018318781034</v>
      </c>
      <c r="K696" t="n">
        <v>2</v>
      </c>
      <c r="L696" s="3">
        <f>LN(B696)</f>
        <v>-15.116678556790307</v>
      </c>
      <c r="M696" t="n">
        <v>1</v>
      </c>
      <c r="N696" t="n">
        <v>1</v>
      </c>
      <c r="O696" t="n">
        <v>1</v>
      </c>
      <c r="P696" t="n">
        <v>1.02</v>
      </c>
      <c r="Q696" t="n">
        <v>1.2</v>
      </c>
      <c r="R696" t="n">
        <v>1</v>
      </c>
      <c r="S696" t="n">
        <v>1.05</v>
      </c>
      <c r="T696">
        <f>LN(SQRT(EXP(
SQRT(
+POWER(LN(M696),2)
+POWER(LN(N696),2)
+POWER(LN(O696),2)
+POWER(LN(P696),2)
+POWER(LN(Q696),2)
+POWER(LN(R696),2)
+POWER(LN(S696),2)
)
)))</f>
        <v>9.4886477223156879E-2</v>
      </c>
    </row>
    <row r="697">
      <c r="A697" t="inlineStr">
        <is>
          <t>Hydrochloric acid</t>
        </is>
      </c>
      <c r="B697">
        <f>unallocated!B253/I697*J697</f>
        <v>1.3610683102208528E-7</v>
      </c>
      <c r="D697" t="inlineStr">
        <is>
          <t>kilogram</t>
        </is>
      </c>
      <c r="E697" t="inlineStr">
        <is>
          <t>air</t>
        </is>
      </c>
      <c r="F697" t="inlineStr">
        <is>
          <t>biosphere</t>
        </is>
      </c>
      <c r="I697" t="n">
        <v>7400</v>
      </c>
      <c r="J697" s="11">
        <f>J681</f>
        <v>0.33573018318781034</v>
      </c>
      <c r="K697" t="n">
        <v>2</v>
      </c>
      <c r="L697" s="3">
        <f>LN(B697)</f>
        <v>-15.809825737350252</v>
      </c>
      <c r="M697" t="n">
        <v>1</v>
      </c>
      <c r="N697" t="n">
        <v>1</v>
      </c>
      <c r="O697" t="n">
        <v>1</v>
      </c>
      <c r="P697" t="n">
        <v>1.02</v>
      </c>
      <c r="Q697" t="n">
        <v>1.2</v>
      </c>
      <c r="R697" t="n">
        <v>1</v>
      </c>
      <c r="S697" t="n">
        <v>1.5</v>
      </c>
      <c r="T697">
        <f>LN(SQRT(EXP(
SQRT(
+POWER(LN(M697),2)
+POWER(LN(N697),2)
+POWER(LN(O697),2)
+POWER(LN(P697),2)
+POWER(LN(Q697),2)
+POWER(LN(R697),2)
+POWER(LN(S697),2)
)
)))</f>
        <v>0.22250575723605889</v>
      </c>
    </row>
    <row r="698">
      <c r="A698" t="inlineStr">
        <is>
          <t>Nitrogen oxides</t>
        </is>
      </c>
      <c r="B698">
        <f>unallocated!B254/I698*J698</f>
        <v>3.0714774867317247E-5</v>
      </c>
      <c r="D698" t="inlineStr">
        <is>
          <t>kilogram</t>
        </is>
      </c>
      <c r="E698" t="inlineStr">
        <is>
          <t>air::urban air close to ground</t>
        </is>
      </c>
      <c r="F698" t="inlineStr">
        <is>
          <t>biosphere</t>
        </is>
      </c>
      <c r="I698" t="n">
        <v>7400</v>
      </c>
      <c r="J698" s="11">
        <f>J681</f>
        <v>0.33573018318781034</v>
      </c>
      <c r="K698" t="n">
        <v>2</v>
      </c>
      <c r="L698" s="3">
        <f>LN(B698)</f>
        <v>-10.390766753106085</v>
      </c>
      <c r="M698" t="n">
        <v>1</v>
      </c>
      <c r="N698" t="n">
        <v>1</v>
      </c>
      <c r="O698" t="n">
        <v>1</v>
      </c>
      <c r="P698" t="n">
        <v>1.02</v>
      </c>
      <c r="Q698" t="n">
        <v>1.2</v>
      </c>
      <c r="R698" t="n">
        <v>1</v>
      </c>
      <c r="S698" t="n">
        <v>1.5</v>
      </c>
      <c r="T698">
        <f>LN(SQRT(EXP(
SQRT(
+POWER(LN(M698),2)
+POWER(LN(N698),2)
+POWER(LN(O698),2)
+POWER(LN(P698),2)
+POWER(LN(Q698),2)
+POWER(LN(R698),2)
+POWER(LN(S698),2)
)
)))</f>
        <v>0.22250575723605889</v>
      </c>
    </row>
    <row r="699">
      <c r="A699" t="inlineStr">
        <is>
          <t>Ammonia</t>
        </is>
      </c>
      <c r="B699">
        <f>unallocated!B255/I699*J699</f>
        <v>9.0737887348056849E-7</v>
      </c>
      <c r="D699" t="inlineStr">
        <is>
          <t>kilogram</t>
        </is>
      </c>
      <c r="E699" t="inlineStr">
        <is>
          <t>air::urban air close to ground</t>
        </is>
      </c>
      <c r="F699" t="inlineStr">
        <is>
          <t>biosphere</t>
        </is>
      </c>
      <c r="I699" t="n">
        <v>7400</v>
      </c>
      <c r="J699" s="11">
        <f>J681</f>
        <v>0.33573018318781034</v>
      </c>
      <c r="K699" t="n">
        <v>2</v>
      </c>
      <c r="L699" s="3">
        <f>LN(B699)</f>
        <v>-13.912705752464371</v>
      </c>
      <c r="M699" t="n">
        <v>1</v>
      </c>
      <c r="N699" t="n">
        <v>1</v>
      </c>
      <c r="O699" t="n">
        <v>1</v>
      </c>
      <c r="P699" t="n">
        <v>1.02</v>
      </c>
      <c r="Q699" t="n">
        <v>1.2</v>
      </c>
      <c r="R699" t="n">
        <v>1</v>
      </c>
      <c r="S699" t="n">
        <v>1.5</v>
      </c>
      <c r="T699">
        <f>LN(SQRT(EXP(
SQRT(
+POWER(LN(M699),2)
+POWER(LN(N699),2)
+POWER(LN(O699),2)
+POWER(LN(P699),2)
+POWER(LN(Q699),2)
+POWER(LN(R699),2)
+POWER(LN(S699),2)
)
)))</f>
        <v>0.22250575723605889</v>
      </c>
    </row>
    <row r="700">
      <c r="A700" t="inlineStr">
        <is>
          <t>Particulate Matter, &lt; 2.5 um</t>
        </is>
      </c>
      <c r="B700">
        <f>unallocated!B256/I700*J700</f>
        <v>2.7221366204417057E-7</v>
      </c>
      <c r="D700" t="inlineStr">
        <is>
          <t>kilogram</t>
        </is>
      </c>
      <c r="E700" t="inlineStr">
        <is>
          <t>air::urban air close to ground</t>
        </is>
      </c>
      <c r="F700" t="inlineStr">
        <is>
          <t>biosphere</t>
        </is>
      </c>
      <c r="I700" t="n">
        <v>7400</v>
      </c>
      <c r="J700" s="11">
        <f>J681</f>
        <v>0.33573018318781034</v>
      </c>
      <c r="K700" t="n">
        <v>2</v>
      </c>
      <c r="L700" s="3">
        <f>LN(B700)</f>
        <v>-15.116678556790307</v>
      </c>
      <c r="M700" t="n">
        <v>1</v>
      </c>
      <c r="N700" t="n">
        <v>1</v>
      </c>
      <c r="O700" t="n">
        <v>1</v>
      </c>
      <c r="P700" t="n">
        <v>1.02</v>
      </c>
      <c r="Q700" t="n">
        <v>1.2</v>
      </c>
      <c r="R700" t="n">
        <v>1</v>
      </c>
      <c r="S700" t="n">
        <v>3</v>
      </c>
      <c r="T700">
        <f>LN(SQRT(EXP(
SQRT(
+POWER(LN(M700),2)
+POWER(LN(N700),2)
+POWER(LN(O700),2)
+POWER(LN(P700),2)
+POWER(LN(Q700),2)
+POWER(LN(R700),2)
+POWER(LN(S700),2)
)
)))</f>
        <v>0.5569071410325479</v>
      </c>
    </row>
    <row r="701">
      <c r="A701" t="inlineStr">
        <is>
          <t>Mercury II</t>
        </is>
      </c>
      <c r="B701">
        <f>unallocated!B257/I701*J701</f>
        <v>2.7221366204417056E-10</v>
      </c>
      <c r="D701" t="inlineStr">
        <is>
          <t>kilogram</t>
        </is>
      </c>
      <c r="E701" t="inlineStr">
        <is>
          <t>air::urban air close to ground</t>
        </is>
      </c>
      <c r="F701" t="inlineStr">
        <is>
          <t>biosphere</t>
        </is>
      </c>
      <c r="I701" t="n">
        <v>7400</v>
      </c>
      <c r="J701" s="11">
        <f>J681</f>
        <v>0.33573018318781034</v>
      </c>
      <c r="K701" t="n">
        <v>2</v>
      </c>
      <c r="L701" s="3">
        <f>LN(B701)</f>
        <v>-22.024433835772442</v>
      </c>
      <c r="M701" t="n">
        <v>1</v>
      </c>
      <c r="N701" t="n">
        <v>1</v>
      </c>
      <c r="O701" t="n">
        <v>1</v>
      </c>
      <c r="P701" t="n">
        <v>1.02</v>
      </c>
      <c r="Q701" t="n">
        <v>1.2</v>
      </c>
      <c r="R701" t="n">
        <v>1</v>
      </c>
      <c r="S701" t="n">
        <v>5</v>
      </c>
      <c r="T701">
        <f>LN(SQRT(EXP(
SQRT(
+POWER(LN(M701),2)
+POWER(LN(N701),2)
+POWER(LN(O701),2)
+POWER(LN(P701),2)
+POWER(LN(Q701),2)
+POWER(LN(R701),2)
+POWER(LN(S701),2)
)
)))</f>
        <v>0.80992649174166365</v>
      </c>
    </row>
    <row r="702">
      <c r="A702" t="inlineStr">
        <is>
          <t>Lead II</t>
        </is>
      </c>
      <c r="B702">
        <f>unallocated!B258/I702*J702</f>
        <v>2.7221366204417056E-10</v>
      </c>
      <c r="D702" t="inlineStr">
        <is>
          <t>kilogram</t>
        </is>
      </c>
      <c r="E702" t="inlineStr">
        <is>
          <t>air::urban air close to ground</t>
        </is>
      </c>
      <c r="F702" t="inlineStr">
        <is>
          <t>biosphere</t>
        </is>
      </c>
      <c r="I702" t="n">
        <v>7400</v>
      </c>
      <c r="J702" s="11">
        <f>J681</f>
        <v>0.33573018318781034</v>
      </c>
      <c r="K702" t="n">
        <v>2</v>
      </c>
      <c r="L702" s="3">
        <f>LN(B702)</f>
        <v>-22.024433835772442</v>
      </c>
      <c r="M702" t="n">
        <v>1</v>
      </c>
      <c r="N702" t="n">
        <v>1</v>
      </c>
      <c r="O702" t="n">
        <v>1</v>
      </c>
      <c r="P702" t="n">
        <v>1.02</v>
      </c>
      <c r="Q702" t="n">
        <v>1.2</v>
      </c>
      <c r="R702" t="n">
        <v>1</v>
      </c>
      <c r="S702" t="n">
        <v>5</v>
      </c>
      <c r="T702">
        <f>LN(SQRT(EXP(
SQRT(
+POWER(LN(M702),2)
+POWER(LN(N702),2)
+POWER(LN(O702),2)
+POWER(LN(P702),2)
+POWER(LN(Q702),2)
+POWER(LN(R702),2)
+POWER(LN(S702),2)
)
)))</f>
        <v>0.80992649174166365</v>
      </c>
    </row>
    <row r="703">
      <c r="A703" t="inlineStr">
        <is>
          <t>Cadmium II</t>
        </is>
      </c>
      <c r="B703">
        <f>unallocated!B259/I703*J703</f>
        <v>1.3610683102208528E-10</v>
      </c>
      <c r="D703" t="inlineStr">
        <is>
          <t>kilogram</t>
        </is>
      </c>
      <c r="E703" t="inlineStr">
        <is>
          <t>air::urban air close to ground</t>
        </is>
      </c>
      <c r="F703" t="inlineStr">
        <is>
          <t>biosphere</t>
        </is>
      </c>
      <c r="I703" t="n">
        <v>7400</v>
      </c>
      <c r="J703" s="11">
        <f>J681</f>
        <v>0.33573018318781034</v>
      </c>
      <c r="K703" t="n">
        <v>2</v>
      </c>
      <c r="L703" s="3">
        <f>LN(B703)</f>
        <v>-22.717581016332389</v>
      </c>
      <c r="M703" t="n">
        <v>1</v>
      </c>
      <c r="N703" t="n">
        <v>1</v>
      </c>
      <c r="O703" t="n">
        <v>1</v>
      </c>
      <c r="P703" t="n">
        <v>1.02</v>
      </c>
      <c r="Q703" t="n">
        <v>1.2</v>
      </c>
      <c r="R703" t="n">
        <v>1</v>
      </c>
      <c r="S703" t="n">
        <v>5</v>
      </c>
      <c r="T703">
        <f>LN(SQRT(EXP(
SQRT(
+POWER(LN(M703),2)
+POWER(LN(N703),2)
+POWER(LN(O703),2)
+POWER(LN(P703),2)
+POWER(LN(Q703),2)
+POWER(LN(R703),2)
+POWER(LN(S703),2)
)
)))</f>
        <v>0.80992649174166365</v>
      </c>
    </row>
    <row r="704">
      <c r="A704" t="inlineStr">
        <is>
          <t>Arsenic ion</t>
        </is>
      </c>
      <c r="B704">
        <f>unallocated!B260/I704*J704</f>
        <v>1.3610683102208528E-10</v>
      </c>
      <c r="D704" t="inlineStr">
        <is>
          <t>kilogram</t>
        </is>
      </c>
      <c r="E704" t="inlineStr">
        <is>
          <t>air::urban air close to ground</t>
        </is>
      </c>
      <c r="F704" t="inlineStr">
        <is>
          <t>biosphere</t>
        </is>
      </c>
      <c r="I704" t="n">
        <v>7400</v>
      </c>
      <c r="J704" s="11">
        <f>J681</f>
        <v>0.33573018318781034</v>
      </c>
      <c r="K704" t="n">
        <v>2</v>
      </c>
      <c r="L704" s="3">
        <f>LN(B704)</f>
        <v>-22.717581016332389</v>
      </c>
      <c r="M704" t="n">
        <v>1</v>
      </c>
      <c r="N704" t="n">
        <v>1</v>
      </c>
      <c r="O704" t="n">
        <v>1</v>
      </c>
      <c r="P704" t="n">
        <v>1.02</v>
      </c>
      <c r="Q704" t="n">
        <v>1.2</v>
      </c>
      <c r="R704" t="n">
        <v>1</v>
      </c>
      <c r="S704" t="n">
        <v>5</v>
      </c>
      <c r="T704">
        <f>LN(SQRT(EXP(
SQRT(
+POWER(LN(M704),2)
+POWER(LN(N704),2)
+POWER(LN(O704),2)
+POWER(LN(P704),2)
+POWER(LN(Q704),2)
+POWER(LN(R704),2)
+POWER(LN(S704),2)
)
)))</f>
        <v>0.80992649174166365</v>
      </c>
    </row>
    <row r="705">
      <c r="A705" t="inlineStr">
        <is>
          <t>Dioxins, measured as 2,3,7,8-tetrachlorodibenzo-p-dioxin</t>
        </is>
      </c>
      <c r="B705">
        <f>unallocated!B261/I705*J705</f>
        <v>4.9905838041431267E-15</v>
      </c>
      <c r="D705" t="inlineStr">
        <is>
          <t>kilogram</t>
        </is>
      </c>
      <c r="E705" t="inlineStr">
        <is>
          <t>air::urban air close to ground</t>
        </is>
      </c>
      <c r="F705" t="inlineStr">
        <is>
          <t>biosphere</t>
        </is>
      </c>
      <c r="I705" t="n">
        <v>7400</v>
      </c>
      <c r="J705" s="11">
        <f>J681</f>
        <v>0.33573018318781034</v>
      </c>
      <c r="K705" t="n">
        <v>2</v>
      </c>
      <c r="L705" s="3">
        <f>LN(B705)</f>
        <v>-32.931223497172354</v>
      </c>
      <c r="M705" t="n">
        <v>1</v>
      </c>
      <c r="N705" t="n">
        <v>1</v>
      </c>
      <c r="O705" t="n">
        <v>1</v>
      </c>
      <c r="P705" t="n">
        <v>1.02</v>
      </c>
      <c r="Q705" t="n">
        <v>1.2</v>
      </c>
      <c r="R705" t="n">
        <v>1</v>
      </c>
      <c r="S705" t="n">
        <v>5</v>
      </c>
      <c r="T705">
        <f>LN(SQRT(EXP(
SQRT(
+POWER(LN(M705),2)
+POWER(LN(N705),2)
+POWER(LN(O705),2)
+POWER(LN(P705),2)
+POWER(LN(Q705),2)
+POWER(LN(R705),2)
+POWER(LN(S705),2)
)
)))</f>
        <v>0.80992649174166365</v>
      </c>
    </row>
    <row r="706">
      <c r="A706" t="inlineStr">
        <is>
          <t>Carbon dioxide, fossil</t>
        </is>
      </c>
      <c r="B706">
        <f>unallocated!B262/I706*J706</f>
        <v>2.5406608457455918E-3</v>
      </c>
      <c r="D706" t="inlineStr">
        <is>
          <t>kilogram</t>
        </is>
      </c>
      <c r="E706" t="inlineStr">
        <is>
          <t>air::urban air close to ground</t>
        </is>
      </c>
      <c r="F706" t="inlineStr">
        <is>
          <t>biosphere</t>
        </is>
      </c>
      <c r="I706" t="n">
        <v>7400</v>
      </c>
      <c r="J706" s="11">
        <f>J681</f>
        <v>0.33573018318781034</v>
      </c>
      <c r="K706" t="n">
        <v>2</v>
      </c>
      <c r="L706" s="3">
        <f>LN(B706)</f>
        <v>-5.9753310563010746</v>
      </c>
      <c r="M706" t="n">
        <v>1</v>
      </c>
      <c r="N706" t="n">
        <v>1</v>
      </c>
      <c r="O706" t="n">
        <v>1</v>
      </c>
      <c r="P706" t="n">
        <v>1.02</v>
      </c>
      <c r="Q706" t="n">
        <v>1.2</v>
      </c>
      <c r="R706" t="n">
        <v>1</v>
      </c>
      <c r="S706" t="n">
        <v>1.05</v>
      </c>
      <c r="T706">
        <f>LN(SQRT(EXP(
SQRT(
+POWER(LN(M706),2)
+POWER(LN(N706),2)
+POWER(LN(O706),2)
+POWER(LN(P706),2)
+POWER(LN(Q706),2)
+POWER(LN(R706),2)
+POWER(LN(S706),2)
)
)))</f>
        <v>9.4886477223156879E-2</v>
      </c>
    </row>
    <row r="707">
      <c r="A707" t="inlineStr">
        <is>
          <t>Carbon dioxide, non-fossil</t>
        </is>
      </c>
      <c r="B707">
        <f>unallocated!B263/I707*J707</f>
        <v>4.03783598698853E-3</v>
      </c>
      <c r="D707" t="inlineStr">
        <is>
          <t>kilogram</t>
        </is>
      </c>
      <c r="E707" t="inlineStr">
        <is>
          <t>air::urban air close to ground</t>
        </is>
      </c>
      <c r="F707" t="inlineStr">
        <is>
          <t>biosphere</t>
        </is>
      </c>
      <c r="I707" t="n">
        <v>7400</v>
      </c>
      <c r="J707" s="14">
        <f>J681</f>
        <v>0.33573018318781034</v>
      </c>
      <c r="K707" t="n">
        <v>2</v>
      </c>
      <c r="L707" s="3">
        <f>LN(B707)</f>
        <v>-5.5120463773040846</v>
      </c>
      <c r="M707" t="n">
        <v>1</v>
      </c>
      <c r="N707" t="n">
        <v>1</v>
      </c>
      <c r="O707" t="n">
        <v>1</v>
      </c>
      <c r="P707" t="n">
        <v>1.02</v>
      </c>
      <c r="Q707" t="n">
        <v>1.2</v>
      </c>
      <c r="R707" t="n">
        <v>1</v>
      </c>
      <c r="S707" t="n">
        <v>1.05</v>
      </c>
      <c r="T707">
        <f>LN(SQRT(EXP(
SQRT(
+POWER(LN(M707),2)
+POWER(LN(N707),2)
+POWER(LN(O707),2)
+POWER(LN(P707),2)
+POWER(LN(Q707),2)
+POWER(LN(R707),2)
+POWER(LN(S707),2)
)
)))</f>
        <v>9.4886477223156879E-2</v>
      </c>
    </row>
    <row r="708">
      <c r="A708" t="inlineStr">
        <is>
          <t>Carbon dioxide, in air</t>
        </is>
      </c>
      <c r="B708">
        <f>unallocated!B264/I708*J708</f>
        <v>2.2911316555384354E-2</v>
      </c>
      <c r="D708" t="inlineStr">
        <is>
          <t>kilogram</t>
        </is>
      </c>
      <c r="E708" t="inlineStr">
        <is>
          <t>natural resource::in air</t>
        </is>
      </c>
      <c r="F708" t="inlineStr">
        <is>
          <t>biosphere</t>
        </is>
      </c>
      <c r="H708" t="inlineStr">
        <is>
          <t>To reflect the permanent storage of non-fossil CO.</t>
        </is>
      </c>
      <c r="I708" t="n">
        <v>7400</v>
      </c>
      <c r="J708" s="14">
        <f>J681</f>
        <v>0.33573018318781034</v>
      </c>
      <c r="K708" t="n">
        <v>2</v>
      </c>
      <c r="L708" s="3">
        <f>LN(B708)</f>
        <v>-3.7761243177608641</v>
      </c>
      <c r="M708" t="n">
        <v>1</v>
      </c>
      <c r="N708" t="n">
        <v>1</v>
      </c>
      <c r="O708" t="n">
        <v>1</v>
      </c>
      <c r="P708" t="n">
        <v>1.02</v>
      </c>
      <c r="Q708" t="n">
        <v>1.2</v>
      </c>
      <c r="R708" t="n">
        <v>1</v>
      </c>
      <c r="S708" t="n">
        <v>1.05</v>
      </c>
      <c r="T708">
        <f>LN(SQRT(EXP(
SQRT(
+POWER(LN(M708),2)
+POWER(LN(N708),2)
+POWER(LN(O708),2)
+POWER(LN(P708),2)
+POWER(LN(Q708),2)
+POWER(LN(R708),2)
+POWER(LN(S708),2)
)
)))</f>
        <v>9.4886477223156879E-2</v>
      </c>
    </row>
    <row r="709"/>
    <row r="710">
      <c r="A710" s="1" t="inlineStr">
        <is>
          <t>Activity</t>
        </is>
      </c>
      <c r="B710" s="1" t="inlineStr">
        <is>
          <t>municipal waste incineration, at incineration plant, with wet air pollution control, with flue gas condensation, with electricity and heat recovery, with carbon capture and storage, economic allocation</t>
        </is>
      </c>
    </row>
    <row r="711">
      <c r="A711" t="inlineStr">
        <is>
          <t>location</t>
        </is>
      </c>
      <c r="B711" t="inlineStr">
        <is>
          <t>RER</t>
        </is>
      </c>
    </row>
    <row r="712">
      <c r="A712" t="inlineStr">
        <is>
          <t>production amount</t>
        </is>
      </c>
      <c r="B712" t="n">
        <v>1</v>
      </c>
    </row>
    <row r="713">
      <c r="A713" s="2" t="inlineStr">
        <is>
          <t>source</t>
        </is>
      </c>
      <c r="B713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14">
      <c r="A714" t="inlineStr">
        <is>
          <t>reference product</t>
        </is>
      </c>
      <c r="B714" t="inlineStr">
        <is>
          <t>municipal solid waste</t>
        </is>
      </c>
    </row>
    <row r="715">
      <c r="A715" t="inlineStr">
        <is>
          <t>type</t>
        </is>
      </c>
      <c r="B715" t="inlineStr">
        <is>
          <t>process</t>
        </is>
      </c>
    </row>
    <row r="716">
      <c r="A716" t="inlineStr">
        <is>
          <t>unit</t>
        </is>
      </c>
      <c r="B716" t="inlineStr">
        <is>
          <t>kilogram</t>
        </is>
      </c>
    </row>
    <row r="717">
      <c r="A717" t="inlineStr">
        <is>
          <t>comment</t>
        </is>
      </c>
      <c r="B717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718">
      <c r="A718" s="1" t="inlineStr">
        <is>
          <t>Exchanges</t>
        </is>
      </c>
    </row>
    <row r="719">
      <c r="A719" s="7" t="inlineStr">
        <is>
          <t>name</t>
        </is>
      </c>
      <c r="B719" s="7" t="inlineStr">
        <is>
          <t>amount</t>
        </is>
      </c>
      <c r="C719" s="7" t="inlineStr">
        <is>
          <t>location</t>
        </is>
      </c>
      <c r="D719" s="7" t="inlineStr">
        <is>
          <t>unit</t>
        </is>
      </c>
      <c r="E719" s="7" t="inlineStr">
        <is>
          <t>categories</t>
        </is>
      </c>
      <c r="F719" s="7" t="inlineStr">
        <is>
          <t>type</t>
        </is>
      </c>
      <c r="G719" s="7" t="inlineStr">
        <is>
          <t>reference product</t>
        </is>
      </c>
      <c r="H719" s="7" t="inlineStr">
        <is>
          <t>comment</t>
        </is>
      </c>
      <c r="I719" s="7" t="inlineStr">
        <is>
          <t>normalization</t>
        </is>
      </c>
      <c r="J719" s="7" t="inlineStr">
        <is>
          <t>allocation</t>
        </is>
      </c>
      <c r="K719" s="7" t="inlineStr">
        <is>
          <t>uncertainty type</t>
        </is>
      </c>
      <c r="L719" s="7" t="inlineStr">
        <is>
          <t>loc</t>
        </is>
      </c>
      <c r="M719" s="1" t="inlineStr">
        <is>
          <t>u1</t>
        </is>
      </c>
      <c r="N719" s="1" t="inlineStr">
        <is>
          <t>u2</t>
        </is>
      </c>
      <c r="O719" s="1" t="inlineStr">
        <is>
          <t>u3</t>
        </is>
      </c>
      <c r="P719" s="1" t="inlineStr">
        <is>
          <t>u4</t>
        </is>
      </c>
      <c r="Q719" s="1" t="inlineStr">
        <is>
          <t>u5</t>
        </is>
      </c>
      <c r="R719" s="1" t="inlineStr">
        <is>
          <t>u6</t>
        </is>
      </c>
      <c r="S719" s="1" t="inlineStr">
        <is>
          <t>ub</t>
        </is>
      </c>
      <c r="T719" s="1" t="inlineStr">
        <is>
          <t>scale</t>
        </is>
      </c>
      <c r="U719" s="1" t="inlineStr">
        <is>
          <t>negative</t>
        </is>
      </c>
    </row>
    <row r="720">
      <c r="A720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B720" t="n">
        <v>1</v>
      </c>
      <c r="C720" t="inlineStr">
        <is>
          <t>RER</t>
        </is>
      </c>
      <c r="D720" t="inlineStr">
        <is>
          <t>kilogram</t>
        </is>
      </c>
      <c r="F720" t="inlineStr">
        <is>
          <t>production</t>
        </is>
      </c>
      <c r="G720" t="inlineStr">
        <is>
          <t>municipal solid waste</t>
        </is>
      </c>
      <c r="H720" t="inlineStr"/>
      <c r="I720" t="n">
        <v>1000</v>
      </c>
      <c r="J720" s="14">
        <f>INDEX('allocation keys'!$L$4:$N$30,MATCH('allocated (economic)'!$B$710,'allocation keys'!$B$4:$B$28,0),MATCH('allocated (economic)'!$B$714,'allocation keys'!$L$3:$N$3,0))</f>
        <v>0.52959767660374135</v>
      </c>
      <c r="K720" t="n">
        <v>0</v>
      </c>
      <c r="M720" s="5" t="n"/>
      <c r="N720" s="5" t="n"/>
      <c r="O720" s="5" t="n"/>
      <c r="P720" s="5" t="n"/>
      <c r="Q720" s="5" t="n"/>
      <c r="R720" s="5" t="n"/>
    </row>
    <row r="721">
      <c r="A721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B721" s="6" t="n">
        <v>0</v>
      </c>
      <c r="C721" t="inlineStr">
        <is>
          <t>RER</t>
        </is>
      </c>
      <c r="D721" t="inlineStr">
        <is>
          <t>kilowatt hour</t>
        </is>
      </c>
      <c r="F721" t="inlineStr">
        <is>
          <t>technosphere</t>
        </is>
      </c>
      <c r="G721" t="inlineStr">
        <is>
          <t>electricity, medium voltage</t>
        </is>
      </c>
      <c r="H721" t="inlineStr"/>
      <c r="I721" t="n">
        <v>1000</v>
      </c>
      <c r="J721" s="11">
        <f>J720</f>
        <v>0.52959767660374135</v>
      </c>
      <c r="K721" t="n">
        <v>0</v>
      </c>
      <c r="L721" s="3" t="n"/>
    </row>
    <row r="722">
      <c r="A722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B722" t="n">
        <v>0</v>
      </c>
      <c r="C722" t="inlineStr">
        <is>
          <t>RER</t>
        </is>
      </c>
      <c r="D722" t="inlineStr">
        <is>
          <t>megajoule</t>
        </is>
      </c>
      <c r="F722" t="inlineStr">
        <is>
          <t>technosphere</t>
        </is>
      </c>
      <c r="G722" t="inlineStr">
        <is>
          <t>heat, district or industrial, other than natural gas</t>
        </is>
      </c>
      <c r="H722" t="inlineStr"/>
      <c r="I722" t="n">
        <v>1000</v>
      </c>
      <c r="J722" s="11">
        <f>J720</f>
        <v>0.52959767660374135</v>
      </c>
      <c r="K722" t="n">
        <v>0</v>
      </c>
      <c r="L722" s="3" t="n"/>
    </row>
    <row r="723">
      <c r="A723" t="inlineStr">
        <is>
          <t>market for diesel, low-sulfur</t>
        </is>
      </c>
      <c r="B723">
        <f>unallocated!B279/I723*J723</f>
        <v>4.5015802511318021E-5</v>
      </c>
      <c r="C723" t="inlineStr">
        <is>
          <t>Europe without Switzerland</t>
        </is>
      </c>
      <c r="D723" t="inlineStr">
        <is>
          <t>kilogram</t>
        </is>
      </c>
      <c r="F723" t="inlineStr">
        <is>
          <t>technosphere</t>
        </is>
      </c>
      <c r="G723" t="inlineStr">
        <is>
          <t>diesel, low-sulfur</t>
        </is>
      </c>
      <c r="H723" t="inlineStr">
        <is>
          <t>Diesel density: 0.85 kg/l</t>
        </is>
      </c>
      <c r="I723" t="n">
        <v>1000</v>
      </c>
      <c r="J723" s="11">
        <f>J720</f>
        <v>0.52959767660374135</v>
      </c>
      <c r="K723" t="n">
        <v>2</v>
      </c>
      <c r="L723" s="3">
        <f>LN(B723)</f>
        <v>-10.008496962920447</v>
      </c>
      <c r="M723" t="n">
        <v>1</v>
      </c>
      <c r="N723" t="n">
        <v>1</v>
      </c>
      <c r="O723" t="n">
        <v>1</v>
      </c>
      <c r="P723" t="n">
        <v>1.02</v>
      </c>
      <c r="Q723" t="n">
        <v>1.2</v>
      </c>
      <c r="R723" t="n">
        <v>1</v>
      </c>
      <c r="S723" t="n">
        <v>1.05</v>
      </c>
      <c r="T723">
        <f>LN(SQRT(EXP(
SQRT(
+POWER(LN(M723),2)
+POWER(LN(N723),2)
+POWER(LN(O723),2)
+POWER(LN(P723),2)
+POWER(LN(Q723),2)
+POWER(LN(R723),2)
+POWER(LN(S723),2)
)
)))</f>
        <v>9.4886477223156879E-2</v>
      </c>
    </row>
    <row r="724">
      <c r="A724" t="inlineStr">
        <is>
          <t>market for activated carbon, granular</t>
        </is>
      </c>
      <c r="B724">
        <f>unallocated!B280/I724*J724</f>
        <v>2.1183907064149655E-4</v>
      </c>
      <c r="C724" t="inlineStr">
        <is>
          <t>GLO</t>
        </is>
      </c>
      <c r="D724" t="inlineStr">
        <is>
          <t>kilogram</t>
        </is>
      </c>
      <c r="F724" t="inlineStr">
        <is>
          <t>technosphere</t>
        </is>
      </c>
      <c r="G724" t="inlineStr">
        <is>
          <t>activated carbon, granular</t>
        </is>
      </c>
      <c r="I724" t="n">
        <v>1000</v>
      </c>
      <c r="J724" s="11">
        <f>J720</f>
        <v>0.52959767660374135</v>
      </c>
      <c r="K724" t="n">
        <v>2</v>
      </c>
      <c r="L724" s="3">
        <f>LN(B724)</f>
        <v>-8.4596836723027824</v>
      </c>
      <c r="M724" t="n">
        <v>1</v>
      </c>
      <c r="N724" t="n">
        <v>1</v>
      </c>
      <c r="O724" t="n">
        <v>1</v>
      </c>
      <c r="P724" t="n">
        <v>1.02</v>
      </c>
      <c r="Q724" t="n">
        <v>1.2</v>
      </c>
      <c r="R724" t="n">
        <v>1</v>
      </c>
      <c r="S724" t="n">
        <v>1.05</v>
      </c>
      <c r="T724">
        <f>LN(SQRT(EXP(
SQRT(
+POWER(LN(M724),2)
+POWER(LN(N724),2)
+POWER(LN(O724),2)
+POWER(LN(P724),2)
+POWER(LN(Q724),2)
+POWER(LN(R724),2)
+POWER(LN(S724),2)
)
)))</f>
        <v>9.4886477223156879E-2</v>
      </c>
    </row>
    <row r="725">
      <c r="A725" t="inlineStr">
        <is>
          <t>market for ammonia, anhydrous, liquid</t>
        </is>
      </c>
      <c r="B725">
        <f>unallocated!B281/I725*J725</f>
        <v>5.1900572307166646E-4</v>
      </c>
      <c r="C725" t="inlineStr">
        <is>
          <t>RER</t>
        </is>
      </c>
      <c r="D725" t="inlineStr">
        <is>
          <t>kilogram</t>
        </is>
      </c>
      <c r="F725" t="inlineStr">
        <is>
          <t>technosphere</t>
        </is>
      </c>
      <c r="G725" t="inlineStr">
        <is>
          <t>ammonia, anhydrous, liquid</t>
        </is>
      </c>
      <c r="H725" t="inlineStr">
        <is>
          <t>100% liquid ammonia. In original publication, it is dilluated to 23.5% in water. We discount the original value by 75%.</t>
        </is>
      </c>
      <c r="I725" t="n">
        <v>1000</v>
      </c>
      <c r="J725" s="11">
        <f>J720</f>
        <v>0.52959767660374135</v>
      </c>
      <c r="K725" t="n">
        <v>2</v>
      </c>
      <c r="L725" s="3">
        <f>LN(B725)</f>
        <v>-7.5635956477461459</v>
      </c>
      <c r="M725" t="n">
        <v>1</v>
      </c>
      <c r="N725" t="n">
        <v>1</v>
      </c>
      <c r="O725" t="n">
        <v>1</v>
      </c>
      <c r="P725" t="n">
        <v>1.02</v>
      </c>
      <c r="Q725" t="n">
        <v>1.2</v>
      </c>
      <c r="R725" t="n">
        <v>1</v>
      </c>
      <c r="S725" t="n">
        <v>1.05</v>
      </c>
      <c r="T725">
        <f>LN(SQRT(EXP(
SQRT(
+POWER(LN(M725),2)
+POWER(LN(N725),2)
+POWER(LN(O725),2)
+POWER(LN(P725),2)
+POWER(LN(Q725),2)
+POWER(LN(R725),2)
+POWER(LN(S725),2)
)
)))</f>
        <v>9.4886477223156879E-2</v>
      </c>
    </row>
    <row r="726">
      <c r="A726" t="inlineStr">
        <is>
          <t>market for tap water</t>
        </is>
      </c>
      <c r="B726">
        <f>unallocated!B282/I726*J726</f>
        <v>1.5993849833432989E-3</v>
      </c>
      <c r="C726" t="inlineStr">
        <is>
          <t>Europe without Switzerland</t>
        </is>
      </c>
      <c r="D726" t="inlineStr">
        <is>
          <t>kilogram</t>
        </is>
      </c>
      <c r="F726" t="inlineStr">
        <is>
          <t>technosphere</t>
        </is>
      </c>
      <c r="G726" t="inlineStr">
        <is>
          <t>tap water</t>
        </is>
      </c>
      <c r="H726" t="inlineStr">
        <is>
          <t>Used to dilute the ammonia.</t>
        </is>
      </c>
      <c r="I726" t="n">
        <v>1000</v>
      </c>
      <c r="J726" s="11">
        <f>J720</f>
        <v>0.52959767660374135</v>
      </c>
      <c r="K726" t="n">
        <v>2</v>
      </c>
      <c r="L726" s="3">
        <f>LN(B726)</f>
        <v>-6.4381361090418485</v>
      </c>
      <c r="M726" t="n">
        <v>1</v>
      </c>
      <c r="N726" t="n">
        <v>1</v>
      </c>
      <c r="O726" t="n">
        <v>1</v>
      </c>
      <c r="P726" t="n">
        <v>1.02</v>
      </c>
      <c r="Q726" t="n">
        <v>1.2</v>
      </c>
      <c r="R726" t="n">
        <v>1</v>
      </c>
      <c r="S726" t="n">
        <v>1.05</v>
      </c>
      <c r="T726">
        <f>LN(SQRT(EXP(
SQRT(
+POWER(LN(M726),2)
+POWER(LN(N726),2)
+POWER(LN(O726),2)
+POWER(LN(P726),2)
+POWER(LN(Q726),2)
+POWER(LN(R726),2)
+POWER(LN(S726),2)
)
)))</f>
        <v>9.4886477223156879E-2</v>
      </c>
    </row>
    <row r="727">
      <c r="A727" t="inlineStr">
        <is>
          <t>market for calcium carbonate, precipitated</t>
        </is>
      </c>
      <c r="B727">
        <f>unallocated!B283/I727*J727</f>
        <v>3.7071837362261896E-3</v>
      </c>
      <c r="C727" t="inlineStr">
        <is>
          <t>RER</t>
        </is>
      </c>
      <c r="D727" t="inlineStr">
        <is>
          <t>kilogram</t>
        </is>
      </c>
      <c r="F727" t="inlineStr">
        <is>
          <t>technosphere</t>
        </is>
      </c>
      <c r="G727" t="inlineStr">
        <is>
          <t>calcium carbonate, precipitated</t>
        </is>
      </c>
      <c r="I727" t="n">
        <v>1000</v>
      </c>
      <c r="J727" s="11">
        <f>J720</f>
        <v>0.52959767660374135</v>
      </c>
      <c r="K727" t="n">
        <v>0</v>
      </c>
      <c r="L727" s="3" t="n"/>
    </row>
    <row r="728">
      <c r="A728" t="inlineStr">
        <is>
          <t>market for iron(III) chloride, without water, in 40% solution state</t>
        </is>
      </c>
      <c r="B728">
        <f>unallocated!B284/I728*J728</f>
        <v>2.6479883830187068E-5</v>
      </c>
      <c r="C728" t="inlineStr">
        <is>
          <t>GLO</t>
        </is>
      </c>
      <c r="D728" t="inlineStr">
        <is>
          <t>kilogram</t>
        </is>
      </c>
      <c r="F728" t="inlineStr">
        <is>
          <t>technosphere</t>
        </is>
      </c>
      <c r="G728" t="inlineStr">
        <is>
          <t>iron(III) chloride, without water, in 40% solution state</t>
        </is>
      </c>
      <c r="I728" t="n">
        <v>1000</v>
      </c>
      <c r="J728" s="11">
        <f>J720</f>
        <v>0.52959767660374135</v>
      </c>
      <c r="K728" t="n">
        <v>0</v>
      </c>
      <c r="L728" s="3" t="n"/>
    </row>
    <row r="729">
      <c r="A729" t="inlineStr">
        <is>
          <t>market for lime, hydrated, packed</t>
        </is>
      </c>
      <c r="B729">
        <f>unallocated!B285/I729*J729</f>
        <v>0</v>
      </c>
      <c r="C729" t="inlineStr">
        <is>
          <t>RER</t>
        </is>
      </c>
      <c r="D729" t="inlineStr">
        <is>
          <t>kilogram</t>
        </is>
      </c>
      <c r="F729" t="inlineStr">
        <is>
          <t>technosphere</t>
        </is>
      </c>
      <c r="G729" t="inlineStr">
        <is>
          <t>lime, hydrated, packed</t>
        </is>
      </c>
      <c r="I729" t="n">
        <v>1000</v>
      </c>
      <c r="J729" s="11">
        <f>J720</f>
        <v>0.52959767660374135</v>
      </c>
      <c r="K729" t="n">
        <v>0</v>
      </c>
      <c r="L729" s="3" t="n"/>
    </row>
    <row r="730">
      <c r="A730" t="inlineStr">
        <is>
          <t>market for sodium hydroxide, without water, in 50% solution state</t>
        </is>
      </c>
      <c r="B730">
        <f>unallocated!B286/I730*J730</f>
        <v>2.6479883830187069E-4</v>
      </c>
      <c r="C730" t="inlineStr">
        <is>
          <t>RER</t>
        </is>
      </c>
      <c r="D730" t="inlineStr">
        <is>
          <t>kilogram</t>
        </is>
      </c>
      <c r="F730" t="inlineStr">
        <is>
          <t>technosphere</t>
        </is>
      </c>
      <c r="G730" t="inlineStr">
        <is>
          <t>sodium hydroxide, without water, in 50% solution state</t>
        </is>
      </c>
      <c r="H730" t="inlineStr">
        <is>
          <t>50% liquid ammonia. In original publication, it is dilluated to 27% in water. We discount the original value by 50%.</t>
        </is>
      </c>
      <c r="I730" t="n">
        <v>1000</v>
      </c>
      <c r="J730" s="11">
        <f>J720</f>
        <v>0.52959767660374135</v>
      </c>
      <c r="K730" t="n">
        <v>0</v>
      </c>
      <c r="L730" s="3" t="n"/>
    </row>
    <row r="731">
      <c r="A731" t="inlineStr">
        <is>
          <t>market for monoethanolamine</t>
        </is>
      </c>
      <c r="B731">
        <f>unallocated!B287/I731*J731</f>
        <v>2.1183907064149655E-3</v>
      </c>
      <c r="C731" t="inlineStr">
        <is>
          <t>GLO</t>
        </is>
      </c>
      <c r="D731" t="inlineStr">
        <is>
          <t>kilogram</t>
        </is>
      </c>
      <c r="F731" t="inlineStr">
        <is>
          <t>technosphere</t>
        </is>
      </c>
      <c r="G731" t="inlineStr">
        <is>
          <t>monoethanolamine</t>
        </is>
      </c>
      <c r="I731" t="n">
        <v>1000</v>
      </c>
      <c r="J731" s="11">
        <f>J720</f>
        <v>0.52959767660374135</v>
      </c>
      <c r="K731" t="n">
        <v>0</v>
      </c>
      <c r="L731" s="3" t="n"/>
    </row>
    <row r="732">
      <c r="A732" t="inlineStr">
        <is>
          <t>municipal waste incineration facility construction</t>
        </is>
      </c>
      <c r="B732">
        <f>unallocated!B288/I732*J732</f>
        <v>1.3239941915093532E-10</v>
      </c>
      <c r="C732" t="inlineStr">
        <is>
          <t>CH</t>
        </is>
      </c>
      <c r="D732" t="inlineStr">
        <is>
          <t>unit</t>
        </is>
      </c>
      <c r="F732" t="inlineStr">
        <is>
          <t>technosphere</t>
        </is>
      </c>
      <c r="G732" t="inlineStr">
        <is>
          <t>municipal waste incineration facility</t>
        </is>
      </c>
      <c r="H732" t="inlineStr">
        <is>
          <t>Lifetime: 4'000'000 tons MSWI treated.</t>
        </is>
      </c>
      <c r="I732" t="n">
        <v>1000</v>
      </c>
      <c r="J732" s="11">
        <f>J720</f>
        <v>0.52959767660374135</v>
      </c>
      <c r="K732" t="n">
        <v>2</v>
      </c>
      <c r="L732" s="3">
        <f>LN(B732)</f>
        <v>-22.745197859512793</v>
      </c>
      <c r="M732" t="n">
        <v>1</v>
      </c>
      <c r="N732" t="n">
        <v>1</v>
      </c>
      <c r="O732" t="n">
        <v>1</v>
      </c>
      <c r="P732" t="n">
        <v>1.02</v>
      </c>
      <c r="Q732" t="n">
        <v>1.2</v>
      </c>
      <c r="R732" t="n">
        <v>1</v>
      </c>
      <c r="S732" t="n">
        <v>3</v>
      </c>
      <c r="T732">
        <f>LN(SQRT(EXP(
SQRT(
+POWER(LN(M732),2)
+POWER(LN(N732),2)
+POWER(LN(O732),2)
+POWER(LN(P732),2)
+POWER(LN(Q732),2)
+POWER(LN(R732),2)
+POWER(LN(S732),2)
)
)))</f>
        <v>0.5569071410325479</v>
      </c>
    </row>
    <row r="733">
      <c r="A733" t="inlineStr">
        <is>
          <t>carbon dioxide storage at wood burning power plant 20 MW post, pipeline 200km, storage 1000m</t>
        </is>
      </c>
      <c r="B733">
        <f>unallocated!B289/I733*J733</f>
        <v>0.43585888784487908</v>
      </c>
      <c r="C733" t="inlineStr">
        <is>
          <t>RER</t>
        </is>
      </c>
      <c r="D733" t="inlineStr">
        <is>
          <t>kilogram</t>
        </is>
      </c>
      <c r="F733" t="inlineStr">
        <is>
          <t>technosphere</t>
        </is>
      </c>
      <c r="G733" t="inlineStr">
        <is>
          <t>carbon dioxide storage at wood burning power plant 20 MW post, pipeline 200km, storage 1000m</t>
        </is>
      </c>
      <c r="I733" t="n">
        <v>1000</v>
      </c>
      <c r="J733" s="11">
        <f>J720</f>
        <v>0.52959767660374135</v>
      </c>
      <c r="K733" t="n">
        <v>2</v>
      </c>
      <c r="L733" s="3">
        <f>LN(B733)</f>
        <v>-0.83043673975155685</v>
      </c>
      <c r="M733" t="n">
        <v>1</v>
      </c>
      <c r="N733" t="n">
        <v>1</v>
      </c>
      <c r="O733" t="n">
        <v>1</v>
      </c>
      <c r="P733" t="n">
        <v>1.02</v>
      </c>
      <c r="Q733" t="n">
        <v>1.2</v>
      </c>
      <c r="R733" t="n">
        <v>1</v>
      </c>
      <c r="S733" t="n">
        <v>3</v>
      </c>
      <c r="T733">
        <f>LN(SQRT(EXP(
SQRT(
+POWER(LN(M733),2)
+POWER(LN(N733),2)
+POWER(LN(O733),2)
+POWER(LN(P733),2)
+POWER(LN(Q733),2)
+POWER(LN(R733),2)
+POWER(LN(S733),2)
)
)))</f>
        <v>0.5569071410325479</v>
      </c>
    </row>
    <row r="734">
      <c r="A734" t="inlineStr">
        <is>
          <t>Water, cooling, unspecified natural origin</t>
        </is>
      </c>
      <c r="B734">
        <f>unallocated!B290/I734*J734</f>
        <v>0</v>
      </c>
      <c r="D734" t="inlineStr">
        <is>
          <t>cubic meter</t>
        </is>
      </c>
      <c r="E734" t="inlineStr">
        <is>
          <t>natural resource::in water</t>
        </is>
      </c>
      <c r="F734" t="inlineStr">
        <is>
          <t>biosphere</t>
        </is>
      </c>
      <c r="I734" t="n">
        <v>1000</v>
      </c>
      <c r="J734" s="11">
        <f>J720</f>
        <v>0.52959767660374135</v>
      </c>
      <c r="K734" t="n">
        <v>0</v>
      </c>
      <c r="L734" s="3" t="n"/>
    </row>
    <row r="735">
      <c r="A735" t="inlineStr">
        <is>
          <t>Sulfur dioxide</t>
        </is>
      </c>
      <c r="B735">
        <f>unallocated!B291/I735*J735</f>
        <v>3.1775860596224483E-6</v>
      </c>
      <c r="D735" t="inlineStr">
        <is>
          <t>kilogram</t>
        </is>
      </c>
      <c r="E735" t="inlineStr">
        <is>
          <t>air::urban air close to ground</t>
        </is>
      </c>
      <c r="F735" t="inlineStr">
        <is>
          <t>biosphere</t>
        </is>
      </c>
      <c r="I735" t="n">
        <v>1000</v>
      </c>
      <c r="J735" s="11">
        <f>J720</f>
        <v>0.52959767660374135</v>
      </c>
      <c r="K735" t="n">
        <v>2</v>
      </c>
      <c r="L735" s="3">
        <f>LN(B735)</f>
        <v>-12.659388750182709</v>
      </c>
      <c r="M735" t="n">
        <v>1</v>
      </c>
      <c r="N735" t="n">
        <v>1</v>
      </c>
      <c r="O735" t="n">
        <v>1</v>
      </c>
      <c r="P735" t="n">
        <v>1.02</v>
      </c>
      <c r="Q735" t="n">
        <v>1.2</v>
      </c>
      <c r="R735" t="n">
        <v>1</v>
      </c>
      <c r="S735" t="n">
        <v>1.05</v>
      </c>
      <c r="T735">
        <f>LN(SQRT(EXP(
SQRT(
+POWER(LN(M735),2)
+POWER(LN(N735),2)
+POWER(LN(O735),2)
+POWER(LN(P735),2)
+POWER(LN(Q735),2)
+POWER(LN(R735),2)
+POWER(LN(S735),2)
)
)))</f>
        <v>9.4886477223156879E-2</v>
      </c>
    </row>
    <row r="736">
      <c r="A736" t="inlineStr">
        <is>
          <t>Hydrochloric acid</t>
        </is>
      </c>
      <c r="B736">
        <f>unallocated!B292/I736*J736</f>
        <v>1.5887930298112242E-6</v>
      </c>
      <c r="D736" t="inlineStr">
        <is>
          <t>kilogram</t>
        </is>
      </c>
      <c r="E736" t="inlineStr">
        <is>
          <t>air</t>
        </is>
      </c>
      <c r="F736" t="inlineStr">
        <is>
          <t>biosphere</t>
        </is>
      </c>
      <c r="I736" t="n">
        <v>1000</v>
      </c>
      <c r="J736" s="11">
        <f>J720</f>
        <v>0.52959767660374135</v>
      </c>
      <c r="K736" t="n">
        <v>2</v>
      </c>
      <c r="L736" s="3">
        <f>LN(B736)</f>
        <v>-13.352535930742654</v>
      </c>
      <c r="M736" t="n">
        <v>1</v>
      </c>
      <c r="N736" t="n">
        <v>1</v>
      </c>
      <c r="O736" t="n">
        <v>1</v>
      </c>
      <c r="P736" t="n">
        <v>1.02</v>
      </c>
      <c r="Q736" t="n">
        <v>1.2</v>
      </c>
      <c r="R736" t="n">
        <v>1</v>
      </c>
      <c r="S736" t="n">
        <v>1.5</v>
      </c>
      <c r="T736">
        <f>LN(SQRT(EXP(
SQRT(
+POWER(LN(M736),2)
+POWER(LN(N736),2)
+POWER(LN(O736),2)
+POWER(LN(P736),2)
+POWER(LN(Q736),2)
+POWER(LN(R736),2)
+POWER(LN(S736),2)
)
)))</f>
        <v>0.22250575723605889</v>
      </c>
    </row>
    <row r="737">
      <c r="A737" t="inlineStr">
        <is>
          <t>Nitrogen oxides</t>
        </is>
      </c>
      <c r="B737">
        <f>unallocated!B293/I737*J737</f>
        <v>3.5853762706073295E-4</v>
      </c>
      <c r="D737" t="inlineStr">
        <is>
          <t>kilogram</t>
        </is>
      </c>
      <c r="E737" t="inlineStr">
        <is>
          <t>air::urban air close to ground</t>
        </is>
      </c>
      <c r="F737" t="inlineStr">
        <is>
          <t>biosphere</t>
        </is>
      </c>
      <c r="I737" t="n">
        <v>1000</v>
      </c>
      <c r="J737" s="11">
        <f>J720</f>
        <v>0.52959767660374135</v>
      </c>
      <c r="K737" t="n">
        <v>2</v>
      </c>
      <c r="L737" s="3">
        <f>LN(B737)</f>
        <v>-7.9334769464984882</v>
      </c>
      <c r="M737" t="n">
        <v>1</v>
      </c>
      <c r="N737" t="n">
        <v>1</v>
      </c>
      <c r="O737" t="n">
        <v>1</v>
      </c>
      <c r="P737" t="n">
        <v>1.02</v>
      </c>
      <c r="Q737" t="n">
        <v>1.2</v>
      </c>
      <c r="R737" t="n">
        <v>1</v>
      </c>
      <c r="S737" t="n">
        <v>1.5</v>
      </c>
      <c r="T737">
        <f>LN(SQRT(EXP(
SQRT(
+POWER(LN(M737),2)
+POWER(LN(N737),2)
+POWER(LN(O737),2)
+POWER(LN(P737),2)
+POWER(LN(Q737),2)
+POWER(LN(R737),2)
+POWER(LN(S737),2)
)
)))</f>
        <v>0.22250575723605889</v>
      </c>
    </row>
    <row r="738">
      <c r="A738" t="inlineStr">
        <is>
          <t>Ammonia</t>
        </is>
      </c>
      <c r="B738">
        <f>unallocated!B294/I738*J738</f>
        <v>1.0591953532074828E-5</v>
      </c>
      <c r="D738" t="inlineStr">
        <is>
          <t>kilogram</t>
        </is>
      </c>
      <c r="E738" t="inlineStr">
        <is>
          <t>air::urban air close to ground</t>
        </is>
      </c>
      <c r="F738" t="inlineStr">
        <is>
          <t>biosphere</t>
        </is>
      </c>
      <c r="I738" t="n">
        <v>1000</v>
      </c>
      <c r="J738" s="11">
        <f>J720</f>
        <v>0.52959767660374135</v>
      </c>
      <c r="K738" t="n">
        <v>2</v>
      </c>
      <c r="L738" s="3">
        <f>LN(B738)</f>
        <v>-11.455415945856773</v>
      </c>
      <c r="M738" t="n">
        <v>1</v>
      </c>
      <c r="N738" t="n">
        <v>1</v>
      </c>
      <c r="O738" t="n">
        <v>1</v>
      </c>
      <c r="P738" t="n">
        <v>1.02</v>
      </c>
      <c r="Q738" t="n">
        <v>1.2</v>
      </c>
      <c r="R738" t="n">
        <v>1</v>
      </c>
      <c r="S738" t="n">
        <v>1.5</v>
      </c>
      <c r="T738">
        <f>LN(SQRT(EXP(
SQRT(
+POWER(LN(M738),2)
+POWER(LN(N738),2)
+POWER(LN(O738),2)
+POWER(LN(P738),2)
+POWER(LN(Q738),2)
+POWER(LN(R738),2)
+POWER(LN(S738),2)
)
)))</f>
        <v>0.22250575723605889</v>
      </c>
    </row>
    <row r="739">
      <c r="A739" t="inlineStr">
        <is>
          <t>Particulate Matter, &lt; 2.5 um</t>
        </is>
      </c>
      <c r="B739">
        <f>unallocated!B295/I739*J739</f>
        <v>3.1775860596224483E-6</v>
      </c>
      <c r="D739" t="inlineStr">
        <is>
          <t>kilogram</t>
        </is>
      </c>
      <c r="E739" t="inlineStr">
        <is>
          <t>air::urban air close to ground</t>
        </is>
      </c>
      <c r="F739" t="inlineStr">
        <is>
          <t>biosphere</t>
        </is>
      </c>
      <c r="I739" t="n">
        <v>1000</v>
      </c>
      <c r="J739" s="11">
        <f>J720</f>
        <v>0.52959767660374135</v>
      </c>
      <c r="K739" t="n">
        <v>2</v>
      </c>
      <c r="L739" s="3">
        <f>LN(B739)</f>
        <v>-12.659388750182709</v>
      </c>
      <c r="M739" t="n">
        <v>1</v>
      </c>
      <c r="N739" t="n">
        <v>1</v>
      </c>
      <c r="O739" t="n">
        <v>1</v>
      </c>
      <c r="P739" t="n">
        <v>1.02</v>
      </c>
      <c r="Q739" t="n">
        <v>1.2</v>
      </c>
      <c r="R739" t="n">
        <v>1</v>
      </c>
      <c r="S739" t="n">
        <v>3</v>
      </c>
      <c r="T739">
        <f>LN(SQRT(EXP(
SQRT(
+POWER(LN(M739),2)
+POWER(LN(N739),2)
+POWER(LN(O739),2)
+POWER(LN(P739),2)
+POWER(LN(Q739),2)
+POWER(LN(R739),2)
+POWER(LN(S739),2)
)
)))</f>
        <v>0.5569071410325479</v>
      </c>
    </row>
    <row r="740">
      <c r="A740" t="inlineStr">
        <is>
          <t>Mercury II</t>
        </is>
      </c>
      <c r="B740">
        <f>unallocated!B296/I740*J740</f>
        <v>3.1775860596224481E-9</v>
      </c>
      <c r="D740" t="inlineStr">
        <is>
          <t>kilogram</t>
        </is>
      </c>
      <c r="E740" t="inlineStr">
        <is>
          <t>air::urban air close to ground</t>
        </is>
      </c>
      <c r="F740" t="inlineStr">
        <is>
          <t>biosphere</t>
        </is>
      </c>
      <c r="I740" t="n">
        <v>1000</v>
      </c>
      <c r="J740" s="11">
        <f>J720</f>
        <v>0.52959767660374135</v>
      </c>
      <c r="K740" t="n">
        <v>2</v>
      </c>
      <c r="L740" s="3">
        <f>LN(B740)</f>
        <v>-19.567144029164847</v>
      </c>
      <c r="M740" t="n">
        <v>1</v>
      </c>
      <c r="N740" t="n">
        <v>1</v>
      </c>
      <c r="O740" t="n">
        <v>1</v>
      </c>
      <c r="P740" t="n">
        <v>1.02</v>
      </c>
      <c r="Q740" t="n">
        <v>1.2</v>
      </c>
      <c r="R740" t="n">
        <v>1</v>
      </c>
      <c r="S740" t="n">
        <v>5</v>
      </c>
      <c r="T740">
        <f>LN(SQRT(EXP(
SQRT(
+POWER(LN(M740),2)
+POWER(LN(N740),2)
+POWER(LN(O740),2)
+POWER(LN(P740),2)
+POWER(LN(Q740),2)
+POWER(LN(R740),2)
+POWER(LN(S740),2)
)
)))</f>
        <v>0.80992649174166365</v>
      </c>
    </row>
    <row r="741">
      <c r="A741" t="inlineStr">
        <is>
          <t>Lead II</t>
        </is>
      </c>
      <c r="B741">
        <f>unallocated!B297/I741*J741</f>
        <v>3.1775860596224481E-9</v>
      </c>
      <c r="D741" t="inlineStr">
        <is>
          <t>kilogram</t>
        </is>
      </c>
      <c r="E741" t="inlineStr">
        <is>
          <t>air::urban air close to ground</t>
        </is>
      </c>
      <c r="F741" t="inlineStr">
        <is>
          <t>biosphere</t>
        </is>
      </c>
      <c r="I741" t="n">
        <v>1000</v>
      </c>
      <c r="J741" s="11">
        <f>J720</f>
        <v>0.52959767660374135</v>
      </c>
      <c r="K741" t="n">
        <v>2</v>
      </c>
      <c r="L741" s="3">
        <f>LN(B741)</f>
        <v>-19.567144029164847</v>
      </c>
      <c r="M741" t="n">
        <v>1</v>
      </c>
      <c r="N741" t="n">
        <v>1</v>
      </c>
      <c r="O741" t="n">
        <v>1</v>
      </c>
      <c r="P741" t="n">
        <v>1.02</v>
      </c>
      <c r="Q741" t="n">
        <v>1.2</v>
      </c>
      <c r="R741" t="n">
        <v>1</v>
      </c>
      <c r="S741" t="n">
        <v>5</v>
      </c>
      <c r="T741">
        <f>LN(SQRT(EXP(
SQRT(
+POWER(LN(M741),2)
+POWER(LN(N741),2)
+POWER(LN(O741),2)
+POWER(LN(P741),2)
+POWER(LN(Q741),2)
+POWER(LN(R741),2)
+POWER(LN(S741),2)
)
)))</f>
        <v>0.80992649174166365</v>
      </c>
    </row>
    <row r="742">
      <c r="A742" t="inlineStr">
        <is>
          <t>Cadmium II</t>
        </is>
      </c>
      <c r="B742">
        <f>unallocated!B298/I742*J742</f>
        <v>1.5887930298112241E-9</v>
      </c>
      <c r="D742" t="inlineStr">
        <is>
          <t>kilogram</t>
        </is>
      </c>
      <c r="E742" t="inlineStr">
        <is>
          <t>air::urban air close to ground</t>
        </is>
      </c>
      <c r="F742" t="inlineStr">
        <is>
          <t>biosphere</t>
        </is>
      </c>
      <c r="I742" t="n">
        <v>1000</v>
      </c>
      <c r="J742" s="11">
        <f>J720</f>
        <v>0.52959767660374135</v>
      </c>
      <c r="K742" t="n">
        <v>2</v>
      </c>
      <c r="L742" s="3">
        <f>LN(B742)</f>
        <v>-20.260291209724791</v>
      </c>
      <c r="M742" t="n">
        <v>1</v>
      </c>
      <c r="N742" t="n">
        <v>1</v>
      </c>
      <c r="O742" t="n">
        <v>1</v>
      </c>
      <c r="P742" t="n">
        <v>1.02</v>
      </c>
      <c r="Q742" t="n">
        <v>1.2</v>
      </c>
      <c r="R742" t="n">
        <v>1</v>
      </c>
      <c r="S742" t="n">
        <v>5</v>
      </c>
      <c r="T742">
        <f>LN(SQRT(EXP(
SQRT(
+POWER(LN(M742),2)
+POWER(LN(N742),2)
+POWER(LN(O742),2)
+POWER(LN(P742),2)
+POWER(LN(Q742),2)
+POWER(LN(R742),2)
+POWER(LN(S742),2)
)
)))</f>
        <v>0.80992649174166365</v>
      </c>
    </row>
    <row r="743">
      <c r="A743" t="inlineStr">
        <is>
          <t>Arsenic ion</t>
        </is>
      </c>
      <c r="B743">
        <f>unallocated!B299/I743*J743</f>
        <v>1.5887930298112241E-9</v>
      </c>
      <c r="D743" t="inlineStr">
        <is>
          <t>kilogram</t>
        </is>
      </c>
      <c r="E743" t="inlineStr">
        <is>
          <t>air::urban air close to ground</t>
        </is>
      </c>
      <c r="F743" t="inlineStr">
        <is>
          <t>biosphere</t>
        </is>
      </c>
      <c r="I743" t="n">
        <v>1000</v>
      </c>
      <c r="J743" s="11">
        <f>J720</f>
        <v>0.52959767660374135</v>
      </c>
      <c r="K743" t="n">
        <v>2</v>
      </c>
      <c r="L743" s="3">
        <f>LN(B743)</f>
        <v>-20.260291209724791</v>
      </c>
      <c r="M743" t="n">
        <v>1</v>
      </c>
      <c r="N743" t="n">
        <v>1</v>
      </c>
      <c r="O743" t="n">
        <v>1</v>
      </c>
      <c r="P743" t="n">
        <v>1.02</v>
      </c>
      <c r="Q743" t="n">
        <v>1.2</v>
      </c>
      <c r="R743" t="n">
        <v>1</v>
      </c>
      <c r="S743" t="n">
        <v>5</v>
      </c>
      <c r="T743">
        <f>LN(SQRT(EXP(
SQRT(
+POWER(LN(M743),2)
+POWER(LN(N743),2)
+POWER(LN(O743),2)
+POWER(LN(P743),2)
+POWER(LN(Q743),2)
+POWER(LN(R743),2)
+POWER(LN(S743),2)
)
)))</f>
        <v>0.80992649174166365</v>
      </c>
    </row>
    <row r="744">
      <c r="A744" t="inlineStr">
        <is>
          <t>Dioxins, measured as 2,3,7,8-tetrachlorodibenzo-p-dioxin</t>
        </is>
      </c>
      <c r="B744">
        <f>unallocated!B300/I744*J744</f>
        <v>5.825574442641156E-14</v>
      </c>
      <c r="D744" t="inlineStr">
        <is>
          <t>kilogram</t>
        </is>
      </c>
      <c r="E744" t="inlineStr">
        <is>
          <t>air::urban air close to ground</t>
        </is>
      </c>
      <c r="F744" t="inlineStr">
        <is>
          <t>biosphere</t>
        </is>
      </c>
      <c r="I744" t="n">
        <v>1000</v>
      </c>
      <c r="J744" s="11">
        <f>J720</f>
        <v>0.52959767660374135</v>
      </c>
      <c r="K744" t="n">
        <v>2</v>
      </c>
      <c r="L744" s="3">
        <f>LN(B744)</f>
        <v>-30.47393369056476</v>
      </c>
      <c r="M744" t="n">
        <v>1</v>
      </c>
      <c r="N744" t="n">
        <v>1</v>
      </c>
      <c r="O744" t="n">
        <v>1</v>
      </c>
      <c r="P744" t="n">
        <v>1.02</v>
      </c>
      <c r="Q744" t="n">
        <v>1.2</v>
      </c>
      <c r="R744" t="n">
        <v>1</v>
      </c>
      <c r="S744" t="n">
        <v>5</v>
      </c>
      <c r="T744">
        <f>LN(SQRT(EXP(
SQRT(
+POWER(LN(M744),2)
+POWER(LN(N744),2)
+POWER(LN(O744),2)
+POWER(LN(P744),2)
+POWER(LN(Q744),2)
+POWER(LN(R744),2)
+POWER(LN(S744),2)
)
)))</f>
        <v>0.80992649174166365</v>
      </c>
    </row>
    <row r="745">
      <c r="A745" t="inlineStr">
        <is>
          <t>Carbon dioxide, fossil</t>
        </is>
      </c>
      <c r="B745">
        <f>unallocated!B301/I745*J745</f>
        <v>2.9657469889809517E-2</v>
      </c>
      <c r="D745" t="inlineStr">
        <is>
          <t>kilogram</t>
        </is>
      </c>
      <c r="E745" t="inlineStr">
        <is>
          <t>air::urban air close to ground</t>
        </is>
      </c>
      <c r="F745" t="inlineStr">
        <is>
          <t>biosphere</t>
        </is>
      </c>
      <c r="I745" t="n">
        <v>1000</v>
      </c>
      <c r="J745" s="11">
        <f>J720</f>
        <v>0.52959767660374135</v>
      </c>
      <c r="K745" t="n">
        <v>2</v>
      </c>
      <c r="L745" s="3">
        <f>LN(B745)</f>
        <v>-3.5180412496934772</v>
      </c>
      <c r="M745" t="n">
        <v>1</v>
      </c>
      <c r="N745" t="n">
        <v>1</v>
      </c>
      <c r="O745" t="n">
        <v>1</v>
      </c>
      <c r="P745" t="n">
        <v>1.02</v>
      </c>
      <c r="Q745" t="n">
        <v>1.2</v>
      </c>
      <c r="R745" t="n">
        <v>1</v>
      </c>
      <c r="S745" t="n">
        <v>1.05</v>
      </c>
      <c r="T745">
        <f>LN(SQRT(EXP(
SQRT(
+POWER(LN(M745),2)
+POWER(LN(N745),2)
+POWER(LN(O745),2)
+POWER(LN(P745),2)
+POWER(LN(Q745),2)
+POWER(LN(R745),2)
+POWER(LN(S745),2)
)
)))</f>
        <v>9.4886477223156879E-2</v>
      </c>
    </row>
    <row r="746">
      <c r="A746" t="inlineStr">
        <is>
          <t>Carbon dioxide, non-fossil</t>
        </is>
      </c>
      <c r="B746">
        <f>unallocated!B302/I746*J746</f>
        <v>4.7134193217732975E-2</v>
      </c>
      <c r="D746" t="inlineStr">
        <is>
          <t>kilogram</t>
        </is>
      </c>
      <c r="E746" t="inlineStr">
        <is>
          <t>air::urban air close to ground</t>
        </is>
      </c>
      <c r="F746" t="inlineStr">
        <is>
          <t>biosphere</t>
        </is>
      </c>
      <c r="I746" t="n">
        <v>1000</v>
      </c>
      <c r="J746" s="14">
        <f>J720</f>
        <v>0.52959767660374135</v>
      </c>
      <c r="K746" t="n">
        <v>2</v>
      </c>
      <c r="L746" s="3">
        <f>LN(B746)</f>
        <v>-3.0547565706964868</v>
      </c>
      <c r="M746" t="n">
        <v>1</v>
      </c>
      <c r="N746" t="n">
        <v>1</v>
      </c>
      <c r="O746" t="n">
        <v>1</v>
      </c>
      <c r="P746" t="n">
        <v>1.02</v>
      </c>
      <c r="Q746" t="n">
        <v>1.2</v>
      </c>
      <c r="R746" t="n">
        <v>1</v>
      </c>
      <c r="S746" t="n">
        <v>1.05</v>
      </c>
      <c r="T746">
        <f>LN(SQRT(EXP(
SQRT(
+POWER(LN(M746),2)
+POWER(LN(N746),2)
+POWER(LN(O746),2)
+POWER(LN(P746),2)
+POWER(LN(Q746),2)
+POWER(LN(R746),2)
+POWER(LN(S746),2)
)
)))</f>
        <v>9.4886477223156879E-2</v>
      </c>
    </row>
    <row r="747">
      <c r="A747" t="inlineStr">
        <is>
          <t>Carbon dioxide, in air</t>
        </is>
      </c>
      <c r="B747">
        <f>unallocated!B303/I747*J747</f>
        <v>0.26744682668488939</v>
      </c>
      <c r="D747" t="inlineStr">
        <is>
          <t>kilogram</t>
        </is>
      </c>
      <c r="E747" t="inlineStr">
        <is>
          <t>natural resource::in air</t>
        </is>
      </c>
      <c r="F747" t="inlineStr">
        <is>
          <t>biosphere</t>
        </is>
      </c>
      <c r="H747" t="inlineStr">
        <is>
          <t>To reflect the permanent storage of non-fossil CO.</t>
        </is>
      </c>
      <c r="I747" t="n">
        <v>1000</v>
      </c>
      <c r="J747" s="14">
        <f>J720</f>
        <v>0.52959767660374135</v>
      </c>
      <c r="K747" t="n">
        <v>2</v>
      </c>
      <c r="L747" s="3">
        <f>LN(B747)</f>
        <v>-1.3188345111532667</v>
      </c>
      <c r="M747" t="n">
        <v>1</v>
      </c>
      <c r="N747" t="n">
        <v>1</v>
      </c>
      <c r="O747" t="n">
        <v>1</v>
      </c>
      <c r="P747" t="n">
        <v>1.02</v>
      </c>
      <c r="Q747" t="n">
        <v>1.2</v>
      </c>
      <c r="R747" t="n">
        <v>1</v>
      </c>
      <c r="S747" t="n">
        <v>1.05</v>
      </c>
      <c r="T747">
        <f>LN(SQRT(EXP(
SQRT(
+POWER(LN(M747),2)
+POWER(LN(N747),2)
+POWER(LN(O747),2)
+POWER(LN(P747),2)
+POWER(LN(Q747),2)
+POWER(LN(R747),2)
+POWER(LN(S747),2)
)
)))</f>
        <v>9.4886477223156879E-2</v>
      </c>
    </row>
    <row r="748"/>
    <row r="749">
      <c r="A749" s="1" t="inlineStr">
        <is>
          <t>Activity</t>
        </is>
      </c>
      <c r="B749" s="1" t="inlineStr">
        <is>
          <t>municipal waste incineration, at incineration plant, with wet air pollution control, with flue gas condensation, with electricity and heat recovery, with carbon capture and storage, economic allocation</t>
        </is>
      </c>
    </row>
    <row r="750">
      <c r="A750" t="inlineStr">
        <is>
          <t>location</t>
        </is>
      </c>
      <c r="B750" t="inlineStr">
        <is>
          <t>RER</t>
        </is>
      </c>
    </row>
    <row r="751">
      <c r="A751" t="inlineStr">
        <is>
          <t>production amount</t>
        </is>
      </c>
      <c r="B751" t="n">
        <v>1</v>
      </c>
    </row>
    <row r="752">
      <c r="A752" s="2" t="inlineStr">
        <is>
          <t>source</t>
        </is>
      </c>
      <c r="B752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53">
      <c r="A753" t="inlineStr">
        <is>
          <t>reference product</t>
        </is>
      </c>
      <c r="B753" t="inlineStr">
        <is>
          <t>electricity, medium voltage</t>
        </is>
      </c>
    </row>
    <row r="754">
      <c r="A754" t="inlineStr">
        <is>
          <t>type</t>
        </is>
      </c>
      <c r="B754" t="inlineStr">
        <is>
          <t>process</t>
        </is>
      </c>
    </row>
    <row r="755">
      <c r="A755" t="inlineStr">
        <is>
          <t>unit</t>
        </is>
      </c>
      <c r="B755" t="inlineStr">
        <is>
          <t>kilowatt hour</t>
        </is>
      </c>
    </row>
    <row r="756">
      <c r="A756" t="inlineStr">
        <is>
          <t>comment</t>
        </is>
      </c>
      <c r="B756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757">
      <c r="A757" s="1" t="inlineStr">
        <is>
          <t>Exchanges</t>
        </is>
      </c>
    </row>
    <row r="758">
      <c r="A758" s="7" t="inlineStr">
        <is>
          <t>name</t>
        </is>
      </c>
      <c r="B758" s="7" t="inlineStr">
        <is>
          <t>amount</t>
        </is>
      </c>
      <c r="C758" s="7" t="inlineStr">
        <is>
          <t>location</t>
        </is>
      </c>
      <c r="D758" s="7" t="inlineStr">
        <is>
          <t>unit</t>
        </is>
      </c>
      <c r="E758" s="7" t="inlineStr">
        <is>
          <t>categories</t>
        </is>
      </c>
      <c r="F758" s="7" t="inlineStr">
        <is>
          <t>type</t>
        </is>
      </c>
      <c r="G758" s="7" t="inlineStr">
        <is>
          <t>reference product</t>
        </is>
      </c>
      <c r="H758" s="7" t="inlineStr">
        <is>
          <t>comment</t>
        </is>
      </c>
      <c r="I758" s="7" t="inlineStr">
        <is>
          <t>normalization</t>
        </is>
      </c>
      <c r="J758" s="7" t="inlineStr">
        <is>
          <t>allocation</t>
        </is>
      </c>
      <c r="K758" s="7" t="inlineStr">
        <is>
          <t>uncertainty type</t>
        </is>
      </c>
      <c r="L758" s="7" t="inlineStr">
        <is>
          <t>loc</t>
        </is>
      </c>
      <c r="M758" s="1" t="inlineStr">
        <is>
          <t>u1</t>
        </is>
      </c>
      <c r="N758" s="1" t="inlineStr">
        <is>
          <t>u2</t>
        </is>
      </c>
      <c r="O758" s="1" t="inlineStr">
        <is>
          <t>u3</t>
        </is>
      </c>
      <c r="P758" s="1" t="inlineStr">
        <is>
          <t>u4</t>
        </is>
      </c>
      <c r="Q758" s="1" t="inlineStr">
        <is>
          <t>u5</t>
        </is>
      </c>
      <c r="R758" s="1" t="inlineStr">
        <is>
          <t>u6</t>
        </is>
      </c>
      <c r="S758" s="1" t="inlineStr">
        <is>
          <t>ub</t>
        </is>
      </c>
      <c r="T758" s="1" t="inlineStr">
        <is>
          <t>scale</t>
        </is>
      </c>
      <c r="U758" s="1" t="inlineStr">
        <is>
          <t>negative</t>
        </is>
      </c>
    </row>
    <row r="759">
      <c r="A759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B759" t="n">
        <v>0</v>
      </c>
      <c r="C759" t="inlineStr">
        <is>
          <t>RER</t>
        </is>
      </c>
      <c r="D759" t="inlineStr">
        <is>
          <t>kilogram</t>
        </is>
      </c>
      <c r="F759" t="inlineStr">
        <is>
          <t>technosphere</t>
        </is>
      </c>
      <c r="G759" t="inlineStr">
        <is>
          <t>municipal solid waste</t>
        </is>
      </c>
      <c r="H759" t="inlineStr"/>
      <c r="I759" s="6" t="n">
        <v>317</v>
      </c>
      <c r="J759" s="14">
        <f>INDEX('allocation keys'!$L$4:$N$30,MATCH('allocated (economic)'!$B$749,'allocation keys'!$B$4:$B$28,0),MATCH('allocated (economic)'!$B$753,'allocation keys'!$L$3:$N$3,0))</f>
        <v>0.13538908345434356</v>
      </c>
      <c r="K759" t="n">
        <v>0</v>
      </c>
      <c r="M759" s="5" t="n"/>
      <c r="N759" s="5" t="n"/>
      <c r="O759" s="5" t="n"/>
      <c r="P759" s="5" t="n"/>
      <c r="Q759" s="5" t="n"/>
      <c r="R759" s="5" t="n"/>
    </row>
    <row r="760">
      <c r="A760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B760" s="6" t="n">
        <v>1</v>
      </c>
      <c r="C760" t="inlineStr">
        <is>
          <t>RER</t>
        </is>
      </c>
      <c r="D760" t="inlineStr">
        <is>
          <t>kilowatt hour</t>
        </is>
      </c>
      <c r="F760" t="inlineStr">
        <is>
          <t>production</t>
        </is>
      </c>
      <c r="G760" t="inlineStr">
        <is>
          <t>electricity, medium voltage</t>
        </is>
      </c>
      <c r="H760" t="inlineStr"/>
      <c r="I760" s="6" t="n">
        <v>317</v>
      </c>
      <c r="J760" s="11">
        <f>J759</f>
        <v>0.13538908345434356</v>
      </c>
      <c r="K760" t="n">
        <v>0</v>
      </c>
      <c r="L760" s="3" t="n"/>
    </row>
    <row r="761">
      <c r="A761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B761" t="n">
        <v>0</v>
      </c>
      <c r="C761" t="inlineStr">
        <is>
          <t>RER</t>
        </is>
      </c>
      <c r="D761" t="inlineStr">
        <is>
          <t>megajoule</t>
        </is>
      </c>
      <c r="F761" t="inlineStr">
        <is>
          <t>technosphere</t>
        </is>
      </c>
      <c r="G761" t="inlineStr">
        <is>
          <t>heat, district or industrial, other than natural gas</t>
        </is>
      </c>
      <c r="H761" t="inlineStr"/>
      <c r="I761" s="6" t="n">
        <v>317</v>
      </c>
      <c r="J761" s="11">
        <f>J759</f>
        <v>0.13538908345434356</v>
      </c>
      <c r="K761" t="n">
        <v>0</v>
      </c>
      <c r="L761" s="3" t="n"/>
    </row>
    <row r="762">
      <c r="A762" t="inlineStr">
        <is>
          <t>market for diesel, low-sulfur</t>
        </is>
      </c>
      <c r="B762">
        <f>unallocated!B279/I762*J762</f>
        <v>3.6303066541385501E-5</v>
      </c>
      <c r="C762" t="inlineStr">
        <is>
          <t>Europe without Switzerland</t>
        </is>
      </c>
      <c r="D762" t="inlineStr">
        <is>
          <t>kilogram</t>
        </is>
      </c>
      <c r="F762" t="inlineStr">
        <is>
          <t>technosphere</t>
        </is>
      </c>
      <c r="G762" t="inlineStr">
        <is>
          <t>diesel, low-sulfur</t>
        </is>
      </c>
      <c r="H762" t="inlineStr">
        <is>
          <t>Diesel density: 0.85 kg/l</t>
        </is>
      </c>
      <c r="I762" s="6" t="n">
        <v>317</v>
      </c>
      <c r="J762" s="11">
        <f>J759</f>
        <v>0.13538908345434356</v>
      </c>
      <c r="K762" t="n">
        <v>2</v>
      </c>
      <c r="L762" s="3">
        <f>LN(B762)</f>
        <v>-10.223608342537393</v>
      </c>
      <c r="M762" t="n">
        <v>1</v>
      </c>
      <c r="N762" t="n">
        <v>1</v>
      </c>
      <c r="O762" t="n">
        <v>1</v>
      </c>
      <c r="P762" t="n">
        <v>1.02</v>
      </c>
      <c r="Q762" t="n">
        <v>1.2</v>
      </c>
      <c r="R762" t="n">
        <v>1</v>
      </c>
      <c r="S762" t="n">
        <v>1.05</v>
      </c>
      <c r="T762">
        <f>LN(SQRT(EXP(
SQRT(
+POWER(LN(M762),2)
+POWER(LN(N762),2)
+POWER(LN(O762),2)
+POWER(LN(P762),2)
+POWER(LN(Q762),2)
+POWER(LN(R762),2)
+POWER(LN(S762),2)
)
)))</f>
        <v>9.4886477223156879E-2</v>
      </c>
    </row>
    <row r="763">
      <c r="A763" t="inlineStr">
        <is>
          <t>market for activated carbon, granular</t>
        </is>
      </c>
      <c r="B763">
        <f>unallocated!B280/I763*J763</f>
        <v>1.7083796019475529E-4</v>
      </c>
      <c r="C763" t="inlineStr">
        <is>
          <t>GLO</t>
        </is>
      </c>
      <c r="D763" t="inlineStr">
        <is>
          <t>kilogram</t>
        </is>
      </c>
      <c r="F763" t="inlineStr">
        <is>
          <t>technosphere</t>
        </is>
      </c>
      <c r="G763" t="inlineStr">
        <is>
          <t>activated carbon, granular</t>
        </is>
      </c>
      <c r="I763" s="6" t="n">
        <v>317</v>
      </c>
      <c r="J763" s="11">
        <f>J759</f>
        <v>0.13538908345434356</v>
      </c>
      <c r="K763" t="n">
        <v>2</v>
      </c>
      <c r="L763" s="3">
        <f>LN(B763)</f>
        <v>-8.6747950519197268</v>
      </c>
      <c r="M763" t="n">
        <v>1</v>
      </c>
      <c r="N763" t="n">
        <v>1</v>
      </c>
      <c r="O763" t="n">
        <v>1</v>
      </c>
      <c r="P763" t="n">
        <v>1.02</v>
      </c>
      <c r="Q763" t="n">
        <v>1.2</v>
      </c>
      <c r="R763" t="n">
        <v>1</v>
      </c>
      <c r="S763" t="n">
        <v>1.05</v>
      </c>
      <c r="T763">
        <f>LN(SQRT(EXP(
SQRT(
+POWER(LN(M763),2)
+POWER(LN(N763),2)
+POWER(LN(O763),2)
+POWER(LN(P763),2)
+POWER(LN(Q763),2)
+POWER(LN(R763),2)
+POWER(LN(S763),2)
)
)))</f>
        <v>9.4886477223156879E-2</v>
      </c>
    </row>
    <row r="764">
      <c r="A764" t="inlineStr">
        <is>
          <t>market for ammonia, anhydrous, liquid</t>
        </is>
      </c>
      <c r="B764">
        <f>unallocated!B281/I764*J764</f>
        <v>4.1855300247715043E-4</v>
      </c>
      <c r="C764" t="inlineStr">
        <is>
          <t>RER</t>
        </is>
      </c>
      <c r="D764" t="inlineStr">
        <is>
          <t>kilogram</t>
        </is>
      </c>
      <c r="F764" t="inlineStr">
        <is>
          <t>technosphere</t>
        </is>
      </c>
      <c r="G764" t="inlineStr">
        <is>
          <t>ammonia, anhydrous, liquid</t>
        </is>
      </c>
      <c r="H764" t="inlineStr">
        <is>
          <t>100% liquid ammonia. In original publication, it is dilluated to 23.5% in water. We discount the original value by 75%.</t>
        </is>
      </c>
      <c r="I764" s="6" t="n">
        <v>317</v>
      </c>
      <c r="J764" s="11">
        <f>J759</f>
        <v>0.13538908345434356</v>
      </c>
      <c r="K764" t="n">
        <v>2</v>
      </c>
      <c r="L764" s="3">
        <f>LN(B764)</f>
        <v>-7.7787070273630912</v>
      </c>
      <c r="M764" t="n">
        <v>1</v>
      </c>
      <c r="N764" t="n">
        <v>1</v>
      </c>
      <c r="O764" t="n">
        <v>1</v>
      </c>
      <c r="P764" t="n">
        <v>1.02</v>
      </c>
      <c r="Q764" t="n">
        <v>1.2</v>
      </c>
      <c r="R764" t="n">
        <v>1</v>
      </c>
      <c r="S764" t="n">
        <v>1.05</v>
      </c>
      <c r="T764">
        <f>LN(SQRT(EXP(
SQRT(
+POWER(LN(M764),2)
+POWER(LN(N764),2)
+POWER(LN(O764),2)
+POWER(LN(P764),2)
+POWER(LN(Q764),2)
+POWER(LN(R764),2)
+POWER(LN(S764),2)
)
)))</f>
        <v>9.4886477223156879E-2</v>
      </c>
    </row>
    <row r="765">
      <c r="A765" t="inlineStr">
        <is>
          <t>market for tap water</t>
        </is>
      </c>
      <c r="B765">
        <f>unallocated!B282/I765*J765</f>
        <v>1.2898265994704023E-3</v>
      </c>
      <c r="C765" t="inlineStr">
        <is>
          <t>Europe without Switzerland</t>
        </is>
      </c>
      <c r="D765" t="inlineStr">
        <is>
          <t>kilogram</t>
        </is>
      </c>
      <c r="F765" t="inlineStr">
        <is>
          <t>technosphere</t>
        </is>
      </c>
      <c r="G765" t="inlineStr">
        <is>
          <t>tap water</t>
        </is>
      </c>
      <c r="H765" t="inlineStr">
        <is>
          <t>Used to dilute the ammonia.</t>
        </is>
      </c>
      <c r="I765" s="6" t="n">
        <v>317</v>
      </c>
      <c r="J765" s="11">
        <f>J759</f>
        <v>0.13538908345434356</v>
      </c>
      <c r="K765" t="n">
        <v>2</v>
      </c>
      <c r="L765" s="3">
        <f>LN(B765)</f>
        <v>-6.6532474886587938</v>
      </c>
      <c r="M765" t="n">
        <v>1</v>
      </c>
      <c r="N765" t="n">
        <v>1</v>
      </c>
      <c r="O765" t="n">
        <v>1</v>
      </c>
      <c r="P765" t="n">
        <v>1.02</v>
      </c>
      <c r="Q765" t="n">
        <v>1.2</v>
      </c>
      <c r="R765" t="n">
        <v>1</v>
      </c>
      <c r="S765" t="n">
        <v>1.05</v>
      </c>
      <c r="T765">
        <f>LN(SQRT(EXP(
SQRT(
+POWER(LN(M765),2)
+POWER(LN(N765),2)
+POWER(LN(O765),2)
+POWER(LN(P765),2)
+POWER(LN(Q765),2)
+POWER(LN(R765),2)
+POWER(LN(S765),2)
)
)))</f>
        <v>9.4886477223156879E-2</v>
      </c>
    </row>
    <row r="766">
      <c r="A766" t="inlineStr">
        <is>
          <t>market for calcium carbonate, precipitated</t>
        </is>
      </c>
      <c r="B766">
        <f>unallocated!B283/I766*J766</f>
        <v>2.9896643034082173E-3</v>
      </c>
      <c r="C766" t="inlineStr">
        <is>
          <t>RER</t>
        </is>
      </c>
      <c r="D766" t="inlineStr">
        <is>
          <t>kilogram</t>
        </is>
      </c>
      <c r="F766" t="inlineStr">
        <is>
          <t>technosphere</t>
        </is>
      </c>
      <c r="G766" t="inlineStr">
        <is>
          <t>calcium carbonate, precipitated</t>
        </is>
      </c>
      <c r="I766" s="6" t="n">
        <v>317</v>
      </c>
      <c r="J766" s="11">
        <f>J759</f>
        <v>0.13538908345434356</v>
      </c>
      <c r="K766" t="n">
        <v>0</v>
      </c>
      <c r="L766" s="3" t="n"/>
    </row>
    <row r="767">
      <c r="A767" t="inlineStr">
        <is>
          <t>market for iron(III) chloride, without water, in 40% solution state</t>
        </is>
      </c>
      <c r="B767">
        <f>unallocated!B284/I767*J767</f>
        <v>2.1354745024344412E-5</v>
      </c>
      <c r="C767" t="inlineStr">
        <is>
          <t>GLO</t>
        </is>
      </c>
      <c r="D767" t="inlineStr">
        <is>
          <t>kilogram</t>
        </is>
      </c>
      <c r="F767" t="inlineStr">
        <is>
          <t>technosphere</t>
        </is>
      </c>
      <c r="G767" t="inlineStr">
        <is>
          <t>iron(III) chloride, without water, in 40% solution state</t>
        </is>
      </c>
      <c r="I767" s="6" t="n">
        <v>317</v>
      </c>
      <c r="J767" s="11">
        <f>J759</f>
        <v>0.13538908345434356</v>
      </c>
      <c r="K767" t="n">
        <v>0</v>
      </c>
      <c r="L767" s="3" t="n"/>
    </row>
    <row r="768">
      <c r="A768" t="inlineStr">
        <is>
          <t>market for lime, hydrated, packed</t>
        </is>
      </c>
      <c r="B768">
        <f>unallocated!B285/I768*J768</f>
        <v>0</v>
      </c>
      <c r="C768" t="inlineStr">
        <is>
          <t>RER</t>
        </is>
      </c>
      <c r="D768" t="inlineStr">
        <is>
          <t>kilogram</t>
        </is>
      </c>
      <c r="F768" t="inlineStr">
        <is>
          <t>technosphere</t>
        </is>
      </c>
      <c r="G768" t="inlineStr">
        <is>
          <t>lime, hydrated, packed</t>
        </is>
      </c>
      <c r="I768" s="6" t="n">
        <v>317</v>
      </c>
      <c r="J768" s="11">
        <f>J759</f>
        <v>0.13538908345434356</v>
      </c>
      <c r="K768" t="n">
        <v>0</v>
      </c>
      <c r="L768" s="3" t="n"/>
    </row>
    <row r="769">
      <c r="A769" t="inlineStr">
        <is>
          <t>market for sodium hydroxide, without water, in 50% solution state</t>
        </is>
      </c>
      <c r="B769">
        <f>unallocated!B286/I769*J769</f>
        <v>2.1354745024344408E-4</v>
      </c>
      <c r="C769" t="inlineStr">
        <is>
          <t>RER</t>
        </is>
      </c>
      <c r="D769" t="inlineStr">
        <is>
          <t>kilogram</t>
        </is>
      </c>
      <c r="F769" t="inlineStr">
        <is>
          <t>technosphere</t>
        </is>
      </c>
      <c r="G769" t="inlineStr">
        <is>
          <t>sodium hydroxide, without water, in 50% solution state</t>
        </is>
      </c>
      <c r="H769" t="inlineStr">
        <is>
          <t>50% liquid ammonia. In original publication, it is dilluated to 27% in water. We discount the original value by 50%.</t>
        </is>
      </c>
      <c r="I769" s="6" t="n">
        <v>317</v>
      </c>
      <c r="J769" s="11">
        <f>J759</f>
        <v>0.13538908345434356</v>
      </c>
      <c r="K769" t="n">
        <v>0</v>
      </c>
      <c r="L769" s="3" t="n"/>
    </row>
    <row r="770">
      <c r="A770" t="inlineStr">
        <is>
          <t>market for monoethanolamine</t>
        </is>
      </c>
      <c r="B770">
        <f>unallocated!B287/I770*J770</f>
        <v>1.7083796019475527E-3</v>
      </c>
      <c r="C770" t="inlineStr">
        <is>
          <t>GLO</t>
        </is>
      </c>
      <c r="D770" t="inlineStr">
        <is>
          <t>kilogram</t>
        </is>
      </c>
      <c r="F770" t="inlineStr">
        <is>
          <t>technosphere</t>
        </is>
      </c>
      <c r="G770" t="inlineStr">
        <is>
          <t>monoethanolamine</t>
        </is>
      </c>
      <c r="I770" s="6" t="n">
        <v>317</v>
      </c>
      <c r="J770" s="11">
        <f>J759</f>
        <v>0.13538908345434356</v>
      </c>
      <c r="K770" t="n">
        <v>0</v>
      </c>
      <c r="L770" s="3" t="n"/>
    </row>
    <row r="771">
      <c r="A771" t="inlineStr">
        <is>
          <t>municipal waste incineration facility construction</t>
        </is>
      </c>
      <c r="B771">
        <f>unallocated!B288/I771*J771</f>
        <v>1.0677372512172204E-10</v>
      </c>
      <c r="C771" t="inlineStr">
        <is>
          <t>CH</t>
        </is>
      </c>
      <c r="D771" t="inlineStr">
        <is>
          <t>unit</t>
        </is>
      </c>
      <c r="F771" t="inlineStr">
        <is>
          <t>technosphere</t>
        </is>
      </c>
      <c r="G771" t="inlineStr">
        <is>
          <t>municipal waste incineration facility</t>
        </is>
      </c>
      <c r="H771" t="inlineStr">
        <is>
          <t>Lifetime: 4'000'000 tons MSWI treated.</t>
        </is>
      </c>
      <c r="I771" s="6" t="n">
        <v>317</v>
      </c>
      <c r="J771" s="11">
        <f>J759</f>
        <v>0.13538908345434356</v>
      </c>
      <c r="K771" t="n">
        <v>2</v>
      </c>
      <c r="L771" s="3">
        <f>LN(B771)</f>
        <v>-22.960309239129735</v>
      </c>
      <c r="M771" t="n">
        <v>1</v>
      </c>
      <c r="N771" t="n">
        <v>1</v>
      </c>
      <c r="O771" t="n">
        <v>1</v>
      </c>
      <c r="P771" t="n">
        <v>1.02</v>
      </c>
      <c r="Q771" t="n">
        <v>1.2</v>
      </c>
      <c r="R771" t="n">
        <v>1</v>
      </c>
      <c r="S771" t="n">
        <v>3</v>
      </c>
      <c r="T771">
        <f>LN(SQRT(EXP(
SQRT(
+POWER(LN(M771),2)
+POWER(LN(N771),2)
+POWER(LN(O771),2)
+POWER(LN(P771),2)
+POWER(LN(Q771),2)
+POWER(LN(R771),2)
+POWER(LN(S771),2)
)
)))</f>
        <v>0.5569071410325479</v>
      </c>
    </row>
    <row r="772">
      <c r="A772" t="inlineStr">
        <is>
          <t>carbon dioxide storage at wood burning power plant 20 MW post, pipeline 200km, storage 1000m</t>
        </is>
      </c>
      <c r="B772">
        <f>unallocated!B289/I772*J772</f>
        <v>0.35149910310070898</v>
      </c>
      <c r="C772" t="inlineStr">
        <is>
          <t>RER</t>
        </is>
      </c>
      <c r="D772" t="inlineStr">
        <is>
          <t>kilogram</t>
        </is>
      </c>
      <c r="F772" t="inlineStr">
        <is>
          <t>technosphere</t>
        </is>
      </c>
      <c r="G772" t="inlineStr">
        <is>
          <t>carbon dioxide storage at wood burning power plant 20 MW post, pipeline 200km, storage 1000m</t>
        </is>
      </c>
      <c r="I772" s="6" t="n">
        <v>317</v>
      </c>
      <c r="J772" s="11">
        <f>J759</f>
        <v>0.13538908345434356</v>
      </c>
      <c r="K772" t="n">
        <v>2</v>
      </c>
      <c r="L772" s="3">
        <f>LN(B772)</f>
        <v>-1.0455481193685023</v>
      </c>
      <c r="M772" t="n">
        <v>1</v>
      </c>
      <c r="N772" t="n">
        <v>1</v>
      </c>
      <c r="O772" t="n">
        <v>1</v>
      </c>
      <c r="P772" t="n">
        <v>1.02</v>
      </c>
      <c r="Q772" t="n">
        <v>1.2</v>
      </c>
      <c r="R772" t="n">
        <v>1</v>
      </c>
      <c r="S772" t="n">
        <v>3</v>
      </c>
      <c r="T772">
        <f>LN(SQRT(EXP(
SQRT(
+POWER(LN(M772),2)
+POWER(LN(N772),2)
+POWER(LN(O772),2)
+POWER(LN(P772),2)
+POWER(LN(Q772),2)
+POWER(LN(R772),2)
+POWER(LN(S772),2)
)
)))</f>
        <v>0.5569071410325479</v>
      </c>
    </row>
    <row r="773">
      <c r="A773" t="inlineStr">
        <is>
          <t>Water, cooling, unspecified natural origin</t>
        </is>
      </c>
      <c r="B773">
        <f>unallocated!B290/I773*J773</f>
        <v>0</v>
      </c>
      <c r="D773" t="inlineStr">
        <is>
          <t>cubic meter</t>
        </is>
      </c>
      <c r="E773" t="inlineStr">
        <is>
          <t>natural resource::in water</t>
        </is>
      </c>
      <c r="F773" t="inlineStr">
        <is>
          <t>biosphere</t>
        </is>
      </c>
      <c r="I773" s="6" t="n">
        <v>317</v>
      </c>
      <c r="J773" s="11">
        <f>J759</f>
        <v>0.13538908345434356</v>
      </c>
      <c r="K773" t="n">
        <v>0</v>
      </c>
      <c r="L773" s="3" t="n"/>
    </row>
    <row r="774">
      <c r="A774" t="inlineStr">
        <is>
          <t>Sulfur dioxide</t>
        </is>
      </c>
      <c r="B774">
        <f>unallocated!B291/I774*J774</f>
        <v>2.5625694029213292E-6</v>
      </c>
      <c r="D774" t="inlineStr">
        <is>
          <t>kilogram</t>
        </is>
      </c>
      <c r="E774" t="inlineStr">
        <is>
          <t>air::urban air close to ground</t>
        </is>
      </c>
      <c r="F774" t="inlineStr">
        <is>
          <t>biosphere</t>
        </is>
      </c>
      <c r="I774" s="6" t="n">
        <v>317</v>
      </c>
      <c r="J774" s="11">
        <f>J759</f>
        <v>0.13538908345434356</v>
      </c>
      <c r="K774" t="n">
        <v>2</v>
      </c>
      <c r="L774" s="3">
        <f>LN(B774)</f>
        <v>-12.874500129799655</v>
      </c>
      <c r="M774" t="n">
        <v>1</v>
      </c>
      <c r="N774" t="n">
        <v>1</v>
      </c>
      <c r="O774" t="n">
        <v>1</v>
      </c>
      <c r="P774" t="n">
        <v>1.02</v>
      </c>
      <c r="Q774" t="n">
        <v>1.2</v>
      </c>
      <c r="R774" t="n">
        <v>1</v>
      </c>
      <c r="S774" t="n">
        <v>1.05</v>
      </c>
      <c r="T774">
        <f>LN(SQRT(EXP(
SQRT(
+POWER(LN(M774),2)
+POWER(LN(N774),2)
+POWER(LN(O774),2)
+POWER(LN(P774),2)
+POWER(LN(Q774),2)
+POWER(LN(R774),2)
+POWER(LN(S774),2)
)
)))</f>
        <v>9.4886477223156879E-2</v>
      </c>
    </row>
    <row r="775">
      <c r="A775" t="inlineStr">
        <is>
          <t>Hydrochloric acid</t>
        </is>
      </c>
      <c r="B775">
        <f>unallocated!B292/I775*J775</f>
        <v>1.2812847014606646E-6</v>
      </c>
      <c r="D775" t="inlineStr">
        <is>
          <t>kilogram</t>
        </is>
      </c>
      <c r="E775" t="inlineStr">
        <is>
          <t>air</t>
        </is>
      </c>
      <c r="F775" t="inlineStr">
        <is>
          <t>biosphere</t>
        </is>
      </c>
      <c r="I775" s="6" t="n">
        <v>317</v>
      </c>
      <c r="J775" s="11">
        <f>J759</f>
        <v>0.13538908345434356</v>
      </c>
      <c r="K775" t="n">
        <v>2</v>
      </c>
      <c r="L775" s="3">
        <f>LN(B775)</f>
        <v>-13.5676473103596</v>
      </c>
      <c r="M775" t="n">
        <v>1</v>
      </c>
      <c r="N775" t="n">
        <v>1</v>
      </c>
      <c r="O775" t="n">
        <v>1</v>
      </c>
      <c r="P775" t="n">
        <v>1.02</v>
      </c>
      <c r="Q775" t="n">
        <v>1.2</v>
      </c>
      <c r="R775" t="n">
        <v>1</v>
      </c>
      <c r="S775" t="n">
        <v>1.5</v>
      </c>
      <c r="T775">
        <f>LN(SQRT(EXP(
SQRT(
+POWER(LN(M775),2)
+POWER(LN(N775),2)
+POWER(LN(O775),2)
+POWER(LN(P775),2)
+POWER(LN(Q775),2)
+POWER(LN(R775),2)
+POWER(LN(S775),2)
)
)))</f>
        <v>0.22250575723605889</v>
      </c>
    </row>
    <row r="776">
      <c r="A776" t="inlineStr">
        <is>
          <t>Nitrogen oxides</t>
        </is>
      </c>
      <c r="B776">
        <f>unallocated!B293/I776*J776</f>
        <v>2.8914324762962336E-4</v>
      </c>
      <c r="D776" t="inlineStr">
        <is>
          <t>kilogram</t>
        </is>
      </c>
      <c r="E776" t="inlineStr">
        <is>
          <t>air::urban air close to ground</t>
        </is>
      </c>
      <c r="F776" t="inlineStr">
        <is>
          <t>biosphere</t>
        </is>
      </c>
      <c r="I776" s="6" t="n">
        <v>317</v>
      </c>
      <c r="J776" s="11">
        <f>J759</f>
        <v>0.13538908345434356</v>
      </c>
      <c r="K776" t="n">
        <v>2</v>
      </c>
      <c r="L776" s="3">
        <f>LN(B776)</f>
        <v>-8.1485883261154335</v>
      </c>
      <c r="M776" t="n">
        <v>1</v>
      </c>
      <c r="N776" t="n">
        <v>1</v>
      </c>
      <c r="O776" t="n">
        <v>1</v>
      </c>
      <c r="P776" t="n">
        <v>1.02</v>
      </c>
      <c r="Q776" t="n">
        <v>1.2</v>
      </c>
      <c r="R776" t="n">
        <v>1</v>
      </c>
      <c r="S776" t="n">
        <v>1.5</v>
      </c>
      <c r="T776">
        <f>LN(SQRT(EXP(
SQRT(
+POWER(LN(M776),2)
+POWER(LN(N776),2)
+POWER(LN(O776),2)
+POWER(LN(P776),2)
+POWER(LN(Q776),2)
+POWER(LN(R776),2)
+POWER(LN(S776),2)
)
)))</f>
        <v>0.22250575723605889</v>
      </c>
    </row>
    <row r="777">
      <c r="A777" t="inlineStr">
        <is>
          <t>Ammonia</t>
        </is>
      </c>
      <c r="B777">
        <f>unallocated!B294/I777*J777</f>
        <v>8.541898009737765E-6</v>
      </c>
      <c r="D777" t="inlineStr">
        <is>
          <t>kilogram</t>
        </is>
      </c>
      <c r="E777" t="inlineStr">
        <is>
          <t>air::urban air close to ground</t>
        </is>
      </c>
      <c r="F777" t="inlineStr">
        <is>
          <t>biosphere</t>
        </is>
      </c>
      <c r="I777" s="6" t="n">
        <v>317</v>
      </c>
      <c r="J777" s="11">
        <f>J759</f>
        <v>0.13538908345434356</v>
      </c>
      <c r="K777" t="n">
        <v>2</v>
      </c>
      <c r="L777" s="3">
        <f>LN(B777)</f>
        <v>-11.670527325473717</v>
      </c>
      <c r="M777" t="n">
        <v>1</v>
      </c>
      <c r="N777" t="n">
        <v>1</v>
      </c>
      <c r="O777" t="n">
        <v>1</v>
      </c>
      <c r="P777" t="n">
        <v>1.02</v>
      </c>
      <c r="Q777" t="n">
        <v>1.2</v>
      </c>
      <c r="R777" t="n">
        <v>1</v>
      </c>
      <c r="S777" t="n">
        <v>1.5</v>
      </c>
      <c r="T777">
        <f>LN(SQRT(EXP(
SQRT(
+POWER(LN(M777),2)
+POWER(LN(N777),2)
+POWER(LN(O777),2)
+POWER(LN(P777),2)
+POWER(LN(Q777),2)
+POWER(LN(R777),2)
+POWER(LN(S777),2)
)
)))</f>
        <v>0.22250575723605889</v>
      </c>
    </row>
    <row r="778">
      <c r="A778" t="inlineStr">
        <is>
          <t>Particulate Matter, &lt; 2.5 um</t>
        </is>
      </c>
      <c r="B778">
        <f>unallocated!B295/I778*J778</f>
        <v>2.5625694029213292E-6</v>
      </c>
      <c r="D778" t="inlineStr">
        <is>
          <t>kilogram</t>
        </is>
      </c>
      <c r="E778" t="inlineStr">
        <is>
          <t>air::urban air close to ground</t>
        </is>
      </c>
      <c r="F778" t="inlineStr">
        <is>
          <t>biosphere</t>
        </is>
      </c>
      <c r="I778" s="6" t="n">
        <v>317</v>
      </c>
      <c r="J778" s="11">
        <f>J759</f>
        <v>0.13538908345434356</v>
      </c>
      <c r="K778" t="n">
        <v>2</v>
      </c>
      <c r="L778" s="3">
        <f>LN(B778)</f>
        <v>-12.874500129799655</v>
      </c>
      <c r="M778" t="n">
        <v>1</v>
      </c>
      <c r="N778" t="n">
        <v>1</v>
      </c>
      <c r="O778" t="n">
        <v>1</v>
      </c>
      <c r="P778" t="n">
        <v>1.02</v>
      </c>
      <c r="Q778" t="n">
        <v>1.2</v>
      </c>
      <c r="R778" t="n">
        <v>1</v>
      </c>
      <c r="S778" t="n">
        <v>3</v>
      </c>
      <c r="T778">
        <f>LN(SQRT(EXP(
SQRT(
+POWER(LN(M778),2)
+POWER(LN(N778),2)
+POWER(LN(O778),2)
+POWER(LN(P778),2)
+POWER(LN(Q778),2)
+POWER(LN(R778),2)
+POWER(LN(S778),2)
)
)))</f>
        <v>0.5569071410325479</v>
      </c>
    </row>
    <row r="779">
      <c r="A779" t="inlineStr">
        <is>
          <t>Mercury II</t>
        </is>
      </c>
      <c r="B779">
        <f>unallocated!B296/I779*J779</f>
        <v>2.5625694029213289E-9</v>
      </c>
      <c r="D779" t="inlineStr">
        <is>
          <t>kilogram</t>
        </is>
      </c>
      <c r="E779" t="inlineStr">
        <is>
          <t>air::urban air close to ground</t>
        </is>
      </c>
      <c r="F779" t="inlineStr">
        <is>
          <t>biosphere</t>
        </is>
      </c>
      <c r="I779" s="6" t="n">
        <v>317</v>
      </c>
      <c r="J779" s="11">
        <f>J759</f>
        <v>0.13538908345434356</v>
      </c>
      <c r="K779" t="n">
        <v>2</v>
      </c>
      <c r="L779" s="3">
        <f>LN(B779)</f>
        <v>-19.78225540878179</v>
      </c>
      <c r="M779" t="n">
        <v>1</v>
      </c>
      <c r="N779" t="n">
        <v>1</v>
      </c>
      <c r="O779" t="n">
        <v>1</v>
      </c>
      <c r="P779" t="n">
        <v>1.02</v>
      </c>
      <c r="Q779" t="n">
        <v>1.2</v>
      </c>
      <c r="R779" t="n">
        <v>1</v>
      </c>
      <c r="S779" t="n">
        <v>5</v>
      </c>
      <c r="T779">
        <f>LN(SQRT(EXP(
SQRT(
+POWER(LN(M779),2)
+POWER(LN(N779),2)
+POWER(LN(O779),2)
+POWER(LN(P779),2)
+POWER(LN(Q779),2)
+POWER(LN(R779),2)
+POWER(LN(S779),2)
)
)))</f>
        <v>0.80992649174166365</v>
      </c>
    </row>
    <row r="780">
      <c r="A780" t="inlineStr">
        <is>
          <t>Lead II</t>
        </is>
      </c>
      <c r="B780">
        <f>unallocated!B297/I780*J780</f>
        <v>2.5625694029213289E-9</v>
      </c>
      <c r="D780" t="inlineStr">
        <is>
          <t>kilogram</t>
        </is>
      </c>
      <c r="E780" t="inlineStr">
        <is>
          <t>air::urban air close to ground</t>
        </is>
      </c>
      <c r="F780" t="inlineStr">
        <is>
          <t>biosphere</t>
        </is>
      </c>
      <c r="I780" s="6" t="n">
        <v>317</v>
      </c>
      <c r="J780" s="11">
        <f>J759</f>
        <v>0.13538908345434356</v>
      </c>
      <c r="K780" t="n">
        <v>2</v>
      </c>
      <c r="L780" s="3">
        <f>LN(B780)</f>
        <v>-19.78225540878179</v>
      </c>
      <c r="M780" t="n">
        <v>1</v>
      </c>
      <c r="N780" t="n">
        <v>1</v>
      </c>
      <c r="O780" t="n">
        <v>1</v>
      </c>
      <c r="P780" t="n">
        <v>1.02</v>
      </c>
      <c r="Q780" t="n">
        <v>1.2</v>
      </c>
      <c r="R780" t="n">
        <v>1</v>
      </c>
      <c r="S780" t="n">
        <v>5</v>
      </c>
      <c r="T780">
        <f>LN(SQRT(EXP(
SQRT(
+POWER(LN(M780),2)
+POWER(LN(N780),2)
+POWER(LN(O780),2)
+POWER(LN(P780),2)
+POWER(LN(Q780),2)
+POWER(LN(R780),2)
+POWER(LN(S780),2)
)
)))</f>
        <v>0.80992649174166365</v>
      </c>
    </row>
    <row r="781">
      <c r="A781" t="inlineStr">
        <is>
          <t>Cadmium II</t>
        </is>
      </c>
      <c r="B781">
        <f>unallocated!B298/I781*J781</f>
        <v>1.2812847014606645E-9</v>
      </c>
      <c r="D781" t="inlineStr">
        <is>
          <t>kilogram</t>
        </is>
      </c>
      <c r="E781" t="inlineStr">
        <is>
          <t>air::urban air close to ground</t>
        </is>
      </c>
      <c r="F781" t="inlineStr">
        <is>
          <t>biosphere</t>
        </is>
      </c>
      <c r="I781" s="6" t="n">
        <v>317</v>
      </c>
      <c r="J781" s="11">
        <f>J759</f>
        <v>0.13538908345434356</v>
      </c>
      <c r="K781" t="n">
        <v>2</v>
      </c>
      <c r="L781" s="3">
        <f>LN(B781)</f>
        <v>-20.475402589341737</v>
      </c>
      <c r="M781" t="n">
        <v>1</v>
      </c>
      <c r="N781" t="n">
        <v>1</v>
      </c>
      <c r="O781" t="n">
        <v>1</v>
      </c>
      <c r="P781" t="n">
        <v>1.02</v>
      </c>
      <c r="Q781" t="n">
        <v>1.2</v>
      </c>
      <c r="R781" t="n">
        <v>1</v>
      </c>
      <c r="S781" t="n">
        <v>5</v>
      </c>
      <c r="T781">
        <f>LN(SQRT(EXP(
SQRT(
+POWER(LN(M781),2)
+POWER(LN(N781),2)
+POWER(LN(O781),2)
+POWER(LN(P781),2)
+POWER(LN(Q781),2)
+POWER(LN(R781),2)
+POWER(LN(S781),2)
)
)))</f>
        <v>0.80992649174166365</v>
      </c>
    </row>
    <row r="782">
      <c r="A782" t="inlineStr">
        <is>
          <t>Arsenic ion</t>
        </is>
      </c>
      <c r="B782">
        <f>unallocated!B299/I782*J782</f>
        <v>1.2812847014606645E-9</v>
      </c>
      <c r="D782" t="inlineStr">
        <is>
          <t>kilogram</t>
        </is>
      </c>
      <c r="E782" t="inlineStr">
        <is>
          <t>air::urban air close to ground</t>
        </is>
      </c>
      <c r="F782" t="inlineStr">
        <is>
          <t>biosphere</t>
        </is>
      </c>
      <c r="I782" s="6" t="n">
        <v>317</v>
      </c>
      <c r="J782" s="11">
        <f>J759</f>
        <v>0.13538908345434356</v>
      </c>
      <c r="K782" t="n">
        <v>2</v>
      </c>
      <c r="L782" s="3">
        <f>LN(B782)</f>
        <v>-20.475402589341737</v>
      </c>
      <c r="M782" t="n">
        <v>1</v>
      </c>
      <c r="N782" t="n">
        <v>1</v>
      </c>
      <c r="O782" t="n">
        <v>1</v>
      </c>
      <c r="P782" t="n">
        <v>1.02</v>
      </c>
      <c r="Q782" t="n">
        <v>1.2</v>
      </c>
      <c r="R782" t="n">
        <v>1</v>
      </c>
      <c r="S782" t="n">
        <v>5</v>
      </c>
      <c r="T782">
        <f>LN(SQRT(EXP(
SQRT(
+POWER(LN(M782),2)
+POWER(LN(N782),2)
+POWER(LN(O782),2)
+POWER(LN(P782),2)
+POWER(LN(Q782),2)
+POWER(LN(R782),2)
+POWER(LN(S782),2)
)
)))</f>
        <v>0.80992649174166365</v>
      </c>
    </row>
    <row r="783">
      <c r="A783" t="inlineStr">
        <is>
          <t>Dioxins, measured as 2,3,7,8-tetrachlorodibenzo-p-dioxin</t>
        </is>
      </c>
      <c r="B783">
        <f>unallocated!B300/I783*J783</f>
        <v>4.6980439053557706E-14</v>
      </c>
      <c r="D783" t="inlineStr">
        <is>
          <t>kilogram</t>
        </is>
      </c>
      <c r="E783" t="inlineStr">
        <is>
          <t>air::urban air close to ground</t>
        </is>
      </c>
      <c r="F783" t="inlineStr">
        <is>
          <t>biosphere</t>
        </is>
      </c>
      <c r="I783" s="6" t="n">
        <v>317</v>
      </c>
      <c r="J783" s="11">
        <f>J759</f>
        <v>0.13538908345434356</v>
      </c>
      <c r="K783" t="n">
        <v>2</v>
      </c>
      <c r="L783" s="3">
        <f>LN(B783)</f>
        <v>-30.689045070181702</v>
      </c>
      <c r="M783" t="n">
        <v>1</v>
      </c>
      <c r="N783" t="n">
        <v>1</v>
      </c>
      <c r="O783" t="n">
        <v>1</v>
      </c>
      <c r="P783" t="n">
        <v>1.02</v>
      </c>
      <c r="Q783" t="n">
        <v>1.2</v>
      </c>
      <c r="R783" t="n">
        <v>1</v>
      </c>
      <c r="S783" t="n">
        <v>5</v>
      </c>
      <c r="T783">
        <f>LN(SQRT(EXP(
SQRT(
+POWER(LN(M783),2)
+POWER(LN(N783),2)
+POWER(LN(O783),2)
+POWER(LN(P783),2)
+POWER(LN(Q783),2)
+POWER(LN(R783),2)
+POWER(LN(S783),2)
)
)))</f>
        <v>0.80992649174166365</v>
      </c>
    </row>
    <row r="784">
      <c r="A784" t="inlineStr">
        <is>
          <t>Carbon dioxide, fossil</t>
        </is>
      </c>
      <c r="B784">
        <f>unallocated!B301/I784*J784</f>
        <v>2.3917314427265739E-2</v>
      </c>
      <c r="D784" t="inlineStr">
        <is>
          <t>kilogram</t>
        </is>
      </c>
      <c r="E784" t="inlineStr">
        <is>
          <t>air::urban air close to ground</t>
        </is>
      </c>
      <c r="F784" t="inlineStr">
        <is>
          <t>biosphere</t>
        </is>
      </c>
      <c r="I784" s="6" t="n">
        <v>317</v>
      </c>
      <c r="J784" s="11">
        <f>J759</f>
        <v>0.13538908345434356</v>
      </c>
      <c r="K784" t="n">
        <v>2</v>
      </c>
      <c r="L784" s="3">
        <f>LN(B784)</f>
        <v>-3.7331526293104229</v>
      </c>
      <c r="M784" t="n">
        <v>1</v>
      </c>
      <c r="N784" t="n">
        <v>1</v>
      </c>
      <c r="O784" t="n">
        <v>1</v>
      </c>
      <c r="P784" t="n">
        <v>1.02</v>
      </c>
      <c r="Q784" t="n">
        <v>1.2</v>
      </c>
      <c r="R784" t="n">
        <v>1</v>
      </c>
      <c r="S784" t="n">
        <v>1.05</v>
      </c>
      <c r="T784">
        <f>LN(SQRT(EXP(
SQRT(
+POWER(LN(M784),2)
+POWER(LN(N784),2)
+POWER(LN(O784),2)
+POWER(LN(P784),2)
+POWER(LN(Q784),2)
+POWER(LN(R784),2)
+POWER(LN(S784),2)
)
)))</f>
        <v>9.4886477223156879E-2</v>
      </c>
    </row>
    <row r="785">
      <c r="A785" t="inlineStr">
        <is>
          <t>Carbon dioxide, non-fossil</t>
        </is>
      </c>
      <c r="B785">
        <f>unallocated!B302/I785*J785</f>
        <v>3.8011446143333044E-2</v>
      </c>
      <c r="D785" t="inlineStr">
        <is>
          <t>kilogram</t>
        </is>
      </c>
      <c r="E785" t="inlineStr">
        <is>
          <t>air::urban air close to ground</t>
        </is>
      </c>
      <c r="F785" t="inlineStr">
        <is>
          <t>biosphere</t>
        </is>
      </c>
      <c r="I785" s="6" t="n">
        <v>317</v>
      </c>
      <c r="J785" s="14">
        <f>J759</f>
        <v>0.13538908345434356</v>
      </c>
      <c r="K785" t="n">
        <v>2</v>
      </c>
      <c r="L785" s="3">
        <f>LN(B785)</f>
        <v>-3.2698679503134325</v>
      </c>
      <c r="M785" t="n">
        <v>1</v>
      </c>
      <c r="N785" t="n">
        <v>1</v>
      </c>
      <c r="O785" t="n">
        <v>1</v>
      </c>
      <c r="P785" t="n">
        <v>1.02</v>
      </c>
      <c r="Q785" t="n">
        <v>1.2</v>
      </c>
      <c r="R785" t="n">
        <v>1</v>
      </c>
      <c r="S785" t="n">
        <v>1.05</v>
      </c>
      <c r="T785">
        <f>LN(SQRT(EXP(
SQRT(
+POWER(LN(M785),2)
+POWER(LN(N785),2)
+POWER(LN(O785),2)
+POWER(LN(P785),2)
+POWER(LN(Q785),2)
+POWER(LN(R785),2)
+POWER(LN(S785),2)
)
)))</f>
        <v>9.4886477223156879E-2</v>
      </c>
    </row>
    <row r="786">
      <c r="A786" t="inlineStr">
        <is>
          <t>Carbon dioxide, in air</t>
        </is>
      </c>
      <c r="B786">
        <f>unallocated!B303/I786*J786</f>
        <v>0.21568292474587855</v>
      </c>
      <c r="D786" t="inlineStr">
        <is>
          <t>kilogram</t>
        </is>
      </c>
      <c r="E786" t="inlineStr">
        <is>
          <t>natural resource::in air</t>
        </is>
      </c>
      <c r="F786" t="inlineStr">
        <is>
          <t>biosphere</t>
        </is>
      </c>
      <c r="H786" t="inlineStr">
        <is>
          <t>To reflect the permanent storage of non-fossil CO.</t>
        </is>
      </c>
      <c r="I786" s="6" t="n">
        <v>317</v>
      </c>
      <c r="J786" s="14">
        <f>J759</f>
        <v>0.13538908345434356</v>
      </c>
      <c r="K786" t="n">
        <v>2</v>
      </c>
      <c r="L786" s="3">
        <f>LN(B786)</f>
        <v>-1.5339458907702122</v>
      </c>
      <c r="M786" t="n">
        <v>1</v>
      </c>
      <c r="N786" t="n">
        <v>1</v>
      </c>
      <c r="O786" t="n">
        <v>1</v>
      </c>
      <c r="P786" t="n">
        <v>1.02</v>
      </c>
      <c r="Q786" t="n">
        <v>1.2</v>
      </c>
      <c r="R786" t="n">
        <v>1</v>
      </c>
      <c r="S786" t="n">
        <v>1.05</v>
      </c>
      <c r="T786">
        <f>LN(SQRT(EXP(
SQRT(
+POWER(LN(M786),2)
+POWER(LN(N786),2)
+POWER(LN(O786),2)
+POWER(LN(P786),2)
+POWER(LN(Q786),2)
+POWER(LN(R786),2)
+POWER(LN(S786),2)
)
)))</f>
        <v>9.4886477223156879E-2</v>
      </c>
    </row>
    <row r="787"/>
    <row r="788">
      <c r="A788" s="1" t="inlineStr">
        <is>
          <t>Activity</t>
        </is>
      </c>
      <c r="B788" s="1" t="inlineStr">
        <is>
          <t>municipal waste incineration, at incineration plant, with wet air pollution control, with flue gas condensation, with electricity and heat recovery, with carbon capture and storage, economic allocation</t>
        </is>
      </c>
    </row>
    <row r="789">
      <c r="A789" t="inlineStr">
        <is>
          <t>location</t>
        </is>
      </c>
      <c r="B789" t="inlineStr">
        <is>
          <t>RER</t>
        </is>
      </c>
    </row>
    <row r="790">
      <c r="A790" t="inlineStr">
        <is>
          <t>production amount</t>
        </is>
      </c>
      <c r="B790" t="n">
        <v>1</v>
      </c>
    </row>
    <row r="791">
      <c r="A791" s="2" t="inlineStr">
        <is>
          <t>source</t>
        </is>
      </c>
      <c r="B791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792">
      <c r="A792" t="inlineStr">
        <is>
          <t>reference product</t>
        </is>
      </c>
      <c r="B792" t="inlineStr">
        <is>
          <t>heat, district or industrial, other than natural gas</t>
        </is>
      </c>
    </row>
    <row r="793">
      <c r="A793" t="inlineStr">
        <is>
          <t>type</t>
        </is>
      </c>
      <c r="B793" t="inlineStr">
        <is>
          <t>process</t>
        </is>
      </c>
    </row>
    <row r="794">
      <c r="A794" t="inlineStr">
        <is>
          <t>unit</t>
        </is>
      </c>
      <c r="B794" t="inlineStr">
        <is>
          <t>megajoule</t>
        </is>
      </c>
    </row>
    <row r="795">
      <c r="A795" t="inlineStr">
        <is>
          <t>comment</t>
        </is>
      </c>
      <c r="B795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796">
      <c r="A796" s="1" t="inlineStr">
        <is>
          <t>Exchanges</t>
        </is>
      </c>
    </row>
    <row r="797">
      <c r="A797" s="7" t="inlineStr">
        <is>
          <t>name</t>
        </is>
      </c>
      <c r="B797" s="7" t="inlineStr">
        <is>
          <t>amount</t>
        </is>
      </c>
      <c r="C797" s="7" t="inlineStr">
        <is>
          <t>location</t>
        </is>
      </c>
      <c r="D797" s="7" t="inlineStr">
        <is>
          <t>unit</t>
        </is>
      </c>
      <c r="E797" s="7" t="inlineStr">
        <is>
          <t>categories</t>
        </is>
      </c>
      <c r="F797" s="7" t="inlineStr">
        <is>
          <t>type</t>
        </is>
      </c>
      <c r="G797" s="7" t="inlineStr">
        <is>
          <t>reference product</t>
        </is>
      </c>
      <c r="H797" s="7" t="inlineStr">
        <is>
          <t>comment</t>
        </is>
      </c>
      <c r="I797" s="7" t="inlineStr">
        <is>
          <t>normalization</t>
        </is>
      </c>
      <c r="J797" s="7" t="inlineStr">
        <is>
          <t>allocation</t>
        </is>
      </c>
      <c r="K797" s="7" t="inlineStr">
        <is>
          <t>uncertainty type</t>
        </is>
      </c>
      <c r="L797" s="7" t="inlineStr">
        <is>
          <t>loc</t>
        </is>
      </c>
      <c r="M797" s="1" t="inlineStr">
        <is>
          <t>u1</t>
        </is>
      </c>
      <c r="N797" s="1" t="inlineStr">
        <is>
          <t>u2</t>
        </is>
      </c>
      <c r="O797" s="1" t="inlineStr">
        <is>
          <t>u3</t>
        </is>
      </c>
      <c r="P797" s="1" t="inlineStr">
        <is>
          <t>u4</t>
        </is>
      </c>
      <c r="Q797" s="1" t="inlineStr">
        <is>
          <t>u5</t>
        </is>
      </c>
      <c r="R797" s="1" t="inlineStr">
        <is>
          <t>u6</t>
        </is>
      </c>
      <c r="S797" s="1" t="inlineStr">
        <is>
          <t>ub</t>
        </is>
      </c>
      <c r="T797" s="1" t="inlineStr">
        <is>
          <t>scale</t>
        </is>
      </c>
      <c r="U797" s="1" t="inlineStr">
        <is>
          <t>negative</t>
        </is>
      </c>
    </row>
    <row r="798">
      <c r="A798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B798" t="n">
        <v>0</v>
      </c>
      <c r="C798" t="inlineStr">
        <is>
          <t>RER</t>
        </is>
      </c>
      <c r="D798" t="inlineStr">
        <is>
          <t>kilogram</t>
        </is>
      </c>
      <c r="F798" t="inlineStr">
        <is>
          <t>technosphere</t>
        </is>
      </c>
      <c r="G798" t="inlineStr">
        <is>
          <t>municipal solid waste</t>
        </is>
      </c>
      <c r="H798" t="inlineStr"/>
      <c r="I798" t="n">
        <v>7400</v>
      </c>
      <c r="J798" s="14">
        <f>INDEX('allocation keys'!$L$4:$N$30,MATCH('allocated (economic)'!$B$788,'allocation keys'!$B$4:$B$28,0),MATCH('allocated (economic)'!$B$792,'allocation keys'!$L$3:$N$3,0))</f>
        <v>0.33501323994191512</v>
      </c>
      <c r="K798" t="n">
        <v>0</v>
      </c>
      <c r="M798" s="5" t="n"/>
      <c r="N798" s="5" t="n"/>
      <c r="O798" s="5" t="n"/>
      <c r="P798" s="5" t="n"/>
      <c r="Q798" s="5" t="n"/>
      <c r="R798" s="5" t="n"/>
    </row>
    <row r="799">
      <c r="A799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B799" s="6" t="n">
        <v>0</v>
      </c>
      <c r="C799" t="inlineStr">
        <is>
          <t>RER</t>
        </is>
      </c>
      <c r="D799" t="inlineStr">
        <is>
          <t>kilowatt hour</t>
        </is>
      </c>
      <c r="F799" t="inlineStr">
        <is>
          <t>technosphere</t>
        </is>
      </c>
      <c r="G799" t="inlineStr">
        <is>
          <t>electricity, medium voltage</t>
        </is>
      </c>
      <c r="H799" t="inlineStr"/>
      <c r="I799" t="n">
        <v>7400</v>
      </c>
      <c r="J799" s="11">
        <f>J798</f>
        <v>0.33501323994191512</v>
      </c>
      <c r="K799" t="n">
        <v>0</v>
      </c>
      <c r="L799" s="3" t="n"/>
    </row>
    <row r="800">
      <c r="A800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B800" t="n">
        <v>1</v>
      </c>
      <c r="C800" t="inlineStr">
        <is>
          <t>RER</t>
        </is>
      </c>
      <c r="D800" t="inlineStr">
        <is>
          <t>megajoule</t>
        </is>
      </c>
      <c r="F800" t="inlineStr">
        <is>
          <t>production</t>
        </is>
      </c>
      <c r="G800" t="inlineStr">
        <is>
          <t>heat, district or industrial, other than natural gas</t>
        </is>
      </c>
      <c r="H800" t="inlineStr"/>
      <c r="I800" t="n">
        <v>7400</v>
      </c>
      <c r="J800" s="11">
        <f>J798</f>
        <v>0.33501323994191512</v>
      </c>
      <c r="K800" t="n">
        <v>0</v>
      </c>
      <c r="L800" s="3" t="n"/>
    </row>
    <row r="801">
      <c r="A801" t="inlineStr">
        <is>
          <t>market for diesel, low-sulfur</t>
        </is>
      </c>
      <c r="B801">
        <f>unallocated!B279/I801*J801</f>
        <v>3.8481250533868634E-6</v>
      </c>
      <c r="C801" t="inlineStr">
        <is>
          <t>Europe without Switzerland</t>
        </is>
      </c>
      <c r="D801" t="inlineStr">
        <is>
          <t>kilogram</t>
        </is>
      </c>
      <c r="F801" t="inlineStr">
        <is>
          <t>technosphere</t>
        </is>
      </c>
      <c r="G801" t="inlineStr">
        <is>
          <t>diesel, low-sulfur</t>
        </is>
      </c>
      <c r="H801" t="inlineStr">
        <is>
          <t>Diesel density: 0.85 kg/l</t>
        </is>
      </c>
      <c r="I801" t="n">
        <v>7400</v>
      </c>
      <c r="J801" s="11">
        <f>J798</f>
        <v>0.33501323994191512</v>
      </c>
      <c r="K801" t="n">
        <v>2</v>
      </c>
      <c r="L801" s="3">
        <f>LN(B801)</f>
        <v>-12.467924527407462</v>
      </c>
      <c r="M801" t="n">
        <v>1</v>
      </c>
      <c r="N801" t="n">
        <v>1</v>
      </c>
      <c r="O801" t="n">
        <v>1</v>
      </c>
      <c r="P801" t="n">
        <v>1.02</v>
      </c>
      <c r="Q801" t="n">
        <v>1.2</v>
      </c>
      <c r="R801" t="n">
        <v>1</v>
      </c>
      <c r="S801" t="n">
        <v>1.05</v>
      </c>
      <c r="T801">
        <f>LN(SQRT(EXP(
SQRT(
+POWER(LN(M801),2)
+POWER(LN(N801),2)
+POWER(LN(O801),2)
+POWER(LN(P801),2)
+POWER(LN(Q801),2)
+POWER(LN(R801),2)
+POWER(LN(S801),2)
)
)))</f>
        <v>9.4886477223156879E-2</v>
      </c>
    </row>
    <row r="802">
      <c r="A802" t="inlineStr">
        <is>
          <t>market for activated carbon, granular</t>
        </is>
      </c>
      <c r="B802">
        <f>unallocated!B280/I802*J802</f>
        <v>1.8108823780644061E-5</v>
      </c>
      <c r="C802" t="inlineStr">
        <is>
          <t>GLO</t>
        </is>
      </c>
      <c r="D802" t="inlineStr">
        <is>
          <t>kilogram</t>
        </is>
      </c>
      <c r="F802" t="inlineStr">
        <is>
          <t>technosphere</t>
        </is>
      </c>
      <c r="G802" t="inlineStr">
        <is>
          <t>activated carbon, granular</t>
        </is>
      </c>
      <c r="I802" t="n">
        <v>7400</v>
      </c>
      <c r="J802" s="11">
        <f>J798</f>
        <v>0.33501323994191512</v>
      </c>
      <c r="K802" t="n">
        <v>2</v>
      </c>
      <c r="L802" s="3">
        <f>LN(B802)</f>
        <v>-10.919111236789798</v>
      </c>
      <c r="M802" t="n">
        <v>1</v>
      </c>
      <c r="N802" t="n">
        <v>1</v>
      </c>
      <c r="O802" t="n">
        <v>1</v>
      </c>
      <c r="P802" t="n">
        <v>1.02</v>
      </c>
      <c r="Q802" t="n">
        <v>1.2</v>
      </c>
      <c r="R802" t="n">
        <v>1</v>
      </c>
      <c r="S802" t="n">
        <v>1.05</v>
      </c>
      <c r="T802">
        <f>LN(SQRT(EXP(
SQRT(
+POWER(LN(M802),2)
+POWER(LN(N802),2)
+POWER(LN(O802),2)
+POWER(LN(P802),2)
+POWER(LN(Q802),2)
+POWER(LN(R802),2)
+POWER(LN(S802),2)
)
)))</f>
        <v>9.4886477223156879E-2</v>
      </c>
    </row>
    <row r="803">
      <c r="A803" t="inlineStr">
        <is>
          <t>market for ammonia, anhydrous, liquid</t>
        </is>
      </c>
      <c r="B803">
        <f>unallocated!B281/I803*J803</f>
        <v>4.4366618262577949E-5</v>
      </c>
      <c r="C803" t="inlineStr">
        <is>
          <t>RER</t>
        </is>
      </c>
      <c r="D803" t="inlineStr">
        <is>
          <t>kilogram</t>
        </is>
      </c>
      <c r="F803" t="inlineStr">
        <is>
          <t>technosphere</t>
        </is>
      </c>
      <c r="G803" t="inlineStr">
        <is>
          <t>ammonia, anhydrous, liquid</t>
        </is>
      </c>
      <c r="H803" t="inlineStr">
        <is>
          <t>100% liquid ammonia. In original publication, it is dilluated to 23.5% in water. We discount the original value by 75%.</t>
        </is>
      </c>
      <c r="I803" t="n">
        <v>7400</v>
      </c>
      <c r="J803" s="11">
        <f>J798</f>
        <v>0.33501323994191512</v>
      </c>
      <c r="K803" t="n">
        <v>2</v>
      </c>
      <c r="L803" s="3">
        <f>LN(B803)</f>
        <v>-10.023023212233161</v>
      </c>
      <c r="M803" t="n">
        <v>1</v>
      </c>
      <c r="N803" t="n">
        <v>1</v>
      </c>
      <c r="O803" t="n">
        <v>1</v>
      </c>
      <c r="P803" t="n">
        <v>1.02</v>
      </c>
      <c r="Q803" t="n">
        <v>1.2</v>
      </c>
      <c r="R803" t="n">
        <v>1</v>
      </c>
      <c r="S803" t="n">
        <v>1.05</v>
      </c>
      <c r="T803">
        <f>LN(SQRT(EXP(
SQRT(
+POWER(LN(M803),2)
+POWER(LN(N803),2)
+POWER(LN(O803),2)
+POWER(LN(P803),2)
+POWER(LN(Q803),2)
+POWER(LN(R803),2)
+POWER(LN(S803),2)
)
)))</f>
        <v>9.4886477223156879E-2</v>
      </c>
    </row>
    <row r="804">
      <c r="A804" t="inlineStr">
        <is>
          <t>market for tap water</t>
        </is>
      </c>
      <c r="B804">
        <f>unallocated!B282/I804*J804</f>
        <v>1.3672161954386266E-4</v>
      </c>
      <c r="C804" t="inlineStr">
        <is>
          <t>Europe without Switzerland</t>
        </is>
      </c>
      <c r="D804" t="inlineStr">
        <is>
          <t>kilogram</t>
        </is>
      </c>
      <c r="F804" t="inlineStr">
        <is>
          <t>technosphere</t>
        </is>
      </c>
      <c r="G804" t="inlineStr">
        <is>
          <t>tap water</t>
        </is>
      </c>
      <c r="H804" t="inlineStr">
        <is>
          <t>Used to dilute the ammonia.</t>
        </is>
      </c>
      <c r="I804" t="n">
        <v>7400</v>
      </c>
      <c r="J804" s="11">
        <f>J798</f>
        <v>0.33501323994191512</v>
      </c>
      <c r="K804" t="n">
        <v>2</v>
      </c>
      <c r="L804" s="3">
        <f>LN(B804)</f>
        <v>-8.8975636735288628</v>
      </c>
      <c r="M804" t="n">
        <v>1</v>
      </c>
      <c r="N804" t="n">
        <v>1</v>
      </c>
      <c r="O804" t="n">
        <v>1</v>
      </c>
      <c r="P804" t="n">
        <v>1.02</v>
      </c>
      <c r="Q804" t="n">
        <v>1.2</v>
      </c>
      <c r="R804" t="n">
        <v>1</v>
      </c>
      <c r="S804" t="n">
        <v>1.05</v>
      </c>
      <c r="T804">
        <f>LN(SQRT(EXP(
SQRT(
+POWER(LN(M804),2)
+POWER(LN(N804),2)
+POWER(LN(O804),2)
+POWER(LN(P804),2)
+POWER(LN(Q804),2)
+POWER(LN(R804),2)
+POWER(LN(S804),2)
)
)))</f>
        <v>9.4886477223156879E-2</v>
      </c>
    </row>
    <row r="805">
      <c r="A805" t="inlineStr">
        <is>
          <t>market for calcium carbonate, precipitated</t>
        </is>
      </c>
      <c r="B805">
        <f>unallocated!B283/I805*J805</f>
        <v>3.1690441616127104E-4</v>
      </c>
      <c r="C805" t="inlineStr">
        <is>
          <t>RER</t>
        </is>
      </c>
      <c r="D805" t="inlineStr">
        <is>
          <t>kilogram</t>
        </is>
      </c>
      <c r="F805" t="inlineStr">
        <is>
          <t>technosphere</t>
        </is>
      </c>
      <c r="G805" t="inlineStr">
        <is>
          <t>calcium carbonate, precipitated</t>
        </is>
      </c>
      <c r="I805" t="n">
        <v>7400</v>
      </c>
      <c r="J805" s="11">
        <f>J798</f>
        <v>0.33501323994191512</v>
      </c>
      <c r="K805" t="n">
        <v>0</v>
      </c>
      <c r="L805" s="3" t="n"/>
    </row>
    <row r="806">
      <c r="A806" t="inlineStr">
        <is>
          <t>market for iron(III) chloride, without water, in 40% solution state</t>
        </is>
      </c>
      <c r="B806">
        <f>unallocated!B284/I806*J806</f>
        <v>2.2636029725805077E-6</v>
      </c>
      <c r="C806" t="inlineStr">
        <is>
          <t>GLO</t>
        </is>
      </c>
      <c r="D806" t="inlineStr">
        <is>
          <t>kilogram</t>
        </is>
      </c>
      <c r="F806" t="inlineStr">
        <is>
          <t>technosphere</t>
        </is>
      </c>
      <c r="G806" t="inlineStr">
        <is>
          <t>iron(III) chloride, without water, in 40% solution state</t>
        </is>
      </c>
      <c r="I806" t="n">
        <v>7400</v>
      </c>
      <c r="J806" s="11">
        <f>J798</f>
        <v>0.33501323994191512</v>
      </c>
      <c r="K806" t="n">
        <v>0</v>
      </c>
      <c r="L806" s="3" t="n"/>
    </row>
    <row r="807">
      <c r="A807" t="inlineStr">
        <is>
          <t>market for lime, hydrated, packed</t>
        </is>
      </c>
      <c r="B807">
        <f>unallocated!B285/I807*J807</f>
        <v>0</v>
      </c>
      <c r="C807" t="inlineStr">
        <is>
          <t>RER</t>
        </is>
      </c>
      <c r="D807" t="inlineStr">
        <is>
          <t>kilogram</t>
        </is>
      </c>
      <c r="F807" t="inlineStr">
        <is>
          <t>technosphere</t>
        </is>
      </c>
      <c r="G807" t="inlineStr">
        <is>
          <t>lime, hydrated, packed</t>
        </is>
      </c>
      <c r="I807" t="n">
        <v>7400</v>
      </c>
      <c r="J807" s="11">
        <f>J798</f>
        <v>0.33501323994191512</v>
      </c>
      <c r="K807" t="n">
        <v>0</v>
      </c>
      <c r="L807" s="3" t="n"/>
    </row>
    <row r="808">
      <c r="A808" t="inlineStr">
        <is>
          <t>market for sodium hydroxide, without water, in 50% solution state</t>
        </is>
      </c>
      <c r="B808">
        <f>unallocated!B286/I808*J808</f>
        <v>2.2636029725805078E-5</v>
      </c>
      <c r="C808" t="inlineStr">
        <is>
          <t>RER</t>
        </is>
      </c>
      <c r="D808" t="inlineStr">
        <is>
          <t>kilogram</t>
        </is>
      </c>
      <c r="F808" t="inlineStr">
        <is>
          <t>technosphere</t>
        </is>
      </c>
      <c r="G808" t="inlineStr">
        <is>
          <t>sodium hydroxide, without water, in 50% solution state</t>
        </is>
      </c>
      <c r="H808" t="inlineStr">
        <is>
          <t>50% liquid ammonia. In original publication, it is dilluated to 27% in water. We discount the original value by 50%.</t>
        </is>
      </c>
      <c r="I808" t="n">
        <v>7400</v>
      </c>
      <c r="J808" s="11">
        <f>J798</f>
        <v>0.33501323994191512</v>
      </c>
      <c r="K808" t="n">
        <v>0</v>
      </c>
      <c r="L808" s="3" t="n"/>
    </row>
    <row r="809">
      <c r="A809" t="inlineStr">
        <is>
          <t>market for monoethanolamine</t>
        </is>
      </c>
      <c r="B809">
        <f>unallocated!B287/I809*J809</f>
        <v>1.8108823780644062E-4</v>
      </c>
      <c r="C809" t="inlineStr">
        <is>
          <t>GLO</t>
        </is>
      </c>
      <c r="D809" t="inlineStr">
        <is>
          <t>kilogram</t>
        </is>
      </c>
      <c r="F809" t="inlineStr">
        <is>
          <t>technosphere</t>
        </is>
      </c>
      <c r="G809" t="inlineStr">
        <is>
          <t>monoethanolamine</t>
        </is>
      </c>
      <c r="I809" t="n">
        <v>7400</v>
      </c>
      <c r="J809" s="11">
        <f>J798</f>
        <v>0.33501323994191512</v>
      </c>
      <c r="K809" t="n">
        <v>0</v>
      </c>
      <c r="L809" s="3" t="n"/>
    </row>
    <row r="810">
      <c r="A810" t="inlineStr">
        <is>
          <t>municipal waste incineration facility construction</t>
        </is>
      </c>
      <c r="B810">
        <f>unallocated!B288/I810*J810</f>
        <v>1.1318014862902537E-11</v>
      </c>
      <c r="C810" t="inlineStr">
        <is>
          <t>CH</t>
        </is>
      </c>
      <c r="D810" t="inlineStr">
        <is>
          <t>unit</t>
        </is>
      </c>
      <c r="F810" t="inlineStr">
        <is>
          <t>technosphere</t>
        </is>
      </c>
      <c r="G810" t="inlineStr">
        <is>
          <t>municipal waste incineration facility</t>
        </is>
      </c>
      <c r="H810" t="inlineStr">
        <is>
          <t>Lifetime: 4'000'000 tons MSWI treated.</t>
        </is>
      </c>
      <c r="I810" t="n">
        <v>7400</v>
      </c>
      <c r="J810" s="11">
        <f>J798</f>
        <v>0.33501323994191512</v>
      </c>
      <c r="K810" t="n">
        <v>2</v>
      </c>
      <c r="L810" s="3">
        <f>LN(B810)</f>
        <v>-25.204625423999808</v>
      </c>
      <c r="M810" t="n">
        <v>1</v>
      </c>
      <c r="N810" t="n">
        <v>1</v>
      </c>
      <c r="O810" t="n">
        <v>1</v>
      </c>
      <c r="P810" t="n">
        <v>1.02</v>
      </c>
      <c r="Q810" t="n">
        <v>1.2</v>
      </c>
      <c r="R810" t="n">
        <v>1</v>
      </c>
      <c r="S810" t="n">
        <v>3</v>
      </c>
      <c r="T810">
        <f>LN(SQRT(EXP(
SQRT(
+POWER(LN(M810),2)
+POWER(LN(N810),2)
+POWER(LN(O810),2)
+POWER(LN(P810),2)
+POWER(LN(Q810),2)
+POWER(LN(R810),2)
+POWER(LN(S810),2)
)
)))</f>
        <v>0.5569071410325479</v>
      </c>
    </row>
    <row r="811">
      <c r="A811" t="inlineStr">
        <is>
          <t>carbon dioxide storage at wood burning power plant 20 MW post, pipeline 200km, storage 1000m</t>
        </is>
      </c>
      <c r="B811">
        <f>unallocated!B289/I811*J811</f>
        <v>3.7258904928675153E-2</v>
      </c>
      <c r="C811" t="inlineStr">
        <is>
          <t>RER</t>
        </is>
      </c>
      <c r="D811" t="inlineStr">
        <is>
          <t>kilogram</t>
        </is>
      </c>
      <c r="F811" t="inlineStr">
        <is>
          <t>technosphere</t>
        </is>
      </c>
      <c r="G811" t="inlineStr">
        <is>
          <t>carbon dioxide storage at wood burning power plant 20 MW post, pipeline 200km, storage 1000m</t>
        </is>
      </c>
      <c r="I811" t="n">
        <v>7400</v>
      </c>
      <c r="J811" s="11">
        <f>J798</f>
        <v>0.33501323994191512</v>
      </c>
      <c r="K811" t="n">
        <v>2</v>
      </c>
      <c r="L811" s="3">
        <f>LN(B811)</f>
        <v>-3.2898643042385722</v>
      </c>
      <c r="M811" t="n">
        <v>1</v>
      </c>
      <c r="N811" t="n">
        <v>1</v>
      </c>
      <c r="O811" t="n">
        <v>1</v>
      </c>
      <c r="P811" t="n">
        <v>1.02</v>
      </c>
      <c r="Q811" t="n">
        <v>1.2</v>
      </c>
      <c r="R811" t="n">
        <v>1</v>
      </c>
      <c r="S811" t="n">
        <v>3</v>
      </c>
      <c r="T811">
        <f>LN(SQRT(EXP(
SQRT(
+POWER(LN(M811),2)
+POWER(LN(N811),2)
+POWER(LN(O811),2)
+POWER(LN(P811),2)
+POWER(LN(Q811),2)
+POWER(LN(R811),2)
+POWER(LN(S811),2)
)
)))</f>
        <v>0.5569071410325479</v>
      </c>
    </row>
    <row r="812">
      <c r="A812" t="inlineStr">
        <is>
          <t>Water, cooling, unspecified natural origin</t>
        </is>
      </c>
      <c r="B812">
        <f>unallocated!B290/I812*J812</f>
        <v>0</v>
      </c>
      <c r="D812" t="inlineStr">
        <is>
          <t>cubic meter</t>
        </is>
      </c>
      <c r="E812" t="inlineStr">
        <is>
          <t>natural resource::in water</t>
        </is>
      </c>
      <c r="F812" t="inlineStr">
        <is>
          <t>biosphere</t>
        </is>
      </c>
      <c r="I812" t="n">
        <v>7400</v>
      </c>
      <c r="J812" s="11">
        <f>J798</f>
        <v>0.33501323994191512</v>
      </c>
      <c r="K812" t="n">
        <v>0</v>
      </c>
      <c r="L812" s="3" t="n"/>
    </row>
    <row r="813">
      <c r="A813" t="inlineStr">
        <is>
          <t>Sulfur dioxide</t>
        </is>
      </c>
      <c r="B813">
        <f>unallocated!B291/I813*J813</f>
        <v>2.7163235670966091E-7</v>
      </c>
      <c r="D813" t="inlineStr">
        <is>
          <t>kilogram</t>
        </is>
      </c>
      <c r="E813" t="inlineStr">
        <is>
          <t>air::urban air close to ground</t>
        </is>
      </c>
      <c r="F813" t="inlineStr">
        <is>
          <t>biosphere</t>
        </is>
      </c>
      <c r="I813" t="n">
        <v>7400</v>
      </c>
      <c r="J813" s="11">
        <f>J798</f>
        <v>0.33501323994191512</v>
      </c>
      <c r="K813" t="n">
        <v>2</v>
      </c>
      <c r="L813" s="3">
        <f>LN(B813)</f>
        <v>-15.118816314669724</v>
      </c>
      <c r="M813" t="n">
        <v>1</v>
      </c>
      <c r="N813" t="n">
        <v>1</v>
      </c>
      <c r="O813" t="n">
        <v>1</v>
      </c>
      <c r="P813" t="n">
        <v>1.02</v>
      </c>
      <c r="Q813" t="n">
        <v>1.2</v>
      </c>
      <c r="R813" t="n">
        <v>1</v>
      </c>
      <c r="S813" t="n">
        <v>1.05</v>
      </c>
      <c r="T813">
        <f>LN(SQRT(EXP(
SQRT(
+POWER(LN(M813),2)
+POWER(LN(N813),2)
+POWER(LN(O813),2)
+POWER(LN(P813),2)
+POWER(LN(Q813),2)
+POWER(LN(R813),2)
+POWER(LN(S813),2)
)
)))</f>
        <v>9.4886477223156879E-2</v>
      </c>
    </row>
    <row r="814">
      <c r="A814" t="inlineStr">
        <is>
          <t>Hydrochloric acid</t>
        </is>
      </c>
      <c r="B814">
        <f>unallocated!B292/I814*J814</f>
        <v>1.3581617835483045E-7</v>
      </c>
      <c r="D814" t="inlineStr">
        <is>
          <t>kilogram</t>
        </is>
      </c>
      <c r="E814" t="inlineStr">
        <is>
          <t>air</t>
        </is>
      </c>
      <c r="F814" t="inlineStr">
        <is>
          <t>biosphere</t>
        </is>
      </c>
      <c r="I814" t="n">
        <v>7400</v>
      </c>
      <c r="J814" s="11">
        <f>J798</f>
        <v>0.33501323994191512</v>
      </c>
      <c r="K814" t="n">
        <v>2</v>
      </c>
      <c r="L814" s="3">
        <f>LN(B814)</f>
        <v>-15.811963495229669</v>
      </c>
      <c r="M814" t="n">
        <v>1</v>
      </c>
      <c r="N814" t="n">
        <v>1</v>
      </c>
      <c r="O814" t="n">
        <v>1</v>
      </c>
      <c r="P814" t="n">
        <v>1.02</v>
      </c>
      <c r="Q814" t="n">
        <v>1.2</v>
      </c>
      <c r="R814" t="n">
        <v>1</v>
      </c>
      <c r="S814" t="n">
        <v>1.5</v>
      </c>
      <c r="T814">
        <f>LN(SQRT(EXP(
SQRT(
+POWER(LN(M814),2)
+POWER(LN(N814),2)
+POWER(LN(O814),2)
+POWER(LN(P814),2)
+POWER(LN(Q814),2)
+POWER(LN(R814),2)
+POWER(LN(S814),2)
)
)))</f>
        <v>0.22250575723605889</v>
      </c>
    </row>
    <row r="815">
      <c r="A815" t="inlineStr">
        <is>
          <t>Nitrogen oxides</t>
        </is>
      </c>
      <c r="B815">
        <f>unallocated!B293/I815*J815</f>
        <v>3.0649184248740076E-5</v>
      </c>
      <c r="D815" t="inlineStr">
        <is>
          <t>kilogram</t>
        </is>
      </c>
      <c r="E815" t="inlineStr">
        <is>
          <t>air::urban air close to ground</t>
        </is>
      </c>
      <c r="F815" t="inlineStr">
        <is>
          <t>biosphere</t>
        </is>
      </c>
      <c r="I815" t="n">
        <v>7400</v>
      </c>
      <c r="J815" s="11">
        <f>J798</f>
        <v>0.33501323994191512</v>
      </c>
      <c r="K815" t="n">
        <v>2</v>
      </c>
      <c r="L815" s="3">
        <f>LN(B815)</f>
        <v>-10.392904510985504</v>
      </c>
      <c r="M815" t="n">
        <v>1</v>
      </c>
      <c r="N815" t="n">
        <v>1</v>
      </c>
      <c r="O815" t="n">
        <v>1</v>
      </c>
      <c r="P815" t="n">
        <v>1.02</v>
      </c>
      <c r="Q815" t="n">
        <v>1.2</v>
      </c>
      <c r="R815" t="n">
        <v>1</v>
      </c>
      <c r="S815" t="n">
        <v>1.5</v>
      </c>
      <c r="T815">
        <f>LN(SQRT(EXP(
SQRT(
+POWER(LN(M815),2)
+POWER(LN(N815),2)
+POWER(LN(O815),2)
+POWER(LN(P815),2)
+POWER(LN(Q815),2)
+POWER(LN(R815),2)
+POWER(LN(S815),2)
)
)))</f>
        <v>0.22250575723605889</v>
      </c>
    </row>
    <row r="816">
      <c r="A816" t="inlineStr">
        <is>
          <t>Ammonia</t>
        </is>
      </c>
      <c r="B816">
        <f>unallocated!B294/I816*J816</f>
        <v>9.0544118903220299E-7</v>
      </c>
      <c r="D816" t="inlineStr">
        <is>
          <t>kilogram</t>
        </is>
      </c>
      <c r="E816" t="inlineStr">
        <is>
          <t>air::urban air close to ground</t>
        </is>
      </c>
      <c r="F816" t="inlineStr">
        <is>
          <t>biosphere</t>
        </is>
      </c>
      <c r="I816" t="n">
        <v>7400</v>
      </c>
      <c r="J816" s="11">
        <f>J798</f>
        <v>0.33501323994191512</v>
      </c>
      <c r="K816" t="n">
        <v>2</v>
      </c>
      <c r="L816" s="3">
        <f>LN(B816)</f>
        <v>-13.914843510343788</v>
      </c>
      <c r="M816" t="n">
        <v>1</v>
      </c>
      <c r="N816" t="n">
        <v>1</v>
      </c>
      <c r="O816" t="n">
        <v>1</v>
      </c>
      <c r="P816" t="n">
        <v>1.02</v>
      </c>
      <c r="Q816" t="n">
        <v>1.2</v>
      </c>
      <c r="R816" t="n">
        <v>1</v>
      </c>
      <c r="S816" t="n">
        <v>1.5</v>
      </c>
      <c r="T816">
        <f>LN(SQRT(EXP(
SQRT(
+POWER(LN(M816),2)
+POWER(LN(N816),2)
+POWER(LN(O816),2)
+POWER(LN(P816),2)
+POWER(LN(Q816),2)
+POWER(LN(R816),2)
+POWER(LN(S816),2)
)
)))</f>
        <v>0.22250575723605889</v>
      </c>
    </row>
    <row r="817">
      <c r="A817" t="inlineStr">
        <is>
          <t>Particulate Matter, &lt; 2.5 um</t>
        </is>
      </c>
      <c r="B817">
        <f>unallocated!B295/I817*J817</f>
        <v>2.7163235670966091E-7</v>
      </c>
      <c r="D817" t="inlineStr">
        <is>
          <t>kilogram</t>
        </is>
      </c>
      <c r="E817" t="inlineStr">
        <is>
          <t>air::urban air close to ground</t>
        </is>
      </c>
      <c r="F817" t="inlineStr">
        <is>
          <t>biosphere</t>
        </is>
      </c>
      <c r="I817" t="n">
        <v>7400</v>
      </c>
      <c r="J817" s="11">
        <f>J798</f>
        <v>0.33501323994191512</v>
      </c>
      <c r="K817" t="n">
        <v>2</v>
      </c>
      <c r="L817" s="3">
        <f>LN(B817)</f>
        <v>-15.118816314669724</v>
      </c>
      <c r="M817" t="n">
        <v>1</v>
      </c>
      <c r="N817" t="n">
        <v>1</v>
      </c>
      <c r="O817" t="n">
        <v>1</v>
      </c>
      <c r="P817" t="n">
        <v>1.02</v>
      </c>
      <c r="Q817" t="n">
        <v>1.2</v>
      </c>
      <c r="R817" t="n">
        <v>1</v>
      </c>
      <c r="S817" t="n">
        <v>3</v>
      </c>
      <c r="T817">
        <f>LN(SQRT(EXP(
SQRT(
+POWER(LN(M817),2)
+POWER(LN(N817),2)
+POWER(LN(O817),2)
+POWER(LN(P817),2)
+POWER(LN(Q817),2)
+POWER(LN(R817),2)
+POWER(LN(S817),2)
)
)))</f>
        <v>0.5569071410325479</v>
      </c>
    </row>
    <row r="818">
      <c r="A818" t="inlineStr">
        <is>
          <t>Mercury II</t>
        </is>
      </c>
      <c r="B818">
        <f>unallocated!B296/I818*J818</f>
        <v>2.716323567096609E-10</v>
      </c>
      <c r="D818" t="inlineStr">
        <is>
          <t>kilogram</t>
        </is>
      </c>
      <c r="E818" t="inlineStr">
        <is>
          <t>air::urban air close to ground</t>
        </is>
      </c>
      <c r="F818" t="inlineStr">
        <is>
          <t>biosphere</t>
        </is>
      </c>
      <c r="I818" t="n">
        <v>7400</v>
      </c>
      <c r="J818" s="11">
        <f>J798</f>
        <v>0.33501323994191512</v>
      </c>
      <c r="K818" t="n">
        <v>2</v>
      </c>
      <c r="L818" s="3">
        <f>LN(B818)</f>
        <v>-22.026571593651862</v>
      </c>
      <c r="M818" t="n">
        <v>1</v>
      </c>
      <c r="N818" t="n">
        <v>1</v>
      </c>
      <c r="O818" t="n">
        <v>1</v>
      </c>
      <c r="P818" t="n">
        <v>1.02</v>
      </c>
      <c r="Q818" t="n">
        <v>1.2</v>
      </c>
      <c r="R818" t="n">
        <v>1</v>
      </c>
      <c r="S818" t="n">
        <v>5</v>
      </c>
      <c r="T818">
        <f>LN(SQRT(EXP(
SQRT(
+POWER(LN(M818),2)
+POWER(LN(N818),2)
+POWER(LN(O818),2)
+POWER(LN(P818),2)
+POWER(LN(Q818),2)
+POWER(LN(R818),2)
+POWER(LN(S818),2)
)
)))</f>
        <v>0.80992649174166365</v>
      </c>
    </row>
    <row r="819">
      <c r="A819" t="inlineStr">
        <is>
          <t>Lead II</t>
        </is>
      </c>
      <c r="B819">
        <f>unallocated!B297/I819*J819</f>
        <v>2.716323567096609E-10</v>
      </c>
      <c r="D819" t="inlineStr">
        <is>
          <t>kilogram</t>
        </is>
      </c>
      <c r="E819" t="inlineStr">
        <is>
          <t>air::urban air close to ground</t>
        </is>
      </c>
      <c r="F819" t="inlineStr">
        <is>
          <t>biosphere</t>
        </is>
      </c>
      <c r="I819" t="n">
        <v>7400</v>
      </c>
      <c r="J819" s="11">
        <f>J798</f>
        <v>0.33501323994191512</v>
      </c>
      <c r="K819" t="n">
        <v>2</v>
      </c>
      <c r="L819" s="3">
        <f>LN(B819)</f>
        <v>-22.026571593651862</v>
      </c>
      <c r="M819" t="n">
        <v>1</v>
      </c>
      <c r="N819" t="n">
        <v>1</v>
      </c>
      <c r="O819" t="n">
        <v>1</v>
      </c>
      <c r="P819" t="n">
        <v>1.02</v>
      </c>
      <c r="Q819" t="n">
        <v>1.2</v>
      </c>
      <c r="R819" t="n">
        <v>1</v>
      </c>
      <c r="S819" t="n">
        <v>5</v>
      </c>
      <c r="T819">
        <f>LN(SQRT(EXP(
SQRT(
+POWER(LN(M819),2)
+POWER(LN(N819),2)
+POWER(LN(O819),2)
+POWER(LN(P819),2)
+POWER(LN(Q819),2)
+POWER(LN(R819),2)
+POWER(LN(S819),2)
)
)))</f>
        <v>0.80992649174166365</v>
      </c>
    </row>
    <row r="820">
      <c r="A820" t="inlineStr">
        <is>
          <t>Cadmium II</t>
        </is>
      </c>
      <c r="B820">
        <f>unallocated!B298/I820*J820</f>
        <v>1.3581617835483045E-10</v>
      </c>
      <c r="D820" t="inlineStr">
        <is>
          <t>kilogram</t>
        </is>
      </c>
      <c r="E820" t="inlineStr">
        <is>
          <t>air::urban air close to ground</t>
        </is>
      </c>
      <c r="F820" t="inlineStr">
        <is>
          <t>biosphere</t>
        </is>
      </c>
      <c r="I820" t="n">
        <v>7400</v>
      </c>
      <c r="J820" s="11">
        <f>J798</f>
        <v>0.33501323994191512</v>
      </c>
      <c r="K820" t="n">
        <v>2</v>
      </c>
      <c r="L820" s="3">
        <f>LN(B820)</f>
        <v>-22.719718774211806</v>
      </c>
      <c r="M820" t="n">
        <v>1</v>
      </c>
      <c r="N820" t="n">
        <v>1</v>
      </c>
      <c r="O820" t="n">
        <v>1</v>
      </c>
      <c r="P820" t="n">
        <v>1.02</v>
      </c>
      <c r="Q820" t="n">
        <v>1.2</v>
      </c>
      <c r="R820" t="n">
        <v>1</v>
      </c>
      <c r="S820" t="n">
        <v>5</v>
      </c>
      <c r="T820">
        <f>LN(SQRT(EXP(
SQRT(
+POWER(LN(M820),2)
+POWER(LN(N820),2)
+POWER(LN(O820),2)
+POWER(LN(P820),2)
+POWER(LN(Q820),2)
+POWER(LN(R820),2)
+POWER(LN(S820),2)
)
)))</f>
        <v>0.80992649174166365</v>
      </c>
    </row>
    <row r="821">
      <c r="A821" t="inlineStr">
        <is>
          <t>Arsenic ion</t>
        </is>
      </c>
      <c r="B821">
        <f>unallocated!B299/I821*J821</f>
        <v>1.3581617835483045E-10</v>
      </c>
      <c r="D821" t="inlineStr">
        <is>
          <t>kilogram</t>
        </is>
      </c>
      <c r="E821" t="inlineStr">
        <is>
          <t>air::urban air close to ground</t>
        </is>
      </c>
      <c r="F821" t="inlineStr">
        <is>
          <t>biosphere</t>
        </is>
      </c>
      <c r="I821" t="n">
        <v>7400</v>
      </c>
      <c r="J821" s="11">
        <f>J798</f>
        <v>0.33501323994191512</v>
      </c>
      <c r="K821" t="n">
        <v>2</v>
      </c>
      <c r="L821" s="3">
        <f>LN(B821)</f>
        <v>-22.719718774211806</v>
      </c>
      <c r="M821" t="n">
        <v>1</v>
      </c>
      <c r="N821" t="n">
        <v>1</v>
      </c>
      <c r="O821" t="n">
        <v>1</v>
      </c>
      <c r="P821" t="n">
        <v>1.02</v>
      </c>
      <c r="Q821" t="n">
        <v>1.2</v>
      </c>
      <c r="R821" t="n">
        <v>1</v>
      </c>
      <c r="S821" t="n">
        <v>5</v>
      </c>
      <c r="T821">
        <f>LN(SQRT(EXP(
SQRT(
+POWER(LN(M821),2)
+POWER(LN(N821),2)
+POWER(LN(O821),2)
+POWER(LN(P821),2)
+POWER(LN(Q821),2)
+POWER(LN(R821),2)
+POWER(LN(S821),2)
)
)))</f>
        <v>0.80992649174166365</v>
      </c>
    </row>
    <row r="822">
      <c r="A822" t="inlineStr">
        <is>
          <t>Dioxins, measured as 2,3,7,8-tetrachlorodibenzo-p-dioxin</t>
        </is>
      </c>
      <c r="B822">
        <f>unallocated!B300/I822*J822</f>
        <v>4.9799265396771163E-15</v>
      </c>
      <c r="D822" t="inlineStr">
        <is>
          <t>kilogram</t>
        </is>
      </c>
      <c r="E822" t="inlineStr">
        <is>
          <t>air::urban air close to ground</t>
        </is>
      </c>
      <c r="F822" t="inlineStr">
        <is>
          <t>biosphere</t>
        </is>
      </c>
      <c r="I822" t="n">
        <v>7400</v>
      </c>
      <c r="J822" s="11">
        <f>J798</f>
        <v>0.33501323994191512</v>
      </c>
      <c r="K822" t="n">
        <v>2</v>
      </c>
      <c r="L822" s="3">
        <f>LN(B822)</f>
        <v>-32.933361255051771</v>
      </c>
      <c r="M822" t="n">
        <v>1</v>
      </c>
      <c r="N822" t="n">
        <v>1</v>
      </c>
      <c r="O822" t="n">
        <v>1</v>
      </c>
      <c r="P822" t="n">
        <v>1.02</v>
      </c>
      <c r="Q822" t="n">
        <v>1.2</v>
      </c>
      <c r="R822" t="n">
        <v>1</v>
      </c>
      <c r="S822" t="n">
        <v>5</v>
      </c>
      <c r="T822">
        <f>LN(SQRT(EXP(
SQRT(
+POWER(LN(M822),2)
+POWER(LN(N822),2)
+POWER(LN(O822),2)
+POWER(LN(P822),2)
+POWER(LN(Q822),2)
+POWER(LN(R822),2)
+POWER(LN(S822),2)
)
)))</f>
        <v>0.80992649174166365</v>
      </c>
    </row>
    <row r="823">
      <c r="A823" t="inlineStr">
        <is>
          <t>Carbon dioxide, fossil</t>
        </is>
      </c>
      <c r="B823">
        <f>unallocated!B301/I823*J823</f>
        <v>2.5352353292901683E-3</v>
      </c>
      <c r="D823" t="inlineStr">
        <is>
          <t>kilogram</t>
        </is>
      </c>
      <c r="E823" t="inlineStr">
        <is>
          <t>air::urban air close to ground</t>
        </is>
      </c>
      <c r="F823" t="inlineStr">
        <is>
          <t>biosphere</t>
        </is>
      </c>
      <c r="I823" t="n">
        <v>7400</v>
      </c>
      <c r="J823" s="11">
        <f>J798</f>
        <v>0.33501323994191512</v>
      </c>
      <c r="K823" t="n">
        <v>2</v>
      </c>
      <c r="L823" s="3">
        <f>LN(B823)</f>
        <v>-5.9774688141804928</v>
      </c>
      <c r="M823" t="n">
        <v>1</v>
      </c>
      <c r="N823" t="n">
        <v>1</v>
      </c>
      <c r="O823" t="n">
        <v>1</v>
      </c>
      <c r="P823" t="n">
        <v>1.02</v>
      </c>
      <c r="Q823" t="n">
        <v>1.2</v>
      </c>
      <c r="R823" t="n">
        <v>1</v>
      </c>
      <c r="S823" t="n">
        <v>1.05</v>
      </c>
      <c r="T823">
        <f>LN(SQRT(EXP(
SQRT(
+POWER(LN(M823),2)
+POWER(LN(N823),2)
+POWER(LN(O823),2)
+POWER(LN(P823),2)
+POWER(LN(Q823),2)
+POWER(LN(R823),2)
+POWER(LN(S823),2)
)
)))</f>
        <v>9.4886477223156879E-2</v>
      </c>
    </row>
    <row r="824">
      <c r="A824" t="inlineStr">
        <is>
          <t>Carbon dioxide, non-fossil</t>
        </is>
      </c>
      <c r="B824">
        <f>unallocated!B302/I824*J824</f>
        <v>4.0292132911933032E-3</v>
      </c>
      <c r="D824" t="inlineStr">
        <is>
          <t>kilogram</t>
        </is>
      </c>
      <c r="E824" t="inlineStr">
        <is>
          <t>air::urban air close to ground</t>
        </is>
      </c>
      <c r="F824" t="inlineStr">
        <is>
          <t>biosphere</t>
        </is>
      </c>
      <c r="I824" t="n">
        <v>7400</v>
      </c>
      <c r="J824" s="14">
        <f>J798</f>
        <v>0.33501323994191512</v>
      </c>
      <c r="K824" t="n">
        <v>2</v>
      </c>
      <c r="L824" s="3">
        <f>LN(B824)</f>
        <v>-5.5141841351835019</v>
      </c>
      <c r="M824" t="n">
        <v>1</v>
      </c>
      <c r="N824" t="n">
        <v>1</v>
      </c>
      <c r="O824" t="n">
        <v>1</v>
      </c>
      <c r="P824" t="n">
        <v>1.02</v>
      </c>
      <c r="Q824" t="n">
        <v>1.2</v>
      </c>
      <c r="R824" t="n">
        <v>1</v>
      </c>
      <c r="S824" t="n">
        <v>1.05</v>
      </c>
      <c r="T824">
        <f>LN(SQRT(EXP(
SQRT(
+POWER(LN(M824),2)
+POWER(LN(N824),2)
+POWER(LN(O824),2)
+POWER(LN(P824),2)
+POWER(LN(Q824),2)
+POWER(LN(R824),2)
+POWER(LN(S824),2)
)
)))</f>
        <v>9.4886477223156879E-2</v>
      </c>
    </row>
    <row r="825">
      <c r="A825" t="inlineStr">
        <is>
          <t>Carbon dioxide, in air</t>
        </is>
      </c>
      <c r="B825">
        <f>unallocated!B303/I825*J825</f>
        <v>2.2862390023063124E-2</v>
      </c>
      <c r="D825" t="inlineStr">
        <is>
          <t>kilogram</t>
        </is>
      </c>
      <c r="E825" t="inlineStr">
        <is>
          <t>natural resource::in air</t>
        </is>
      </c>
      <c r="F825" t="inlineStr">
        <is>
          <t>biosphere</t>
        </is>
      </c>
      <c r="H825" t="inlineStr">
        <is>
          <t>To reflect the permanent storage of non-fossil CO.</t>
        </is>
      </c>
      <c r="I825" t="n">
        <v>7400</v>
      </c>
      <c r="J825" s="14">
        <f>J798</f>
        <v>0.33501323994191512</v>
      </c>
      <c r="K825" t="n">
        <v>2</v>
      </c>
      <c r="L825" s="3">
        <f>LN(B825)</f>
        <v>-3.7782620756402823</v>
      </c>
      <c r="M825" t="n">
        <v>1</v>
      </c>
      <c r="N825" t="n">
        <v>1</v>
      </c>
      <c r="O825" t="n">
        <v>1</v>
      </c>
      <c r="P825" t="n">
        <v>1.02</v>
      </c>
      <c r="Q825" t="n">
        <v>1.2</v>
      </c>
      <c r="R825" t="n">
        <v>1</v>
      </c>
      <c r="S825" t="n">
        <v>1.05</v>
      </c>
      <c r="T825">
        <f>LN(SQRT(EXP(
SQRT(
+POWER(LN(M825),2)
+POWER(LN(N825),2)
+POWER(LN(O825),2)
+POWER(LN(P825),2)
+POWER(LN(Q825),2)
+POWER(LN(R825),2)
+POWER(LN(S825),2)
)
)))</f>
        <v>9.4886477223156879E-2</v>
      </c>
    </row>
    <row r="826"/>
    <row r="827">
      <c r="A827" s="1" t="inlineStr">
        <is>
          <t>Activity</t>
        </is>
      </c>
      <c r="B827" s="1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</row>
    <row r="828">
      <c r="A828" t="inlineStr">
        <is>
          <t>location</t>
        </is>
      </c>
      <c r="B828" t="inlineStr">
        <is>
          <t>RER</t>
        </is>
      </c>
    </row>
    <row r="829">
      <c r="A829" t="inlineStr">
        <is>
          <t>production amount</t>
        </is>
      </c>
      <c r="B829" t="n">
        <v>1</v>
      </c>
    </row>
    <row r="830">
      <c r="A830" s="2" t="inlineStr">
        <is>
          <t>source</t>
        </is>
      </c>
      <c r="B830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831">
      <c r="A831" t="inlineStr">
        <is>
          <t>reference product</t>
        </is>
      </c>
      <c r="B831" t="inlineStr">
        <is>
          <t>municipal solid waste</t>
        </is>
      </c>
    </row>
    <row r="832">
      <c r="A832" t="inlineStr">
        <is>
          <t>type</t>
        </is>
      </c>
      <c r="B832" t="inlineStr">
        <is>
          <t>process</t>
        </is>
      </c>
    </row>
    <row r="833">
      <c r="A833" t="inlineStr">
        <is>
          <t>unit</t>
        </is>
      </c>
      <c r="B833" t="inlineStr">
        <is>
          <t>kilogram</t>
        </is>
      </c>
    </row>
    <row r="834">
      <c r="A834" t="inlineStr">
        <is>
          <t>comment</t>
        </is>
      </c>
      <c r="B834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835">
      <c r="A835" s="1" t="inlineStr">
        <is>
          <t>Exchanges</t>
        </is>
      </c>
    </row>
    <row r="836">
      <c r="A836" s="7" t="inlineStr">
        <is>
          <t>name</t>
        </is>
      </c>
      <c r="B836" s="7" t="inlineStr">
        <is>
          <t>amount</t>
        </is>
      </c>
      <c r="C836" s="7" t="inlineStr">
        <is>
          <t>location</t>
        </is>
      </c>
      <c r="D836" s="7" t="inlineStr">
        <is>
          <t>unit</t>
        </is>
      </c>
      <c r="E836" s="7" t="inlineStr">
        <is>
          <t>categories</t>
        </is>
      </c>
      <c r="F836" s="7" t="inlineStr">
        <is>
          <t>type</t>
        </is>
      </c>
      <c r="G836" s="7" t="inlineStr">
        <is>
          <t>reference product</t>
        </is>
      </c>
      <c r="H836" s="7" t="inlineStr">
        <is>
          <t>comment</t>
        </is>
      </c>
      <c r="I836" s="7" t="inlineStr">
        <is>
          <t>normalization</t>
        </is>
      </c>
      <c r="J836" s="7" t="inlineStr">
        <is>
          <t>allocation</t>
        </is>
      </c>
      <c r="K836" s="7" t="inlineStr">
        <is>
          <t>uncertainty type</t>
        </is>
      </c>
      <c r="L836" s="7" t="inlineStr">
        <is>
          <t>loc</t>
        </is>
      </c>
      <c r="M836" s="1" t="inlineStr">
        <is>
          <t>u1</t>
        </is>
      </c>
      <c r="N836" s="1" t="inlineStr">
        <is>
          <t>u2</t>
        </is>
      </c>
      <c r="O836" s="1" t="inlineStr">
        <is>
          <t>u3</t>
        </is>
      </c>
      <c r="P836" s="1" t="inlineStr">
        <is>
          <t>u4</t>
        </is>
      </c>
      <c r="Q836" s="1" t="inlineStr">
        <is>
          <t>u5</t>
        </is>
      </c>
      <c r="R836" s="1" t="inlineStr">
        <is>
          <t>u6</t>
        </is>
      </c>
      <c r="S836" s="1" t="inlineStr">
        <is>
          <t>ub</t>
        </is>
      </c>
      <c r="T836" s="1" t="inlineStr">
        <is>
          <t>scale</t>
        </is>
      </c>
      <c r="U836" s="1" t="inlineStr">
        <is>
          <t>negative</t>
        </is>
      </c>
    </row>
    <row r="837">
      <c r="A837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B837" t="n">
        <v>1</v>
      </c>
      <c r="C837" t="inlineStr">
        <is>
          <t>RER</t>
        </is>
      </c>
      <c r="D837" t="inlineStr">
        <is>
          <t>kilogram</t>
        </is>
      </c>
      <c r="F837" t="inlineStr">
        <is>
          <t>production</t>
        </is>
      </c>
      <c r="G837" t="inlineStr">
        <is>
          <t>municipal solid waste</t>
        </is>
      </c>
      <c r="H837" t="inlineStr"/>
      <c r="I837" t="n">
        <v>1000</v>
      </c>
      <c r="J837" s="14">
        <f>INDEX('allocation keys'!$L$4:$N$30,MATCH('allocated (economic)'!$B$827,'allocation keys'!$B$4:$B$30,0),MATCH('allocated (economic)'!$B$831,'allocation keys'!$L$3:$N$3,0))</f>
        <v>0.47417650073038481</v>
      </c>
      <c r="K837" t="n">
        <v>0</v>
      </c>
      <c r="M837" s="5" t="n"/>
      <c r="N837" s="5" t="n"/>
      <c r="O837" s="5" t="n"/>
      <c r="P837" s="5" t="n"/>
      <c r="Q837" s="5" t="n"/>
      <c r="R837" s="5" t="n"/>
    </row>
    <row r="838">
      <c r="A838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B838" s="6" t="n">
        <v>0</v>
      </c>
      <c r="C838" t="inlineStr">
        <is>
          <t>RER</t>
        </is>
      </c>
      <c r="D838" t="inlineStr">
        <is>
          <t>kilowatt hour</t>
        </is>
      </c>
      <c r="F838" t="inlineStr">
        <is>
          <t>technosphere</t>
        </is>
      </c>
      <c r="G838" t="inlineStr">
        <is>
          <t>electricity, medium voltage</t>
        </is>
      </c>
      <c r="H838" t="inlineStr"/>
      <c r="I838" t="n">
        <v>1000</v>
      </c>
      <c r="J838" s="11">
        <f>J837</f>
        <v>0.47417650073038481</v>
      </c>
      <c r="K838" t="n">
        <v>0</v>
      </c>
      <c r="L838" s="3" t="n"/>
    </row>
    <row r="839">
      <c r="A839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B839" t="n">
        <v>0</v>
      </c>
      <c r="C839" t="inlineStr">
        <is>
          <t>RER</t>
        </is>
      </c>
      <c r="D839" t="inlineStr">
        <is>
          <t>megajoule</t>
        </is>
      </c>
      <c r="F839" t="inlineStr">
        <is>
          <t>technosphere</t>
        </is>
      </c>
      <c r="G839" t="inlineStr">
        <is>
          <t>heat, district or industrial, other than natural gas</t>
        </is>
      </c>
      <c r="H839" t="inlineStr"/>
      <c r="I839" t="n">
        <v>1000</v>
      </c>
      <c r="J839" s="11">
        <f>J837</f>
        <v>0.47417650073038481</v>
      </c>
      <c r="K839" t="n">
        <v>0</v>
      </c>
      <c r="L839" s="3" t="n"/>
    </row>
    <row r="840">
      <c r="A840" t="inlineStr">
        <is>
          <t>market for diesel, low-sulfur</t>
        </is>
      </c>
      <c r="B840">
        <f>unallocated!B318/I840*J840</f>
        <v>4.0305002562082709E-5</v>
      </c>
      <c r="C840" t="inlineStr">
        <is>
          <t>Europe without Switzerland</t>
        </is>
      </c>
      <c r="D840" t="inlineStr">
        <is>
          <t>kilogram</t>
        </is>
      </c>
      <c r="F840" t="inlineStr">
        <is>
          <t>technosphere</t>
        </is>
      </c>
      <c r="G840" t="inlineStr">
        <is>
          <t>diesel, low-sulfur</t>
        </is>
      </c>
      <c r="H840" t="inlineStr">
        <is>
          <t>Diesel density: 0.85 kg/l</t>
        </is>
      </c>
      <c r="I840" t="n">
        <v>1000</v>
      </c>
      <c r="J840" s="11">
        <f>J837</f>
        <v>0.47417650073038481</v>
      </c>
      <c r="K840" t="n">
        <v>2</v>
      </c>
      <c r="L840" s="3">
        <f>LN(B840)</f>
        <v>-10.119034963661345</v>
      </c>
      <c r="M840" t="n">
        <v>1</v>
      </c>
      <c r="N840" t="n">
        <v>1</v>
      </c>
      <c r="O840" t="n">
        <v>1</v>
      </c>
      <c r="P840" t="n">
        <v>1.02</v>
      </c>
      <c r="Q840" t="n">
        <v>1.2</v>
      </c>
      <c r="R840" t="n">
        <v>1</v>
      </c>
      <c r="S840" t="n">
        <v>1.05</v>
      </c>
      <c r="T840">
        <f>LN(SQRT(EXP(
SQRT(
+POWER(LN(M840),2)
+POWER(LN(N840),2)
+POWER(LN(O840),2)
+POWER(LN(P840),2)
+POWER(LN(Q840),2)
+POWER(LN(R840),2)
+POWER(LN(S840),2)
)
)))</f>
        <v>9.4886477223156879E-2</v>
      </c>
    </row>
    <row r="841">
      <c r="A841" t="inlineStr">
        <is>
          <t>market for activated carbon, granular</t>
        </is>
      </c>
      <c r="B841">
        <f>unallocated!B319/I841*J841</f>
        <v>1.8967060029215392E-4</v>
      </c>
      <c r="C841" t="inlineStr">
        <is>
          <t>GLO</t>
        </is>
      </c>
      <c r="D841" t="inlineStr">
        <is>
          <t>kilogram</t>
        </is>
      </c>
      <c r="F841" t="inlineStr">
        <is>
          <t>technosphere</t>
        </is>
      </c>
      <c r="G841" t="inlineStr">
        <is>
          <t>activated carbon, granular</t>
        </is>
      </c>
      <c r="I841" t="n">
        <v>1000</v>
      </c>
      <c r="J841" s="11">
        <f>J837</f>
        <v>0.47417650073038481</v>
      </c>
      <c r="K841" t="n">
        <v>2</v>
      </c>
      <c r="L841" s="3">
        <f>LN(B841)</f>
        <v>-8.5702216730436795</v>
      </c>
      <c r="M841" t="n">
        <v>1</v>
      </c>
      <c r="N841" t="n">
        <v>1</v>
      </c>
      <c r="O841" t="n">
        <v>1</v>
      </c>
      <c r="P841" t="n">
        <v>1.02</v>
      </c>
      <c r="Q841" t="n">
        <v>1.2</v>
      </c>
      <c r="R841" t="n">
        <v>1</v>
      </c>
      <c r="S841" t="n">
        <v>1.05</v>
      </c>
      <c r="T841">
        <f>LN(SQRT(EXP(
SQRT(
+POWER(LN(M841),2)
+POWER(LN(N841),2)
+POWER(LN(O841),2)
+POWER(LN(P841),2)
+POWER(LN(Q841),2)
+POWER(LN(R841),2)
+POWER(LN(S841),2)
)
)))</f>
        <v>9.4886477223156879E-2</v>
      </c>
    </row>
    <row r="842">
      <c r="A842" t="inlineStr">
        <is>
          <t>market for ammonia, anhydrous, liquid</t>
        </is>
      </c>
      <c r="B842">
        <f>unallocated!B320/I842*J842</f>
        <v>4.6469297071577708E-4</v>
      </c>
      <c r="C842" t="inlineStr">
        <is>
          <t>RER</t>
        </is>
      </c>
      <c r="D842" t="inlineStr">
        <is>
          <t>kilogram</t>
        </is>
      </c>
      <c r="F842" t="inlineStr">
        <is>
          <t>technosphere</t>
        </is>
      </c>
      <c r="G842" t="inlineStr">
        <is>
          <t>ammonia, anhydrous, liquid</t>
        </is>
      </c>
      <c r="H842" t="inlineStr">
        <is>
          <t>100% liquid ammonia. In original publication, it is dilluated to 23.5% in water. We discount the original value by 75%.</t>
        </is>
      </c>
      <c r="I842" t="n">
        <v>1000</v>
      </c>
      <c r="J842" s="11">
        <f>J837</f>
        <v>0.47417650073038481</v>
      </c>
      <c r="K842" t="n">
        <v>2</v>
      </c>
      <c r="L842" s="3">
        <f>LN(B842)</f>
        <v>-7.6741336484870439</v>
      </c>
      <c r="M842" t="n">
        <v>1</v>
      </c>
      <c r="N842" t="n">
        <v>1</v>
      </c>
      <c r="O842" t="n">
        <v>1</v>
      </c>
      <c r="P842" t="n">
        <v>1.02</v>
      </c>
      <c r="Q842" t="n">
        <v>1.2</v>
      </c>
      <c r="R842" t="n">
        <v>1</v>
      </c>
      <c r="S842" t="n">
        <v>1.05</v>
      </c>
      <c r="T842">
        <f>LN(SQRT(EXP(
SQRT(
+POWER(LN(M842),2)
+POWER(LN(N842),2)
+POWER(LN(O842),2)
+POWER(LN(P842),2)
+POWER(LN(Q842),2)
+POWER(LN(R842),2)
+POWER(LN(S842),2)
)
)))</f>
        <v>9.4886477223156879E-2</v>
      </c>
    </row>
    <row r="843">
      <c r="A843" t="inlineStr">
        <is>
          <t>market for tap water</t>
        </is>
      </c>
      <c r="B843">
        <f>unallocated!B321/I843*J843</f>
        <v>1.4320130322057621E-3</v>
      </c>
      <c r="C843" t="inlineStr">
        <is>
          <t>Europe without Switzerland</t>
        </is>
      </c>
      <c r="D843" t="inlineStr">
        <is>
          <t>kilogram</t>
        </is>
      </c>
      <c r="F843" t="inlineStr">
        <is>
          <t>technosphere</t>
        </is>
      </c>
      <c r="G843" t="inlineStr">
        <is>
          <t>tap water</t>
        </is>
      </c>
      <c r="H843" t="inlineStr">
        <is>
          <t>Used to dilute the ammonia.</t>
        </is>
      </c>
      <c r="I843" t="n">
        <v>1000</v>
      </c>
      <c r="J843" s="11">
        <f>J837</f>
        <v>0.47417650073038481</v>
      </c>
      <c r="K843" t="n">
        <v>2</v>
      </c>
      <c r="L843" s="3">
        <f>LN(B843)</f>
        <v>-6.5486741097827466</v>
      </c>
      <c r="M843" t="n">
        <v>1</v>
      </c>
      <c r="N843" t="n">
        <v>1</v>
      </c>
      <c r="O843" t="n">
        <v>1</v>
      </c>
      <c r="P843" t="n">
        <v>1.02</v>
      </c>
      <c r="Q843" t="n">
        <v>1.2</v>
      </c>
      <c r="R843" t="n">
        <v>1</v>
      </c>
      <c r="S843" t="n">
        <v>1.05</v>
      </c>
      <c r="T843">
        <f>LN(SQRT(EXP(
SQRT(
+POWER(LN(M843),2)
+POWER(LN(N843),2)
+POWER(LN(O843),2)
+POWER(LN(P843),2)
+POWER(LN(Q843),2)
+POWER(LN(R843),2)
+POWER(LN(S843),2)
)
)))</f>
        <v>9.4886477223156879E-2</v>
      </c>
    </row>
    <row r="844">
      <c r="A844" t="inlineStr">
        <is>
          <t>market for calcium carbonate, precipitated</t>
        </is>
      </c>
      <c r="B844">
        <f>unallocated!B322/I844*J844</f>
        <v>3.3192355051126937E-3</v>
      </c>
      <c r="C844" t="inlineStr">
        <is>
          <t>RER</t>
        </is>
      </c>
      <c r="D844" t="inlineStr">
        <is>
          <t>kilogram</t>
        </is>
      </c>
      <c r="F844" t="inlineStr">
        <is>
          <t>technosphere</t>
        </is>
      </c>
      <c r="G844" t="inlineStr">
        <is>
          <t>calcium carbonate, precipitated</t>
        </is>
      </c>
      <c r="I844" t="n">
        <v>1000</v>
      </c>
      <c r="J844" s="11">
        <f>J837</f>
        <v>0.47417650073038481</v>
      </c>
      <c r="K844" t="n">
        <v>0</v>
      </c>
      <c r="L844" s="3" t="n"/>
    </row>
    <row r="845">
      <c r="A845" t="inlineStr">
        <is>
          <t>market for iron(III) chloride, without water, in 40% solution state</t>
        </is>
      </c>
      <c r="B845">
        <f>unallocated!B323/I845*J845</f>
        <v>2.370882503651924E-5</v>
      </c>
      <c r="C845" t="inlineStr">
        <is>
          <t>GLO</t>
        </is>
      </c>
      <c r="D845" t="inlineStr">
        <is>
          <t>kilogram</t>
        </is>
      </c>
      <c r="F845" t="inlineStr">
        <is>
          <t>technosphere</t>
        </is>
      </c>
      <c r="G845" t="inlineStr">
        <is>
          <t>iron(III) chloride, without water, in 40% solution state</t>
        </is>
      </c>
      <c r="I845" t="n">
        <v>1000</v>
      </c>
      <c r="J845" s="11">
        <f>J837</f>
        <v>0.47417650073038481</v>
      </c>
      <c r="K845" t="n">
        <v>0</v>
      </c>
      <c r="L845" s="3" t="n"/>
    </row>
    <row r="846">
      <c r="A846" t="inlineStr">
        <is>
          <t>market for lime, hydrated, packed</t>
        </is>
      </c>
      <c r="B846">
        <f>unallocated!B324/I846*J846</f>
        <v>0</v>
      </c>
      <c r="C846" t="inlineStr">
        <is>
          <t>RER</t>
        </is>
      </c>
      <c r="D846" t="inlineStr">
        <is>
          <t>kilogram</t>
        </is>
      </c>
      <c r="F846" t="inlineStr">
        <is>
          <t>technosphere</t>
        </is>
      </c>
      <c r="G846" t="inlineStr">
        <is>
          <t>lime, hydrated, packed</t>
        </is>
      </c>
      <c r="I846" t="n">
        <v>1000</v>
      </c>
      <c r="J846" s="11">
        <f>J837</f>
        <v>0.47417650073038481</v>
      </c>
      <c r="K846" t="n">
        <v>0</v>
      </c>
      <c r="L846" s="3" t="n"/>
    </row>
    <row r="847">
      <c r="A847" t="inlineStr">
        <is>
          <t>market for sodium hydroxide, without water, in 50% solution state</t>
        </is>
      </c>
      <c r="B847">
        <f>unallocated!B325/I847*J847</f>
        <v>2.3708825036519241E-4</v>
      </c>
      <c r="C847" t="inlineStr">
        <is>
          <t>RER</t>
        </is>
      </c>
      <c r="D847" t="inlineStr">
        <is>
          <t>kilogram</t>
        </is>
      </c>
      <c r="F847" t="inlineStr">
        <is>
          <t>technosphere</t>
        </is>
      </c>
      <c r="G847" t="inlineStr">
        <is>
          <t>sodium hydroxide, without water, in 50% solution state</t>
        </is>
      </c>
      <c r="H847" t="inlineStr">
        <is>
          <t>50% liquid ammonia. In original publication, it is dilluated to 27% in water. We discount the original value by 50%.</t>
        </is>
      </c>
      <c r="I847" t="n">
        <v>1000</v>
      </c>
      <c r="J847" s="11">
        <f>J837</f>
        <v>0.47417650073038481</v>
      </c>
      <c r="K847" t="n">
        <v>0</v>
      </c>
      <c r="L847" s="3" t="n"/>
    </row>
    <row r="848">
      <c r="A848" t="inlineStr">
        <is>
          <t>market for monoethanolamine</t>
        </is>
      </c>
      <c r="B848">
        <f>unallocated!B326/I848*J848</f>
        <v>1.8967060029215393E-3</v>
      </c>
      <c r="C848" t="inlineStr">
        <is>
          <t>GLO</t>
        </is>
      </c>
      <c r="D848" t="inlineStr">
        <is>
          <t>kilogram</t>
        </is>
      </c>
      <c r="F848" t="inlineStr">
        <is>
          <t>technosphere</t>
        </is>
      </c>
      <c r="G848" t="inlineStr">
        <is>
          <t>monoethanolamine</t>
        </is>
      </c>
      <c r="I848" t="n">
        <v>1000</v>
      </c>
      <c r="J848" s="11">
        <f>J837</f>
        <v>0.47417650073038481</v>
      </c>
      <c r="K848" t="n">
        <v>0</v>
      </c>
      <c r="L848" s="3" t="n"/>
    </row>
    <row r="849">
      <c r="A849" t="inlineStr">
        <is>
          <t>municipal waste incineration facility construction</t>
        </is>
      </c>
      <c r="B849">
        <f>unallocated!B327/I849*J849</f>
        <v>1.1854412518259617E-10</v>
      </c>
      <c r="C849" t="inlineStr">
        <is>
          <t>CH</t>
        </is>
      </c>
      <c r="D849" t="inlineStr">
        <is>
          <t>unit</t>
        </is>
      </c>
      <c r="F849" t="inlineStr">
        <is>
          <t>technosphere</t>
        </is>
      </c>
      <c r="G849" t="inlineStr">
        <is>
          <t>municipal waste incineration facility</t>
        </is>
      </c>
      <c r="H849" t="inlineStr">
        <is>
          <t>Lifetime: 4'000'000 tons MSWI treated.</t>
        </is>
      </c>
      <c r="I849" t="n">
        <v>1000</v>
      </c>
      <c r="J849" s="11">
        <f>J837</f>
        <v>0.47417650073038481</v>
      </c>
      <c r="K849" t="n">
        <v>2</v>
      </c>
      <c r="L849" s="3">
        <f>LN(B849)</f>
        <v>-22.855735860253688</v>
      </c>
      <c r="M849" t="n">
        <v>1</v>
      </c>
      <c r="N849" t="n">
        <v>1</v>
      </c>
      <c r="O849" t="n">
        <v>1</v>
      </c>
      <c r="P849" t="n">
        <v>1.02</v>
      </c>
      <c r="Q849" t="n">
        <v>1.2</v>
      </c>
      <c r="R849" t="n">
        <v>1</v>
      </c>
      <c r="S849" t="n">
        <v>3</v>
      </c>
      <c r="T849">
        <f>LN(SQRT(EXP(
SQRT(
+POWER(LN(M849),2)
+POWER(LN(N849),2)
+POWER(LN(O849),2)
+POWER(LN(P849),2)
+POWER(LN(Q849),2)
+POWER(LN(R849),2)
+POWER(LN(S849),2)
)
)))</f>
        <v>0.5569071410325479</v>
      </c>
    </row>
    <row r="850">
      <c r="A850" t="inlineStr">
        <is>
          <t>carbon dioxide storage at wood burning power plant 20 MW post, pipeline 200km, storage 1000m</t>
        </is>
      </c>
      <c r="B850">
        <f>unallocated!B328/I850*J850</f>
        <v>0.39024726010110666</v>
      </c>
      <c r="C850" t="inlineStr">
        <is>
          <t>RER</t>
        </is>
      </c>
      <c r="D850" t="inlineStr">
        <is>
          <t>kilogram</t>
        </is>
      </c>
      <c r="F850" t="inlineStr">
        <is>
          <t>technosphere</t>
        </is>
      </c>
      <c r="G850" t="inlineStr">
        <is>
          <t>carbon dioxide storage at wood burning power plant 20 MW post, pipeline 200km, storage 1000m</t>
        </is>
      </c>
      <c r="I850" t="n">
        <v>1000</v>
      </c>
      <c r="J850" s="11">
        <f>J837</f>
        <v>0.47417650073038481</v>
      </c>
      <c r="K850" t="n">
        <v>2</v>
      </c>
      <c r="L850" s="3">
        <f>LN(B850)</f>
        <v>-0.940974740492455</v>
      </c>
      <c r="M850" t="n">
        <v>1</v>
      </c>
      <c r="N850" t="n">
        <v>1</v>
      </c>
      <c r="O850" t="n">
        <v>1</v>
      </c>
      <c r="P850" t="n">
        <v>1.02</v>
      </c>
      <c r="Q850" t="n">
        <v>1.2</v>
      </c>
      <c r="R850" t="n">
        <v>1</v>
      </c>
      <c r="S850" t="n">
        <v>3</v>
      </c>
      <c r="T850">
        <f>LN(SQRT(EXP(
SQRT(
+POWER(LN(M850),2)
+POWER(LN(N850),2)
+POWER(LN(O850),2)
+POWER(LN(P850),2)
+POWER(LN(Q850),2)
+POWER(LN(R850),2)
+POWER(LN(S850),2)
)
)))</f>
        <v>0.5569071410325479</v>
      </c>
    </row>
    <row r="851">
      <c r="A851" t="inlineStr">
        <is>
          <t>Water, cooling, unspecified natural origin</t>
        </is>
      </c>
      <c r="B851">
        <f>unallocated!B329/I851*J851</f>
        <v>0</v>
      </c>
      <c r="D851" t="inlineStr">
        <is>
          <t>cubic meter</t>
        </is>
      </c>
      <c r="E851" t="inlineStr">
        <is>
          <t>natural resource::in water</t>
        </is>
      </c>
      <c r="F851" t="inlineStr">
        <is>
          <t>biosphere</t>
        </is>
      </c>
      <c r="I851" t="n">
        <v>1000</v>
      </c>
      <c r="J851" s="11">
        <f>J837</f>
        <v>0.47417650073038481</v>
      </c>
      <c r="K851" t="n">
        <v>0</v>
      </c>
      <c r="L851" s="3" t="n"/>
    </row>
    <row r="852">
      <c r="A852" t="inlineStr">
        <is>
          <t>Sulfur dioxide</t>
        </is>
      </c>
      <c r="B852">
        <f>unallocated!B330/I852*J852</f>
        <v>2.8450590043823088E-6</v>
      </c>
      <c r="D852" t="inlineStr">
        <is>
          <t>kilogram</t>
        </is>
      </c>
      <c r="E852" t="inlineStr">
        <is>
          <t>air::urban air close to ground</t>
        </is>
      </c>
      <c r="F852" t="inlineStr">
        <is>
          <t>biosphere</t>
        </is>
      </c>
      <c r="I852" t="n">
        <v>1000</v>
      </c>
      <c r="J852" s="11">
        <f>J837</f>
        <v>0.47417650073038481</v>
      </c>
      <c r="K852" t="n">
        <v>2</v>
      </c>
      <c r="L852" s="3">
        <f>LN(B852)</f>
        <v>-12.769926750923608</v>
      </c>
      <c r="M852" t="n">
        <v>1</v>
      </c>
      <c r="N852" t="n">
        <v>1</v>
      </c>
      <c r="O852" t="n">
        <v>1</v>
      </c>
      <c r="P852" t="n">
        <v>1.02</v>
      </c>
      <c r="Q852" t="n">
        <v>1.2</v>
      </c>
      <c r="R852" t="n">
        <v>1</v>
      </c>
      <c r="S852" t="n">
        <v>1.05</v>
      </c>
      <c r="T852">
        <f>LN(SQRT(EXP(
SQRT(
+POWER(LN(M852),2)
+POWER(LN(N852),2)
+POWER(LN(O852),2)
+POWER(LN(P852),2)
+POWER(LN(Q852),2)
+POWER(LN(R852),2)
+POWER(LN(S852),2)
)
)))</f>
        <v>9.4886477223156879E-2</v>
      </c>
    </row>
    <row r="853">
      <c r="A853" t="inlineStr">
        <is>
          <t>Hydrochloric acid</t>
        </is>
      </c>
      <c r="B853">
        <f>unallocated!B331/I853*J853</f>
        <v>1.4225295021911544E-6</v>
      </c>
      <c r="D853" t="inlineStr">
        <is>
          <t>kilogram</t>
        </is>
      </c>
      <c r="E853" t="inlineStr">
        <is>
          <t>air</t>
        </is>
      </c>
      <c r="F853" t="inlineStr">
        <is>
          <t>biosphere</t>
        </is>
      </c>
      <c r="I853" t="n">
        <v>1000</v>
      </c>
      <c r="J853" s="11">
        <f>J837</f>
        <v>0.47417650073038481</v>
      </c>
      <c r="K853" t="n">
        <v>2</v>
      </c>
      <c r="L853" s="3">
        <f>LN(B853)</f>
        <v>-13.463073931483551</v>
      </c>
      <c r="M853" t="n">
        <v>1</v>
      </c>
      <c r="N853" t="n">
        <v>1</v>
      </c>
      <c r="O853" t="n">
        <v>1</v>
      </c>
      <c r="P853" t="n">
        <v>1.02</v>
      </c>
      <c r="Q853" t="n">
        <v>1.2</v>
      </c>
      <c r="R853" t="n">
        <v>1</v>
      </c>
      <c r="S853" t="n">
        <v>1.5</v>
      </c>
      <c r="T853">
        <f>LN(SQRT(EXP(
SQRT(
+POWER(LN(M853),2)
+POWER(LN(N853),2)
+POWER(LN(O853),2)
+POWER(LN(P853),2)
+POWER(LN(Q853),2)
+POWER(LN(R853),2)
+POWER(LN(S853),2)
)
)))</f>
        <v>0.22250575723605889</v>
      </c>
    </row>
    <row r="854">
      <c r="A854" t="inlineStr">
        <is>
          <t>Nitrogen oxides</t>
        </is>
      </c>
      <c r="B854">
        <f>unallocated!B332/I854*J854</f>
        <v>3.2101749099447055E-4</v>
      </c>
      <c r="D854" t="inlineStr">
        <is>
          <t>kilogram</t>
        </is>
      </c>
      <c r="E854" t="inlineStr">
        <is>
          <t>air::urban air close to ground</t>
        </is>
      </c>
      <c r="F854" t="inlineStr">
        <is>
          <t>biosphere</t>
        </is>
      </c>
      <c r="I854" t="n">
        <v>1000</v>
      </c>
      <c r="J854" s="11">
        <f>J837</f>
        <v>0.47417650073038481</v>
      </c>
      <c r="K854" t="n">
        <v>2</v>
      </c>
      <c r="L854" s="3">
        <f>LN(B854)</f>
        <v>-8.0440149472393863</v>
      </c>
      <c r="M854" t="n">
        <v>1</v>
      </c>
      <c r="N854" t="n">
        <v>1</v>
      </c>
      <c r="O854" t="n">
        <v>1</v>
      </c>
      <c r="P854" t="n">
        <v>1.02</v>
      </c>
      <c r="Q854" t="n">
        <v>1.2</v>
      </c>
      <c r="R854" t="n">
        <v>1</v>
      </c>
      <c r="S854" t="n">
        <v>1.5</v>
      </c>
      <c r="T854">
        <f>LN(SQRT(EXP(
SQRT(
+POWER(LN(M854),2)
+POWER(LN(N854),2)
+POWER(LN(O854),2)
+POWER(LN(P854),2)
+POWER(LN(Q854),2)
+POWER(LN(R854),2)
+POWER(LN(S854),2)
)
)))</f>
        <v>0.22250575723605889</v>
      </c>
    </row>
    <row r="855">
      <c r="A855" t="inlineStr">
        <is>
          <t>Ammonia</t>
        </is>
      </c>
      <c r="B855">
        <f>unallocated!B333/I855*J855</f>
        <v>9.4835300146076968E-6</v>
      </c>
      <c r="D855" t="inlineStr">
        <is>
          <t>kilogram</t>
        </is>
      </c>
      <c r="E855" t="inlineStr">
        <is>
          <t>air::urban air close to ground</t>
        </is>
      </c>
      <c r="F855" t="inlineStr">
        <is>
          <t>biosphere</t>
        </is>
      </c>
      <c r="I855" t="n">
        <v>1000</v>
      </c>
      <c r="J855" s="11">
        <f>J837</f>
        <v>0.47417650073038481</v>
      </c>
      <c r="K855" t="n">
        <v>2</v>
      </c>
      <c r="L855" s="3">
        <f>LN(B855)</f>
        <v>-11.56595394659767</v>
      </c>
      <c r="M855" t="n">
        <v>1</v>
      </c>
      <c r="N855" t="n">
        <v>1</v>
      </c>
      <c r="O855" t="n">
        <v>1</v>
      </c>
      <c r="P855" t="n">
        <v>1.02</v>
      </c>
      <c r="Q855" t="n">
        <v>1.2</v>
      </c>
      <c r="R855" t="n">
        <v>1</v>
      </c>
      <c r="S855" t="n">
        <v>1.5</v>
      </c>
      <c r="T855">
        <f>LN(SQRT(EXP(
SQRT(
+POWER(LN(M855),2)
+POWER(LN(N855),2)
+POWER(LN(O855),2)
+POWER(LN(P855),2)
+POWER(LN(Q855),2)
+POWER(LN(R855),2)
+POWER(LN(S855),2)
)
)))</f>
        <v>0.22250575723605889</v>
      </c>
    </row>
    <row r="856">
      <c r="A856" t="inlineStr">
        <is>
          <t>Particulate Matter, &lt; 2.5 um</t>
        </is>
      </c>
      <c r="B856">
        <f>unallocated!B334/I856*J856</f>
        <v>2.8450590043823088E-6</v>
      </c>
      <c r="D856" t="inlineStr">
        <is>
          <t>kilogram</t>
        </is>
      </c>
      <c r="E856" t="inlineStr">
        <is>
          <t>air::urban air close to ground</t>
        </is>
      </c>
      <c r="F856" t="inlineStr">
        <is>
          <t>biosphere</t>
        </is>
      </c>
      <c r="I856" t="n">
        <v>1000</v>
      </c>
      <c r="J856" s="11">
        <f>J837</f>
        <v>0.47417650073038481</v>
      </c>
      <c r="K856" t="n">
        <v>2</v>
      </c>
      <c r="L856" s="3">
        <f>LN(B856)</f>
        <v>-12.769926750923608</v>
      </c>
      <c r="M856" t="n">
        <v>1</v>
      </c>
      <c r="N856" t="n">
        <v>1</v>
      </c>
      <c r="O856" t="n">
        <v>1</v>
      </c>
      <c r="P856" t="n">
        <v>1.02</v>
      </c>
      <c r="Q856" t="n">
        <v>1.2</v>
      </c>
      <c r="R856" t="n">
        <v>1</v>
      </c>
      <c r="S856" t="n">
        <v>3</v>
      </c>
      <c r="T856">
        <f>LN(SQRT(EXP(
SQRT(
+POWER(LN(M856),2)
+POWER(LN(N856),2)
+POWER(LN(O856),2)
+POWER(LN(P856),2)
+POWER(LN(Q856),2)
+POWER(LN(R856),2)
+POWER(LN(S856),2)
)
)))</f>
        <v>0.5569071410325479</v>
      </c>
    </row>
    <row r="857">
      <c r="A857" t="inlineStr">
        <is>
          <t>Mercury II</t>
        </is>
      </c>
      <c r="B857">
        <f>unallocated!B335/I857*J857</f>
        <v>2.8450590043823088E-9</v>
      </c>
      <c r="D857" t="inlineStr">
        <is>
          <t>kilogram</t>
        </is>
      </c>
      <c r="E857" t="inlineStr">
        <is>
          <t>air::urban air close to ground</t>
        </is>
      </c>
      <c r="F857" t="inlineStr">
        <is>
          <t>biosphere</t>
        </is>
      </c>
      <c r="I857" t="n">
        <v>1000</v>
      </c>
      <c r="J857" s="11">
        <f>J837</f>
        <v>0.47417650073038481</v>
      </c>
      <c r="K857" t="n">
        <v>2</v>
      </c>
      <c r="L857" s="3">
        <f>LN(B857)</f>
        <v>-19.677682029905743</v>
      </c>
      <c r="M857" t="n">
        <v>1</v>
      </c>
      <c r="N857" t="n">
        <v>1</v>
      </c>
      <c r="O857" t="n">
        <v>1</v>
      </c>
      <c r="P857" t="n">
        <v>1.02</v>
      </c>
      <c r="Q857" t="n">
        <v>1.2</v>
      </c>
      <c r="R857" t="n">
        <v>1</v>
      </c>
      <c r="S857" t="n">
        <v>5</v>
      </c>
      <c r="T857">
        <f>LN(SQRT(EXP(
SQRT(
+POWER(LN(M857),2)
+POWER(LN(N857),2)
+POWER(LN(O857),2)
+POWER(LN(P857),2)
+POWER(LN(Q857),2)
+POWER(LN(R857),2)
+POWER(LN(S857),2)
)
)))</f>
        <v>0.80992649174166365</v>
      </c>
    </row>
    <row r="858">
      <c r="A858" t="inlineStr">
        <is>
          <t>Lead II</t>
        </is>
      </c>
      <c r="B858">
        <f>unallocated!B336/I858*J858</f>
        <v>2.8450590043823088E-9</v>
      </c>
      <c r="D858" t="inlineStr">
        <is>
          <t>kilogram</t>
        </is>
      </c>
      <c r="E858" t="inlineStr">
        <is>
          <t>air::urban air close to ground</t>
        </is>
      </c>
      <c r="F858" t="inlineStr">
        <is>
          <t>biosphere</t>
        </is>
      </c>
      <c r="I858" t="n">
        <v>1000</v>
      </c>
      <c r="J858" s="11">
        <f>J837</f>
        <v>0.47417650073038481</v>
      </c>
      <c r="K858" t="n">
        <v>2</v>
      </c>
      <c r="L858" s="3">
        <f>LN(B858)</f>
        <v>-19.677682029905743</v>
      </c>
      <c r="M858" t="n">
        <v>1</v>
      </c>
      <c r="N858" t="n">
        <v>1</v>
      </c>
      <c r="O858" t="n">
        <v>1</v>
      </c>
      <c r="P858" t="n">
        <v>1.02</v>
      </c>
      <c r="Q858" t="n">
        <v>1.2</v>
      </c>
      <c r="R858" t="n">
        <v>1</v>
      </c>
      <c r="S858" t="n">
        <v>5</v>
      </c>
      <c r="T858">
        <f>LN(SQRT(EXP(
SQRT(
+POWER(LN(M858),2)
+POWER(LN(N858),2)
+POWER(LN(O858),2)
+POWER(LN(P858),2)
+POWER(LN(Q858),2)
+POWER(LN(R858),2)
+POWER(LN(S858),2)
)
)))</f>
        <v>0.80992649174166365</v>
      </c>
    </row>
    <row r="859">
      <c r="A859" t="inlineStr">
        <is>
          <t>Cadmium II</t>
        </is>
      </c>
      <c r="B859">
        <f>unallocated!B337/I859*J859</f>
        <v>1.4225295021911544E-9</v>
      </c>
      <c r="D859" t="inlineStr">
        <is>
          <t>kilogram</t>
        </is>
      </c>
      <c r="E859" t="inlineStr">
        <is>
          <t>air::urban air close to ground</t>
        </is>
      </c>
      <c r="F859" t="inlineStr">
        <is>
          <t>biosphere</t>
        </is>
      </c>
      <c r="I859" t="n">
        <v>1000</v>
      </c>
      <c r="J859" s="11">
        <f>J837</f>
        <v>0.47417650073038481</v>
      </c>
      <c r="K859" t="n">
        <v>2</v>
      </c>
      <c r="L859" s="3">
        <f>LN(B859)</f>
        <v>-20.37082921046569</v>
      </c>
      <c r="M859" t="n">
        <v>1</v>
      </c>
      <c r="N859" t="n">
        <v>1</v>
      </c>
      <c r="O859" t="n">
        <v>1</v>
      </c>
      <c r="P859" t="n">
        <v>1.02</v>
      </c>
      <c r="Q859" t="n">
        <v>1.2</v>
      </c>
      <c r="R859" t="n">
        <v>1</v>
      </c>
      <c r="S859" t="n">
        <v>5</v>
      </c>
      <c r="T859">
        <f>LN(SQRT(EXP(
SQRT(
+POWER(LN(M859),2)
+POWER(LN(N859),2)
+POWER(LN(O859),2)
+POWER(LN(P859),2)
+POWER(LN(Q859),2)
+POWER(LN(R859),2)
+POWER(LN(S859),2)
)
)))</f>
        <v>0.80992649174166365</v>
      </c>
    </row>
    <row r="860">
      <c r="A860" t="inlineStr">
        <is>
          <t>Arsenic ion</t>
        </is>
      </c>
      <c r="B860">
        <f>unallocated!B338/I860*J860</f>
        <v>1.4225295021911544E-9</v>
      </c>
      <c r="D860" t="inlineStr">
        <is>
          <t>kilogram</t>
        </is>
      </c>
      <c r="E860" t="inlineStr">
        <is>
          <t>air::urban air close to ground</t>
        </is>
      </c>
      <c r="F860" t="inlineStr">
        <is>
          <t>biosphere</t>
        </is>
      </c>
      <c r="I860" t="n">
        <v>1000</v>
      </c>
      <c r="J860" s="11">
        <f>J837</f>
        <v>0.47417650073038481</v>
      </c>
      <c r="K860" t="n">
        <v>2</v>
      </c>
      <c r="L860" s="3">
        <f>LN(B860)</f>
        <v>-20.37082921046569</v>
      </c>
      <c r="M860" t="n">
        <v>1</v>
      </c>
      <c r="N860" t="n">
        <v>1</v>
      </c>
      <c r="O860" t="n">
        <v>1</v>
      </c>
      <c r="P860" t="n">
        <v>1.02</v>
      </c>
      <c r="Q860" t="n">
        <v>1.2</v>
      </c>
      <c r="R860" t="n">
        <v>1</v>
      </c>
      <c r="S860" t="n">
        <v>5</v>
      </c>
      <c r="T860">
        <f>LN(SQRT(EXP(
SQRT(
+POWER(LN(M860),2)
+POWER(LN(N860),2)
+POWER(LN(O860),2)
+POWER(LN(P860),2)
+POWER(LN(Q860),2)
+POWER(LN(R860),2)
+POWER(LN(S860),2)
)
)))</f>
        <v>0.80992649174166365</v>
      </c>
    </row>
    <row r="861">
      <c r="A861" t="inlineStr">
        <is>
          <t>Dioxins, measured as 2,3,7,8-tetrachlorodibenzo-p-dioxin</t>
        </is>
      </c>
      <c r="B861">
        <f>unallocated!B339/I861*J861</f>
        <v>5.2159415080342334E-14</v>
      </c>
      <c r="D861" t="inlineStr">
        <is>
          <t>kilogram</t>
        </is>
      </c>
      <c r="E861" t="inlineStr">
        <is>
          <t>air::urban air close to ground</t>
        </is>
      </c>
      <c r="F861" t="inlineStr">
        <is>
          <t>biosphere</t>
        </is>
      </c>
      <c r="I861" t="n">
        <v>1000</v>
      </c>
      <c r="J861" s="11">
        <f>J837</f>
        <v>0.47417650073038481</v>
      </c>
      <c r="K861" t="n">
        <v>2</v>
      </c>
      <c r="L861" s="3">
        <f>LN(B861)</f>
        <v>-30.584471691305655</v>
      </c>
      <c r="M861" t="n">
        <v>1</v>
      </c>
      <c r="N861" t="n">
        <v>1</v>
      </c>
      <c r="O861" t="n">
        <v>1</v>
      </c>
      <c r="P861" t="n">
        <v>1.02</v>
      </c>
      <c r="Q861" t="n">
        <v>1.2</v>
      </c>
      <c r="R861" t="n">
        <v>1</v>
      </c>
      <c r="S861" t="n">
        <v>5</v>
      </c>
      <c r="T861">
        <f>LN(SQRT(EXP(
SQRT(
+POWER(LN(M861),2)
+POWER(LN(N861),2)
+POWER(LN(O861),2)
+POWER(LN(P861),2)
+POWER(LN(Q861),2)
+POWER(LN(R861),2)
+POWER(LN(S861),2)
)
)))</f>
        <v>0.80992649174166365</v>
      </c>
    </row>
    <row r="862">
      <c r="A862" t="inlineStr">
        <is>
          <t>Carbon dioxide, fossil</t>
        </is>
      </c>
      <c r="B862">
        <f>unallocated!B340/I862*J862</f>
        <v>2.6553884040901549E-2</v>
      </c>
      <c r="D862" t="inlineStr">
        <is>
          <t>kilogram</t>
        </is>
      </c>
      <c r="E862" t="inlineStr">
        <is>
          <t>air::urban air close to ground</t>
        </is>
      </c>
      <c r="F862" t="inlineStr">
        <is>
          <t>biosphere</t>
        </is>
      </c>
      <c r="I862" t="n">
        <v>1000</v>
      </c>
      <c r="J862" s="11">
        <f>J837</f>
        <v>0.47417650073038481</v>
      </c>
      <c r="K862" t="n">
        <v>2</v>
      </c>
      <c r="L862" s="3">
        <f>LN(B862)</f>
        <v>-3.6285792504343757</v>
      </c>
      <c r="M862" t="n">
        <v>1</v>
      </c>
      <c r="N862" t="n">
        <v>1</v>
      </c>
      <c r="O862" t="n">
        <v>1</v>
      </c>
      <c r="P862" t="n">
        <v>1.02</v>
      </c>
      <c r="Q862" t="n">
        <v>1.2</v>
      </c>
      <c r="R862" t="n">
        <v>1</v>
      </c>
      <c r="S862" t="n">
        <v>1.05</v>
      </c>
      <c r="T862">
        <f>LN(SQRT(EXP(
SQRT(
+POWER(LN(M862),2)
+POWER(LN(N862),2)
+POWER(LN(O862),2)
+POWER(LN(P862),2)
+POWER(LN(Q862),2)
+POWER(LN(R862),2)
+POWER(LN(S862),2)
)
)))</f>
        <v>9.4886477223156879E-2</v>
      </c>
    </row>
    <row r="863">
      <c r="A863" t="inlineStr">
        <is>
          <t>Carbon dioxide, non-fossil</t>
        </is>
      </c>
      <c r="B863">
        <f>unallocated!B341/I863*J863</f>
        <v>4.2201708565004249E-2</v>
      </c>
      <c r="D863" t="inlineStr">
        <is>
          <t>kilogram</t>
        </is>
      </c>
      <c r="E863" t="inlineStr">
        <is>
          <t>air::urban air close to ground</t>
        </is>
      </c>
      <c r="F863" t="inlineStr">
        <is>
          <t>biosphere</t>
        </is>
      </c>
      <c r="I863" t="n">
        <v>1000</v>
      </c>
      <c r="J863" s="14">
        <f>J837</f>
        <v>0.47417650073038481</v>
      </c>
      <c r="K863" t="n">
        <v>2</v>
      </c>
      <c r="L863" s="3">
        <f>LN(B863)</f>
        <v>-3.1652945714373848</v>
      </c>
      <c r="M863" t="n">
        <v>1</v>
      </c>
      <c r="N863" t="n">
        <v>1</v>
      </c>
      <c r="O863" t="n">
        <v>1</v>
      </c>
      <c r="P863" t="n">
        <v>1.02</v>
      </c>
      <c r="Q863" t="n">
        <v>1.2</v>
      </c>
      <c r="R863" t="n">
        <v>1</v>
      </c>
      <c r="S863" t="n">
        <v>1.05</v>
      </c>
      <c r="T863">
        <f>LN(SQRT(EXP(
SQRT(
+POWER(LN(M863),2)
+POWER(LN(N863),2)
+POWER(LN(O863),2)
+POWER(LN(P863),2)
+POWER(LN(Q863),2)
+POWER(LN(R863),2)
+POWER(LN(S863),2)
)
)))</f>
        <v>9.4886477223156879E-2</v>
      </c>
    </row>
    <row r="864">
      <c r="A864" t="inlineStr">
        <is>
          <t>Carbon dioxide, in air</t>
        </is>
      </c>
      <c r="B864">
        <f>unallocated!B342/I864*J864</f>
        <v>0.23945913286884432</v>
      </c>
      <c r="D864" t="inlineStr">
        <is>
          <t>kilogram</t>
        </is>
      </c>
      <c r="E864" t="inlineStr">
        <is>
          <t>natural resource::in air</t>
        </is>
      </c>
      <c r="F864" t="inlineStr">
        <is>
          <t>biosphere</t>
        </is>
      </c>
      <c r="H864" t="inlineStr">
        <is>
          <t>To reflect the permanent storage of non-fossil CO.</t>
        </is>
      </c>
      <c r="I864" t="n">
        <v>1000</v>
      </c>
      <c r="J864" s="14">
        <f>J837</f>
        <v>0.47417650073038481</v>
      </c>
      <c r="K864" t="n">
        <v>2</v>
      </c>
      <c r="L864" s="3">
        <f>LN(B864)</f>
        <v>-1.4293725118941649</v>
      </c>
      <c r="M864" t="n">
        <v>1</v>
      </c>
      <c r="N864" t="n">
        <v>1</v>
      </c>
      <c r="O864" t="n">
        <v>1</v>
      </c>
      <c r="P864" t="n">
        <v>1.02</v>
      </c>
      <c r="Q864" t="n">
        <v>1.2</v>
      </c>
      <c r="R864" t="n">
        <v>1</v>
      </c>
      <c r="S864" t="n">
        <v>1.05</v>
      </c>
      <c r="T864">
        <f>LN(SQRT(EXP(
SQRT(
+POWER(LN(M864),2)
+POWER(LN(N864),2)
+POWER(LN(O864),2)
+POWER(LN(P864),2)
+POWER(LN(Q864),2)
+POWER(LN(R864),2)
+POWER(LN(S864),2)
)
)))</f>
        <v>9.4886477223156879E-2</v>
      </c>
    </row>
    <row r="865"/>
    <row r="866">
      <c r="A866" s="1" t="inlineStr">
        <is>
          <t>Activity</t>
        </is>
      </c>
      <c r="B866" s="1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</row>
    <row r="867">
      <c r="A867" t="inlineStr">
        <is>
          <t>location</t>
        </is>
      </c>
      <c r="B867" t="inlineStr">
        <is>
          <t>RER</t>
        </is>
      </c>
    </row>
    <row r="868">
      <c r="A868" t="inlineStr">
        <is>
          <t>production amount</t>
        </is>
      </c>
      <c r="B868" t="n">
        <v>1</v>
      </c>
    </row>
    <row r="869">
      <c r="A869" s="2" t="inlineStr">
        <is>
          <t>source</t>
        </is>
      </c>
      <c r="B869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870">
      <c r="A870" t="inlineStr">
        <is>
          <t>reference product</t>
        </is>
      </c>
      <c r="B870" t="inlineStr">
        <is>
          <t>electricity, medium voltage</t>
        </is>
      </c>
    </row>
    <row r="871">
      <c r="A871" t="inlineStr">
        <is>
          <t>type</t>
        </is>
      </c>
      <c r="B871" t="inlineStr">
        <is>
          <t>process</t>
        </is>
      </c>
    </row>
    <row r="872">
      <c r="A872" t="inlineStr">
        <is>
          <t>unit</t>
        </is>
      </c>
      <c r="B872" t="inlineStr">
        <is>
          <t>kilowatt hour</t>
        </is>
      </c>
    </row>
    <row r="873">
      <c r="A873" t="inlineStr">
        <is>
          <t>comment</t>
        </is>
      </c>
      <c r="B873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874">
      <c r="A874" s="1" t="inlineStr">
        <is>
          <t>Exchanges</t>
        </is>
      </c>
    </row>
    <row r="875">
      <c r="A875" s="7" t="inlineStr">
        <is>
          <t>name</t>
        </is>
      </c>
      <c r="B875" s="7" t="inlineStr">
        <is>
          <t>amount</t>
        </is>
      </c>
      <c r="C875" s="7" t="inlineStr">
        <is>
          <t>location</t>
        </is>
      </c>
      <c r="D875" s="7" t="inlineStr">
        <is>
          <t>unit</t>
        </is>
      </c>
      <c r="E875" s="7" t="inlineStr">
        <is>
          <t>categories</t>
        </is>
      </c>
      <c r="F875" s="7" t="inlineStr">
        <is>
          <t>type</t>
        </is>
      </c>
      <c r="G875" s="7" t="inlineStr">
        <is>
          <t>reference product</t>
        </is>
      </c>
      <c r="H875" s="7" t="inlineStr">
        <is>
          <t>comment</t>
        </is>
      </c>
      <c r="I875" s="7" t="inlineStr">
        <is>
          <t>normalization</t>
        </is>
      </c>
      <c r="J875" s="7" t="inlineStr">
        <is>
          <t>allocation</t>
        </is>
      </c>
      <c r="K875" s="7" t="inlineStr">
        <is>
          <t>uncertainty type</t>
        </is>
      </c>
      <c r="L875" s="7" t="inlineStr">
        <is>
          <t>loc</t>
        </is>
      </c>
      <c r="M875" s="1" t="inlineStr">
        <is>
          <t>u1</t>
        </is>
      </c>
      <c r="N875" s="1" t="inlineStr">
        <is>
          <t>u2</t>
        </is>
      </c>
      <c r="O875" s="1" t="inlineStr">
        <is>
          <t>u3</t>
        </is>
      </c>
      <c r="P875" s="1" t="inlineStr">
        <is>
          <t>u4</t>
        </is>
      </c>
      <c r="Q875" s="1" t="inlineStr">
        <is>
          <t>u5</t>
        </is>
      </c>
      <c r="R875" s="1" t="inlineStr">
        <is>
          <t>u6</t>
        </is>
      </c>
      <c r="S875" s="1" t="inlineStr">
        <is>
          <t>ub</t>
        </is>
      </c>
      <c r="T875" s="1" t="inlineStr">
        <is>
          <t>scale</t>
        </is>
      </c>
      <c r="U875" s="1" t="inlineStr">
        <is>
          <t>negative</t>
        </is>
      </c>
    </row>
    <row r="876">
      <c r="A876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B876" t="n">
        <v>0</v>
      </c>
      <c r="C876" t="inlineStr">
        <is>
          <t>RER</t>
        </is>
      </c>
      <c r="D876" t="inlineStr">
        <is>
          <t>kilogram</t>
        </is>
      </c>
      <c r="F876" t="inlineStr">
        <is>
          <t>technosphere</t>
        </is>
      </c>
      <c r="G876" t="inlineStr">
        <is>
          <t>municipal solid waste</t>
        </is>
      </c>
      <c r="H876" t="inlineStr"/>
      <c r="I876" s="6" t="n">
        <v>473</v>
      </c>
      <c r="J876" s="14">
        <f>INDEX('allocation keys'!$L$4:$N$30,MATCH('allocated (economic)'!$B$866,'allocation keys'!$B$4:$B$30,0),MATCH('allocated (economic)'!$B$870,'allocation keys'!$L$3:$N$3,0))</f>
        <v>0.18087539100441291</v>
      </c>
      <c r="K876" t="n">
        <v>0</v>
      </c>
      <c r="M876" s="5" t="n"/>
      <c r="N876" s="5" t="n"/>
      <c r="O876" s="5" t="n"/>
      <c r="P876" s="5" t="n"/>
      <c r="Q876" s="5" t="n"/>
      <c r="R876" s="5" t="n"/>
    </row>
    <row r="877">
      <c r="A877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B877" s="6" t="n">
        <v>1</v>
      </c>
      <c r="C877" t="inlineStr">
        <is>
          <t>RER</t>
        </is>
      </c>
      <c r="D877" t="inlineStr">
        <is>
          <t>kilowatt hour</t>
        </is>
      </c>
      <c r="F877" t="inlineStr">
        <is>
          <t>production</t>
        </is>
      </c>
      <c r="G877" t="inlineStr">
        <is>
          <t>electricity, medium voltage</t>
        </is>
      </c>
      <c r="H877" t="inlineStr"/>
      <c r="I877" s="6" t="n">
        <v>473</v>
      </c>
      <c r="J877" s="11">
        <f>J876</f>
        <v>0.18087539100441291</v>
      </c>
      <c r="K877" t="n">
        <v>0</v>
      </c>
      <c r="L877" s="3" t="n"/>
    </row>
    <row r="878">
      <c r="A878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B878" t="n">
        <v>0</v>
      </c>
      <c r="C878" t="inlineStr">
        <is>
          <t>RER</t>
        </is>
      </c>
      <c r="D878" t="inlineStr">
        <is>
          <t>megajoule</t>
        </is>
      </c>
      <c r="F878" t="inlineStr">
        <is>
          <t>technosphere</t>
        </is>
      </c>
      <c r="G878" t="inlineStr">
        <is>
          <t>heat, district or industrial, other than natural gas</t>
        </is>
      </c>
      <c r="H878" t="inlineStr"/>
      <c r="I878" s="6" t="n">
        <v>473</v>
      </c>
      <c r="J878" s="11">
        <f>J876</f>
        <v>0.18087539100441291</v>
      </c>
      <c r="K878" t="n">
        <v>0</v>
      </c>
      <c r="L878" s="3" t="n"/>
    </row>
    <row r="879">
      <c r="A879" t="inlineStr">
        <is>
          <t>market for diesel, low-sulfur</t>
        </is>
      </c>
      <c r="B879">
        <f>unallocated!B318/I879*J879</f>
        <v>3.250403432426025E-5</v>
      </c>
      <c r="C879" t="inlineStr">
        <is>
          <t>Europe without Switzerland</t>
        </is>
      </c>
      <c r="D879" t="inlineStr">
        <is>
          <t>kilogram</t>
        </is>
      </c>
      <c r="F879" t="inlineStr">
        <is>
          <t>technosphere</t>
        </is>
      </c>
      <c r="G879" t="inlineStr">
        <is>
          <t>diesel, low-sulfur</t>
        </is>
      </c>
      <c r="H879" t="inlineStr">
        <is>
          <t>Diesel density: 0.85 kg/l</t>
        </is>
      </c>
      <c r="I879" s="6" t="n">
        <v>473</v>
      </c>
      <c r="J879" s="11">
        <f>J876</f>
        <v>0.18087539100441291</v>
      </c>
      <c r="K879" t="n">
        <v>2</v>
      </c>
      <c r="L879" s="3">
        <f>LN(B879)</f>
        <v>-10.334146343278292</v>
      </c>
      <c r="M879" t="n">
        <v>1</v>
      </c>
      <c r="N879" t="n">
        <v>1</v>
      </c>
      <c r="O879" t="n">
        <v>1</v>
      </c>
      <c r="P879" t="n">
        <v>1.02</v>
      </c>
      <c r="Q879" t="n">
        <v>1.2</v>
      </c>
      <c r="R879" t="n">
        <v>1</v>
      </c>
      <c r="S879" t="n">
        <v>1.05</v>
      </c>
      <c r="T879">
        <f>LN(SQRT(EXP(
SQRT(
+POWER(LN(M879),2)
+POWER(LN(N879),2)
+POWER(LN(O879),2)
+POWER(LN(P879),2)
+POWER(LN(Q879),2)
+POWER(LN(R879),2)
+POWER(LN(S879),2)
)
)))</f>
        <v>9.4886477223156879E-2</v>
      </c>
    </row>
    <row r="880">
      <c r="A880" t="inlineStr">
        <is>
          <t>market for activated carbon, granular</t>
        </is>
      </c>
      <c r="B880">
        <f>unallocated!B319/I880*J880</f>
        <v>1.529601615259306E-4</v>
      </c>
      <c r="C880" t="inlineStr">
        <is>
          <t>GLO</t>
        </is>
      </c>
      <c r="D880" t="inlineStr">
        <is>
          <t>kilogram</t>
        </is>
      </c>
      <c r="F880" t="inlineStr">
        <is>
          <t>technosphere</t>
        </is>
      </c>
      <c r="G880" t="inlineStr">
        <is>
          <t>activated carbon, granular</t>
        </is>
      </c>
      <c r="I880" s="6" t="n">
        <v>473</v>
      </c>
      <c r="J880" s="11">
        <f>J876</f>
        <v>0.18087539100441291</v>
      </c>
      <c r="K880" t="n">
        <v>2</v>
      </c>
      <c r="L880" s="3">
        <f>LN(B880)</f>
        <v>-8.7853330526606257</v>
      </c>
      <c r="M880" t="n">
        <v>1</v>
      </c>
      <c r="N880" t="n">
        <v>1</v>
      </c>
      <c r="O880" t="n">
        <v>1</v>
      </c>
      <c r="P880" t="n">
        <v>1.02</v>
      </c>
      <c r="Q880" t="n">
        <v>1.2</v>
      </c>
      <c r="R880" t="n">
        <v>1</v>
      </c>
      <c r="S880" t="n">
        <v>1.05</v>
      </c>
      <c r="T880">
        <f>LN(SQRT(EXP(
SQRT(
+POWER(LN(M880),2)
+POWER(LN(N880),2)
+POWER(LN(O880),2)
+POWER(LN(P880),2)
+POWER(LN(Q880),2)
+POWER(LN(R880),2)
+POWER(LN(S880),2)
)
)))</f>
        <v>9.4886477223156879E-2</v>
      </c>
    </row>
    <row r="881">
      <c r="A881" t="inlineStr">
        <is>
          <t>market for ammonia, anhydrous, liquid</t>
        </is>
      </c>
      <c r="B881">
        <f>unallocated!B320/I881*J881</f>
        <v>3.747523957385299E-4</v>
      </c>
      <c r="C881" t="inlineStr">
        <is>
          <t>RER</t>
        </is>
      </c>
      <c r="D881" t="inlineStr">
        <is>
          <t>kilogram</t>
        </is>
      </c>
      <c r="F881" t="inlineStr">
        <is>
          <t>technosphere</t>
        </is>
      </c>
      <c r="G881" t="inlineStr">
        <is>
          <t>ammonia, anhydrous, liquid</t>
        </is>
      </c>
      <c r="H881" t="inlineStr">
        <is>
          <t>100% liquid ammonia. In original publication, it is dilluated to 23.5% in water. We discount the original value by 75%.</t>
        </is>
      </c>
      <c r="I881" s="6" t="n">
        <v>473</v>
      </c>
      <c r="J881" s="11">
        <f>J876</f>
        <v>0.18087539100441291</v>
      </c>
      <c r="K881" t="n">
        <v>2</v>
      </c>
      <c r="L881" s="3">
        <f>LN(B881)</f>
        <v>-7.8892450281039901</v>
      </c>
      <c r="M881" t="n">
        <v>1</v>
      </c>
      <c r="N881" t="n">
        <v>1</v>
      </c>
      <c r="O881" t="n">
        <v>1</v>
      </c>
      <c r="P881" t="n">
        <v>1.02</v>
      </c>
      <c r="Q881" t="n">
        <v>1.2</v>
      </c>
      <c r="R881" t="n">
        <v>1</v>
      </c>
      <c r="S881" t="n">
        <v>1.05</v>
      </c>
      <c r="T881">
        <f>LN(SQRT(EXP(
SQRT(
+POWER(LN(M881),2)
+POWER(LN(N881),2)
+POWER(LN(O881),2)
+POWER(LN(P881),2)
+POWER(LN(Q881),2)
+POWER(LN(R881),2)
+POWER(LN(S881),2)
)
)))</f>
        <v>9.4886477223156879E-2</v>
      </c>
    </row>
    <row r="882">
      <c r="A882" t="inlineStr">
        <is>
          <t>market for tap water</t>
        </is>
      </c>
      <c r="B882">
        <f>unallocated!B321/I882*J882</f>
        <v>1.1548492195207758E-3</v>
      </c>
      <c r="C882" t="inlineStr">
        <is>
          <t>Europe without Switzerland</t>
        </is>
      </c>
      <c r="D882" t="inlineStr">
        <is>
          <t>kilogram</t>
        </is>
      </c>
      <c r="F882" t="inlineStr">
        <is>
          <t>technosphere</t>
        </is>
      </c>
      <c r="G882" t="inlineStr">
        <is>
          <t>tap water</t>
        </is>
      </c>
      <c r="H882" t="inlineStr">
        <is>
          <t>Used to dilute the ammonia.</t>
        </is>
      </c>
      <c r="I882" s="6" t="n">
        <v>473</v>
      </c>
      <c r="J882" s="11">
        <f>J876</f>
        <v>0.18087539100441291</v>
      </c>
      <c r="K882" t="n">
        <v>2</v>
      </c>
      <c r="L882" s="3">
        <f>LN(B882)</f>
        <v>-6.7637854893996918</v>
      </c>
      <c r="M882" t="n">
        <v>1</v>
      </c>
      <c r="N882" t="n">
        <v>1</v>
      </c>
      <c r="O882" t="n">
        <v>1</v>
      </c>
      <c r="P882" t="n">
        <v>1.02</v>
      </c>
      <c r="Q882" t="n">
        <v>1.2</v>
      </c>
      <c r="R882" t="n">
        <v>1</v>
      </c>
      <c r="S882" t="n">
        <v>1.05</v>
      </c>
      <c r="T882">
        <f>LN(SQRT(EXP(
SQRT(
+POWER(LN(M882),2)
+POWER(LN(N882),2)
+POWER(LN(O882),2)
+POWER(LN(P882),2)
+POWER(LN(Q882),2)
+POWER(LN(R882),2)
+POWER(LN(S882),2)
)
)))</f>
        <v>9.4886477223156879E-2</v>
      </c>
    </row>
    <row r="883">
      <c r="A883" t="inlineStr">
        <is>
          <t>market for calcium carbonate, precipitated</t>
        </is>
      </c>
      <c r="B883">
        <f>unallocated!B322/I883*J883</f>
        <v>2.6768028267037851E-3</v>
      </c>
      <c r="C883" t="inlineStr">
        <is>
          <t>RER</t>
        </is>
      </c>
      <c r="D883" t="inlineStr">
        <is>
          <t>kilogram</t>
        </is>
      </c>
      <c r="F883" t="inlineStr">
        <is>
          <t>technosphere</t>
        </is>
      </c>
      <c r="G883" t="inlineStr">
        <is>
          <t>calcium carbonate, precipitated</t>
        </is>
      </c>
      <c r="I883" s="6" t="n">
        <v>473</v>
      </c>
      <c r="J883" s="11">
        <f>J876</f>
        <v>0.18087539100441291</v>
      </c>
      <c r="K883" t="n">
        <v>0</v>
      </c>
      <c r="L883" s="3" t="n"/>
    </row>
    <row r="884">
      <c r="A884" t="inlineStr">
        <is>
          <t>market for iron(III) chloride, without water, in 40% solution state</t>
        </is>
      </c>
      <c r="B884">
        <f>unallocated!B323/I884*J884</f>
        <v>1.9120020190741325E-5</v>
      </c>
      <c r="C884" t="inlineStr">
        <is>
          <t>GLO</t>
        </is>
      </c>
      <c r="D884" t="inlineStr">
        <is>
          <t>kilogram</t>
        </is>
      </c>
      <c r="F884" t="inlineStr">
        <is>
          <t>technosphere</t>
        </is>
      </c>
      <c r="G884" t="inlineStr">
        <is>
          <t>iron(III) chloride, without water, in 40% solution state</t>
        </is>
      </c>
      <c r="I884" s="6" t="n">
        <v>473</v>
      </c>
      <c r="J884" s="11">
        <f>J876</f>
        <v>0.18087539100441291</v>
      </c>
      <c r="K884" t="n">
        <v>0</v>
      </c>
      <c r="L884" s="3" t="n"/>
    </row>
    <row r="885">
      <c r="A885" t="inlineStr">
        <is>
          <t>market for lime, hydrated, packed</t>
        </is>
      </c>
      <c r="B885">
        <f>unallocated!B324/I885*J885</f>
        <v>0</v>
      </c>
      <c r="C885" t="inlineStr">
        <is>
          <t>RER</t>
        </is>
      </c>
      <c r="D885" t="inlineStr">
        <is>
          <t>kilogram</t>
        </is>
      </c>
      <c r="F885" t="inlineStr">
        <is>
          <t>technosphere</t>
        </is>
      </c>
      <c r="G885" t="inlineStr">
        <is>
          <t>lime, hydrated, packed</t>
        </is>
      </c>
      <c r="I885" s="6" t="n">
        <v>473</v>
      </c>
      <c r="J885" s="11">
        <f>J876</f>
        <v>0.18087539100441291</v>
      </c>
      <c r="K885" t="n">
        <v>0</v>
      </c>
      <c r="L885" s="3" t="n"/>
    </row>
    <row r="886">
      <c r="A886" t="inlineStr">
        <is>
          <t>market for sodium hydroxide, without water, in 50% solution state</t>
        </is>
      </c>
      <c r="B886">
        <f>unallocated!B325/I886*J886</f>
        <v>1.9120020190741325E-4</v>
      </c>
      <c r="C886" t="inlineStr">
        <is>
          <t>RER</t>
        </is>
      </c>
      <c r="D886" t="inlineStr">
        <is>
          <t>kilogram</t>
        </is>
      </c>
      <c r="F886" t="inlineStr">
        <is>
          <t>technosphere</t>
        </is>
      </c>
      <c r="G886" t="inlineStr">
        <is>
          <t>sodium hydroxide, without water, in 50% solution state</t>
        </is>
      </c>
      <c r="H886" t="inlineStr">
        <is>
          <t>50% liquid ammonia. In original publication, it is dilluated to 27% in water. We discount the original value by 50%.</t>
        </is>
      </c>
      <c r="I886" s="6" t="n">
        <v>473</v>
      </c>
      <c r="J886" s="11">
        <f>J876</f>
        <v>0.18087539100441291</v>
      </c>
      <c r="K886" t="n">
        <v>0</v>
      </c>
      <c r="L886" s="3" t="n"/>
    </row>
    <row r="887">
      <c r="A887" t="inlineStr">
        <is>
          <t>market for monoethanolamine</t>
        </is>
      </c>
      <c r="B887">
        <f>unallocated!B326/I887*J887</f>
        <v>1.529601615259306E-3</v>
      </c>
      <c r="C887" t="inlineStr">
        <is>
          <t>GLO</t>
        </is>
      </c>
      <c r="D887" t="inlineStr">
        <is>
          <t>kilogram</t>
        </is>
      </c>
      <c r="F887" t="inlineStr">
        <is>
          <t>technosphere</t>
        </is>
      </c>
      <c r="G887" t="inlineStr">
        <is>
          <t>monoethanolamine</t>
        </is>
      </c>
      <c r="I887" s="6" t="n">
        <v>473</v>
      </c>
      <c r="J887" s="11">
        <f>J876</f>
        <v>0.18087539100441291</v>
      </c>
      <c r="K887" t="n">
        <v>0</v>
      </c>
      <c r="L887" s="3" t="n"/>
    </row>
    <row r="888">
      <c r="A888" t="inlineStr">
        <is>
          <t>municipal waste incineration facility construction</t>
        </is>
      </c>
      <c r="B888">
        <f>unallocated!B327/I888*J888</f>
        <v>9.5600100953706603E-11</v>
      </c>
      <c r="C888" t="inlineStr">
        <is>
          <t>CH</t>
        </is>
      </c>
      <c r="D888" t="inlineStr">
        <is>
          <t>unit</t>
        </is>
      </c>
      <c r="F888" t="inlineStr">
        <is>
          <t>technosphere</t>
        </is>
      </c>
      <c r="G888" t="inlineStr">
        <is>
          <t>municipal waste incineration facility</t>
        </is>
      </c>
      <c r="H888" t="inlineStr">
        <is>
          <t>Lifetime: 4'000'000 tons MSWI treated.</t>
        </is>
      </c>
      <c r="I888" s="6" t="n">
        <v>473</v>
      </c>
      <c r="J888" s="11">
        <f>J876</f>
        <v>0.18087539100441291</v>
      </c>
      <c r="K888" t="n">
        <v>2</v>
      </c>
      <c r="L888" s="3">
        <f>LN(B888)</f>
        <v>-23.070847239870634</v>
      </c>
      <c r="M888" t="n">
        <v>1</v>
      </c>
      <c r="N888" t="n">
        <v>1</v>
      </c>
      <c r="O888" t="n">
        <v>1</v>
      </c>
      <c r="P888" t="n">
        <v>1.02</v>
      </c>
      <c r="Q888" t="n">
        <v>1.2</v>
      </c>
      <c r="R888" t="n">
        <v>1</v>
      </c>
      <c r="S888" t="n">
        <v>3</v>
      </c>
      <c r="T888">
        <f>LN(SQRT(EXP(
SQRT(
+POWER(LN(M888),2)
+POWER(LN(N888),2)
+POWER(LN(O888),2)
+POWER(LN(P888),2)
+POWER(LN(Q888),2)
+POWER(LN(R888),2)
+POWER(LN(S888),2)
)
)))</f>
        <v>0.5569071410325479</v>
      </c>
    </row>
    <row r="889">
      <c r="A889" t="inlineStr">
        <is>
          <t>carbon dioxide storage at wood burning power plant 20 MW post, pipeline 200km, storage 1000m</t>
        </is>
      </c>
      <c r="B889">
        <f>unallocated!B328/I889*J889</f>
        <v>0.31471553233960214</v>
      </c>
      <c r="C889" t="inlineStr">
        <is>
          <t>RER</t>
        </is>
      </c>
      <c r="D889" t="inlineStr">
        <is>
          <t>kilogram</t>
        </is>
      </c>
      <c r="F889" t="inlineStr">
        <is>
          <t>technosphere</t>
        </is>
      </c>
      <c r="G889" t="inlineStr">
        <is>
          <t>carbon dioxide storage at wood burning power plant 20 MW post, pipeline 200km, storage 1000m</t>
        </is>
      </c>
      <c r="I889" s="6" t="n">
        <v>473</v>
      </c>
      <c r="J889" s="11">
        <f>J876</f>
        <v>0.18087539100441291</v>
      </c>
      <c r="K889" t="n">
        <v>2</v>
      </c>
      <c r="L889" s="3">
        <f>LN(B889)</f>
        <v>-1.1560861201094006</v>
      </c>
      <c r="M889" t="n">
        <v>1</v>
      </c>
      <c r="N889" t="n">
        <v>1</v>
      </c>
      <c r="O889" t="n">
        <v>1</v>
      </c>
      <c r="P889" t="n">
        <v>1.02</v>
      </c>
      <c r="Q889" t="n">
        <v>1.2</v>
      </c>
      <c r="R889" t="n">
        <v>1</v>
      </c>
      <c r="S889" t="n">
        <v>3</v>
      </c>
      <c r="T889">
        <f>LN(SQRT(EXP(
SQRT(
+POWER(LN(M889),2)
+POWER(LN(N889),2)
+POWER(LN(O889),2)
+POWER(LN(P889),2)
+POWER(LN(Q889),2)
+POWER(LN(R889),2)
+POWER(LN(S889),2)
)
)))</f>
        <v>0.5569071410325479</v>
      </c>
    </row>
    <row r="890">
      <c r="A890" t="inlineStr">
        <is>
          <t>Water, cooling, unspecified natural origin</t>
        </is>
      </c>
      <c r="B890">
        <f>unallocated!B329/I890*J890</f>
        <v>0</v>
      </c>
      <c r="D890" t="inlineStr">
        <is>
          <t>cubic meter</t>
        </is>
      </c>
      <c r="E890" t="inlineStr">
        <is>
          <t>natural resource::in water</t>
        </is>
      </c>
      <c r="F890" t="inlineStr">
        <is>
          <t>biosphere</t>
        </is>
      </c>
      <c r="I890" s="6" t="n">
        <v>473</v>
      </c>
      <c r="J890" s="11">
        <f>J876</f>
        <v>0.18087539100441291</v>
      </c>
      <c r="K890" t="n">
        <v>0</v>
      </c>
      <c r="L890" s="3" t="n"/>
    </row>
    <row r="891">
      <c r="A891" t="inlineStr">
        <is>
          <t>Sulfur dioxide</t>
        </is>
      </c>
      <c r="B891">
        <f>unallocated!B330/I891*J891</f>
        <v>2.2944024228889591E-6</v>
      </c>
      <c r="D891" t="inlineStr">
        <is>
          <t>kilogram</t>
        </is>
      </c>
      <c r="E891" t="inlineStr">
        <is>
          <t>air::urban air close to ground</t>
        </is>
      </c>
      <c r="F891" t="inlineStr">
        <is>
          <t>biosphere</t>
        </is>
      </c>
      <c r="I891" s="6" t="n">
        <v>473</v>
      </c>
      <c r="J891" s="11">
        <f>J876</f>
        <v>0.18087539100441291</v>
      </c>
      <c r="K891" t="n">
        <v>2</v>
      </c>
      <c r="L891" s="3">
        <f>LN(B891)</f>
        <v>-12.985038130540552</v>
      </c>
      <c r="M891" t="n">
        <v>1</v>
      </c>
      <c r="N891" t="n">
        <v>1</v>
      </c>
      <c r="O891" t="n">
        <v>1</v>
      </c>
      <c r="P891" t="n">
        <v>1.02</v>
      </c>
      <c r="Q891" t="n">
        <v>1.2</v>
      </c>
      <c r="R891" t="n">
        <v>1</v>
      </c>
      <c r="S891" t="n">
        <v>1.05</v>
      </c>
      <c r="T891">
        <f>LN(SQRT(EXP(
SQRT(
+POWER(LN(M891),2)
+POWER(LN(N891),2)
+POWER(LN(O891),2)
+POWER(LN(P891),2)
+POWER(LN(Q891),2)
+POWER(LN(R891),2)
+POWER(LN(S891),2)
)
)))</f>
        <v>9.4886477223156879E-2</v>
      </c>
    </row>
    <row r="892">
      <c r="A892" t="inlineStr">
        <is>
          <t>Hydrochloric acid</t>
        </is>
      </c>
      <c r="B892">
        <f>unallocated!B331/I892*J892</f>
        <v>1.1472012114444795E-6</v>
      </c>
      <c r="D892" t="inlineStr">
        <is>
          <t>kilogram</t>
        </is>
      </c>
      <c r="E892" t="inlineStr">
        <is>
          <t>air</t>
        </is>
      </c>
      <c r="F892" t="inlineStr">
        <is>
          <t>biosphere</t>
        </is>
      </c>
      <c r="I892" s="6" t="n">
        <v>473</v>
      </c>
      <c r="J892" s="11">
        <f>J876</f>
        <v>0.18087539100441291</v>
      </c>
      <c r="K892" t="n">
        <v>2</v>
      </c>
      <c r="L892" s="3">
        <f>LN(B892)</f>
        <v>-13.678185311100497</v>
      </c>
      <c r="M892" t="n">
        <v>1</v>
      </c>
      <c r="N892" t="n">
        <v>1</v>
      </c>
      <c r="O892" t="n">
        <v>1</v>
      </c>
      <c r="P892" t="n">
        <v>1.02</v>
      </c>
      <c r="Q892" t="n">
        <v>1.2</v>
      </c>
      <c r="R892" t="n">
        <v>1</v>
      </c>
      <c r="S892" t="n">
        <v>1.5</v>
      </c>
      <c r="T892">
        <f>LN(SQRT(EXP(
SQRT(
+POWER(LN(M892),2)
+POWER(LN(N892),2)
+POWER(LN(O892),2)
+POWER(LN(P892),2)
+POWER(LN(Q892),2)
+POWER(LN(R892),2)
+POWER(LN(S892),2)
)
)))</f>
        <v>0.22250575723605889</v>
      </c>
    </row>
    <row r="893">
      <c r="A893" t="inlineStr">
        <is>
          <t>Nitrogen oxides</t>
        </is>
      </c>
      <c r="B893">
        <f>unallocated!B332/I893*J893</f>
        <v>2.5888507338263752E-4</v>
      </c>
      <c r="D893" t="inlineStr">
        <is>
          <t>kilogram</t>
        </is>
      </c>
      <c r="E893" t="inlineStr">
        <is>
          <t>air::urban air close to ground</t>
        </is>
      </c>
      <c r="F893" t="inlineStr">
        <is>
          <t>biosphere</t>
        </is>
      </c>
      <c r="I893" s="6" t="n">
        <v>473</v>
      </c>
      <c r="J893" s="11">
        <f>J876</f>
        <v>0.18087539100441291</v>
      </c>
      <c r="K893" t="n">
        <v>2</v>
      </c>
      <c r="L893" s="3">
        <f>LN(B893)</f>
        <v>-8.2591263268563324</v>
      </c>
      <c r="M893" t="n">
        <v>1</v>
      </c>
      <c r="N893" t="n">
        <v>1</v>
      </c>
      <c r="O893" t="n">
        <v>1</v>
      </c>
      <c r="P893" t="n">
        <v>1.02</v>
      </c>
      <c r="Q893" t="n">
        <v>1.2</v>
      </c>
      <c r="R893" t="n">
        <v>1</v>
      </c>
      <c r="S893" t="n">
        <v>1.5</v>
      </c>
      <c r="T893">
        <f>LN(SQRT(EXP(
SQRT(
+POWER(LN(M893),2)
+POWER(LN(N893),2)
+POWER(LN(O893),2)
+POWER(LN(P893),2)
+POWER(LN(Q893),2)
+POWER(LN(R893),2)
+POWER(LN(S893),2)
)
)))</f>
        <v>0.22250575723605889</v>
      </c>
    </row>
    <row r="894">
      <c r="A894" t="inlineStr">
        <is>
          <t>Ammonia</t>
        </is>
      </c>
      <c r="B894">
        <f>unallocated!B333/I894*J894</f>
        <v>7.6480080762965305E-6</v>
      </c>
      <c r="D894" t="inlineStr">
        <is>
          <t>kilogram</t>
        </is>
      </c>
      <c r="E894" t="inlineStr">
        <is>
          <t>air::urban air close to ground</t>
        </is>
      </c>
      <c r="F894" t="inlineStr">
        <is>
          <t>biosphere</t>
        </is>
      </c>
      <c r="I894" s="6" t="n">
        <v>473</v>
      </c>
      <c r="J894" s="11">
        <f>J876</f>
        <v>0.18087539100441291</v>
      </c>
      <c r="K894" t="n">
        <v>2</v>
      </c>
      <c r="L894" s="3">
        <f>LN(B894)</f>
        <v>-11.781065326214616</v>
      </c>
      <c r="M894" t="n">
        <v>1</v>
      </c>
      <c r="N894" t="n">
        <v>1</v>
      </c>
      <c r="O894" t="n">
        <v>1</v>
      </c>
      <c r="P894" t="n">
        <v>1.02</v>
      </c>
      <c r="Q894" t="n">
        <v>1.2</v>
      </c>
      <c r="R894" t="n">
        <v>1</v>
      </c>
      <c r="S894" t="n">
        <v>1.5</v>
      </c>
      <c r="T894">
        <f>LN(SQRT(EXP(
SQRT(
+POWER(LN(M894),2)
+POWER(LN(N894),2)
+POWER(LN(O894),2)
+POWER(LN(P894),2)
+POWER(LN(Q894),2)
+POWER(LN(R894),2)
+POWER(LN(S894),2)
)
)))</f>
        <v>0.22250575723605889</v>
      </c>
    </row>
    <row r="895">
      <c r="A895" t="inlineStr">
        <is>
          <t>Particulate Matter, &lt; 2.5 um</t>
        </is>
      </c>
      <c r="B895">
        <f>unallocated!B334/I895*J895</f>
        <v>2.2944024228889591E-6</v>
      </c>
      <c r="D895" t="inlineStr">
        <is>
          <t>kilogram</t>
        </is>
      </c>
      <c r="E895" t="inlineStr">
        <is>
          <t>air::urban air close to ground</t>
        </is>
      </c>
      <c r="F895" t="inlineStr">
        <is>
          <t>biosphere</t>
        </is>
      </c>
      <c r="I895" s="6" t="n">
        <v>473</v>
      </c>
      <c r="J895" s="11">
        <f>J876</f>
        <v>0.18087539100441291</v>
      </c>
      <c r="K895" t="n">
        <v>2</v>
      </c>
      <c r="L895" s="3">
        <f>LN(B895)</f>
        <v>-12.985038130540552</v>
      </c>
      <c r="M895" t="n">
        <v>1</v>
      </c>
      <c r="N895" t="n">
        <v>1</v>
      </c>
      <c r="O895" t="n">
        <v>1</v>
      </c>
      <c r="P895" t="n">
        <v>1.02</v>
      </c>
      <c r="Q895" t="n">
        <v>1.2</v>
      </c>
      <c r="R895" t="n">
        <v>1</v>
      </c>
      <c r="S895" t="n">
        <v>3</v>
      </c>
      <c r="T895">
        <f>LN(SQRT(EXP(
SQRT(
+POWER(LN(M895),2)
+POWER(LN(N895),2)
+POWER(LN(O895),2)
+POWER(LN(P895),2)
+POWER(LN(Q895),2)
+POWER(LN(R895),2)
+POWER(LN(S895),2)
)
)))</f>
        <v>0.5569071410325479</v>
      </c>
    </row>
    <row r="896">
      <c r="A896" t="inlineStr">
        <is>
          <t>Mercury II</t>
        </is>
      </c>
      <c r="B896">
        <f>unallocated!B335/I896*J896</f>
        <v>2.2944024228889588E-9</v>
      </c>
      <c r="D896" t="inlineStr">
        <is>
          <t>kilogram</t>
        </is>
      </c>
      <c r="E896" t="inlineStr">
        <is>
          <t>air::urban air close to ground</t>
        </is>
      </c>
      <c r="F896" t="inlineStr">
        <is>
          <t>biosphere</t>
        </is>
      </c>
      <c r="I896" s="6" t="n">
        <v>473</v>
      </c>
      <c r="J896" s="11">
        <f>J876</f>
        <v>0.18087539100441291</v>
      </c>
      <c r="K896" t="n">
        <v>2</v>
      </c>
      <c r="L896" s="3">
        <f>LN(B896)</f>
        <v>-19.892793409522689</v>
      </c>
      <c r="M896" t="n">
        <v>1</v>
      </c>
      <c r="N896" t="n">
        <v>1</v>
      </c>
      <c r="O896" t="n">
        <v>1</v>
      </c>
      <c r="P896" t="n">
        <v>1.02</v>
      </c>
      <c r="Q896" t="n">
        <v>1.2</v>
      </c>
      <c r="R896" t="n">
        <v>1</v>
      </c>
      <c r="S896" t="n">
        <v>5</v>
      </c>
      <c r="T896">
        <f>LN(SQRT(EXP(
SQRT(
+POWER(LN(M896),2)
+POWER(LN(N896),2)
+POWER(LN(O896),2)
+POWER(LN(P896),2)
+POWER(LN(Q896),2)
+POWER(LN(R896),2)
+POWER(LN(S896),2)
)
)))</f>
        <v>0.80992649174166365</v>
      </c>
    </row>
    <row r="897">
      <c r="A897" t="inlineStr">
        <is>
          <t>Lead II</t>
        </is>
      </c>
      <c r="B897">
        <f>unallocated!B336/I897*J897</f>
        <v>2.2944024228889588E-9</v>
      </c>
      <c r="D897" t="inlineStr">
        <is>
          <t>kilogram</t>
        </is>
      </c>
      <c r="E897" t="inlineStr">
        <is>
          <t>air::urban air close to ground</t>
        </is>
      </c>
      <c r="F897" t="inlineStr">
        <is>
          <t>biosphere</t>
        </is>
      </c>
      <c r="I897" s="6" t="n">
        <v>473</v>
      </c>
      <c r="J897" s="11">
        <f>J876</f>
        <v>0.18087539100441291</v>
      </c>
      <c r="K897" t="n">
        <v>2</v>
      </c>
      <c r="L897" s="3">
        <f>LN(B897)</f>
        <v>-19.892793409522689</v>
      </c>
      <c r="M897" t="n">
        <v>1</v>
      </c>
      <c r="N897" t="n">
        <v>1</v>
      </c>
      <c r="O897" t="n">
        <v>1</v>
      </c>
      <c r="P897" t="n">
        <v>1.02</v>
      </c>
      <c r="Q897" t="n">
        <v>1.2</v>
      </c>
      <c r="R897" t="n">
        <v>1</v>
      </c>
      <c r="S897" t="n">
        <v>5</v>
      </c>
      <c r="T897">
        <f>LN(SQRT(EXP(
SQRT(
+POWER(LN(M897),2)
+POWER(LN(N897),2)
+POWER(LN(O897),2)
+POWER(LN(P897),2)
+POWER(LN(Q897),2)
+POWER(LN(R897),2)
+POWER(LN(S897),2)
)
)))</f>
        <v>0.80992649174166365</v>
      </c>
    </row>
    <row r="898">
      <c r="A898" t="inlineStr">
        <is>
          <t>Cadmium II</t>
        </is>
      </c>
      <c r="B898">
        <f>unallocated!B337/I898*J898</f>
        <v>1.1472012114444794E-9</v>
      </c>
      <c r="D898" t="inlineStr">
        <is>
          <t>kilogram</t>
        </is>
      </c>
      <c r="E898" t="inlineStr">
        <is>
          <t>air::urban air close to ground</t>
        </is>
      </c>
      <c r="F898" t="inlineStr">
        <is>
          <t>biosphere</t>
        </is>
      </c>
      <c r="I898" s="6" t="n">
        <v>473</v>
      </c>
      <c r="J898" s="11">
        <f>J876</f>
        <v>0.18087539100441291</v>
      </c>
      <c r="K898" t="n">
        <v>2</v>
      </c>
      <c r="L898" s="3">
        <f>LN(B898)</f>
        <v>-20.585940590082636</v>
      </c>
      <c r="M898" t="n">
        <v>1</v>
      </c>
      <c r="N898" t="n">
        <v>1</v>
      </c>
      <c r="O898" t="n">
        <v>1</v>
      </c>
      <c r="P898" t="n">
        <v>1.02</v>
      </c>
      <c r="Q898" t="n">
        <v>1.2</v>
      </c>
      <c r="R898" t="n">
        <v>1</v>
      </c>
      <c r="S898" t="n">
        <v>5</v>
      </c>
      <c r="T898">
        <f>LN(SQRT(EXP(
SQRT(
+POWER(LN(M898),2)
+POWER(LN(N898),2)
+POWER(LN(O898),2)
+POWER(LN(P898),2)
+POWER(LN(Q898),2)
+POWER(LN(R898),2)
+POWER(LN(S898),2)
)
)))</f>
        <v>0.80992649174166365</v>
      </c>
    </row>
    <row r="899">
      <c r="A899" t="inlineStr">
        <is>
          <t>Arsenic ion</t>
        </is>
      </c>
      <c r="B899">
        <f>unallocated!B338/I899*J899</f>
        <v>1.1472012114444794E-9</v>
      </c>
      <c r="D899" t="inlineStr">
        <is>
          <t>kilogram</t>
        </is>
      </c>
      <c r="E899" t="inlineStr">
        <is>
          <t>air::urban air close to ground</t>
        </is>
      </c>
      <c r="F899" t="inlineStr">
        <is>
          <t>biosphere</t>
        </is>
      </c>
      <c r="I899" s="6" t="n">
        <v>473</v>
      </c>
      <c r="J899" s="11">
        <f>J876</f>
        <v>0.18087539100441291</v>
      </c>
      <c r="K899" t="n">
        <v>2</v>
      </c>
      <c r="L899" s="3">
        <f>LN(B899)</f>
        <v>-20.585940590082636</v>
      </c>
      <c r="M899" t="n">
        <v>1</v>
      </c>
      <c r="N899" t="n">
        <v>1</v>
      </c>
      <c r="O899" t="n">
        <v>1</v>
      </c>
      <c r="P899" t="n">
        <v>1.02</v>
      </c>
      <c r="Q899" t="n">
        <v>1.2</v>
      </c>
      <c r="R899" t="n">
        <v>1</v>
      </c>
      <c r="S899" t="n">
        <v>5</v>
      </c>
      <c r="T899">
        <f>LN(SQRT(EXP(
SQRT(
+POWER(LN(M899),2)
+POWER(LN(N899),2)
+POWER(LN(O899),2)
+POWER(LN(P899),2)
+POWER(LN(Q899),2)
+POWER(LN(R899),2)
+POWER(LN(S899),2)
)
)))</f>
        <v>0.80992649174166365</v>
      </c>
    </row>
    <row r="900">
      <c r="A900" t="inlineStr">
        <is>
          <t>Dioxins, measured as 2,3,7,8-tetrachlorodibenzo-p-dioxin</t>
        </is>
      </c>
      <c r="B900">
        <f>unallocated!B339/I900*J900</f>
        <v>4.2064044419630914E-14</v>
      </c>
      <c r="D900" t="inlineStr">
        <is>
          <t>kilogram</t>
        </is>
      </c>
      <c r="E900" t="inlineStr">
        <is>
          <t>air::urban air close to ground</t>
        </is>
      </c>
      <c r="F900" t="inlineStr">
        <is>
          <t>biosphere</t>
        </is>
      </c>
      <c r="I900" s="6" t="n">
        <v>473</v>
      </c>
      <c r="J900" s="11">
        <f>J876</f>
        <v>0.18087539100441291</v>
      </c>
      <c r="K900" t="n">
        <v>2</v>
      </c>
      <c r="L900" s="3">
        <f>LN(B900)</f>
        <v>-30.799583070922601</v>
      </c>
      <c r="M900" t="n">
        <v>1</v>
      </c>
      <c r="N900" t="n">
        <v>1</v>
      </c>
      <c r="O900" t="n">
        <v>1</v>
      </c>
      <c r="P900" t="n">
        <v>1.02</v>
      </c>
      <c r="Q900" t="n">
        <v>1.2</v>
      </c>
      <c r="R900" t="n">
        <v>1</v>
      </c>
      <c r="S900" t="n">
        <v>5</v>
      </c>
      <c r="T900">
        <f>LN(SQRT(EXP(
SQRT(
+POWER(LN(M900),2)
+POWER(LN(N900),2)
+POWER(LN(O900),2)
+POWER(LN(P900),2)
+POWER(LN(Q900),2)
+POWER(LN(R900),2)
+POWER(LN(S900),2)
)
)))</f>
        <v>0.80992649174166365</v>
      </c>
    </row>
    <row r="901">
      <c r="A901" t="inlineStr">
        <is>
          <t>Carbon dioxide, fossil</t>
        </is>
      </c>
      <c r="B901">
        <f>unallocated!B340/I901*J901</f>
        <v>2.1414422613630281E-2</v>
      </c>
      <c r="D901" t="inlineStr">
        <is>
          <t>kilogram</t>
        </is>
      </c>
      <c r="E901" t="inlineStr">
        <is>
          <t>air::urban air close to ground</t>
        </is>
      </c>
      <c r="F901" t="inlineStr">
        <is>
          <t>biosphere</t>
        </is>
      </c>
      <c r="I901" s="6" t="n">
        <v>473</v>
      </c>
      <c r="J901" s="11">
        <f>J876</f>
        <v>0.18087539100441291</v>
      </c>
      <c r="K901" t="n">
        <v>2</v>
      </c>
      <c r="L901" s="3">
        <f>LN(B901)</f>
        <v>-3.8436906300513209</v>
      </c>
      <c r="M901" t="n">
        <v>1</v>
      </c>
      <c r="N901" t="n">
        <v>1</v>
      </c>
      <c r="O901" t="n">
        <v>1</v>
      </c>
      <c r="P901" t="n">
        <v>1.02</v>
      </c>
      <c r="Q901" t="n">
        <v>1.2</v>
      </c>
      <c r="R901" t="n">
        <v>1</v>
      </c>
      <c r="S901" t="n">
        <v>1.05</v>
      </c>
      <c r="T901">
        <f>LN(SQRT(EXP(
SQRT(
+POWER(LN(M901),2)
+POWER(LN(N901),2)
+POWER(LN(O901),2)
+POWER(LN(P901),2)
+POWER(LN(Q901),2)
+POWER(LN(R901),2)
+POWER(LN(S901),2)
)
)))</f>
        <v>9.4886477223156879E-2</v>
      </c>
    </row>
    <row r="902">
      <c r="A902" t="inlineStr">
        <is>
          <t>Carbon dioxide, non-fossil</t>
        </is>
      </c>
      <c r="B902">
        <f>unallocated!B341/I902*J902</f>
        <v>3.4033635939519552E-2</v>
      </c>
      <c r="D902" t="inlineStr">
        <is>
          <t>kilogram</t>
        </is>
      </c>
      <c r="E902" t="inlineStr">
        <is>
          <t>air::urban air close to ground</t>
        </is>
      </c>
      <c r="F902" t="inlineStr">
        <is>
          <t>biosphere</t>
        </is>
      </c>
      <c r="I902" s="6" t="n">
        <v>473</v>
      </c>
      <c r="J902" s="14">
        <f>J876</f>
        <v>0.18087539100441291</v>
      </c>
      <c r="K902" t="n">
        <v>2</v>
      </c>
      <c r="L902" s="3">
        <f>LN(B902)</f>
        <v>-3.3804059510543305</v>
      </c>
      <c r="M902" t="n">
        <v>1</v>
      </c>
      <c r="N902" t="n">
        <v>1</v>
      </c>
      <c r="O902" t="n">
        <v>1</v>
      </c>
      <c r="P902" t="n">
        <v>1.02</v>
      </c>
      <c r="Q902" t="n">
        <v>1.2</v>
      </c>
      <c r="R902" t="n">
        <v>1</v>
      </c>
      <c r="S902" t="n">
        <v>1.05</v>
      </c>
      <c r="T902">
        <f>LN(SQRT(EXP(
SQRT(
+POWER(LN(M902),2)
+POWER(LN(N902),2)
+POWER(LN(O902),2)
+POWER(LN(P902),2)
+POWER(LN(Q902),2)
+POWER(LN(R902),2)
+POWER(LN(S902),2)
)
)))</f>
        <v>9.4886477223156879E-2</v>
      </c>
    </row>
    <row r="903">
      <c r="A903" t="inlineStr">
        <is>
          <t>Carbon dioxide, in air</t>
        </is>
      </c>
      <c r="B903">
        <f>unallocated!B342/I903*J903</f>
        <v>0.19311220392648737</v>
      </c>
      <c r="D903" t="inlineStr">
        <is>
          <t>kilogram</t>
        </is>
      </c>
      <c r="E903" t="inlineStr">
        <is>
          <t>natural resource::in air</t>
        </is>
      </c>
      <c r="F903" t="inlineStr">
        <is>
          <t>biosphere</t>
        </is>
      </c>
      <c r="H903" t="inlineStr">
        <is>
          <t>To reflect the permanent storage of non-fossil CO.</t>
        </is>
      </c>
      <c r="I903" s="6" t="n">
        <v>473</v>
      </c>
      <c r="J903" s="14">
        <f>J876</f>
        <v>0.18087539100441291</v>
      </c>
      <c r="K903" t="n">
        <v>2</v>
      </c>
      <c r="L903" s="3">
        <f>LN(B903)</f>
        <v>-1.6444838915111104</v>
      </c>
      <c r="M903" t="n">
        <v>1</v>
      </c>
      <c r="N903" t="n">
        <v>1</v>
      </c>
      <c r="O903" t="n">
        <v>1</v>
      </c>
      <c r="P903" t="n">
        <v>1.02</v>
      </c>
      <c r="Q903" t="n">
        <v>1.2</v>
      </c>
      <c r="R903" t="n">
        <v>1</v>
      </c>
      <c r="S903" t="n">
        <v>1.05</v>
      </c>
      <c r="T903">
        <f>LN(SQRT(EXP(
SQRT(
+POWER(LN(M903),2)
+POWER(LN(N903),2)
+POWER(LN(O903),2)
+POWER(LN(P903),2)
+POWER(LN(Q903),2)
+POWER(LN(R903),2)
+POWER(LN(S903),2)
)
)))</f>
        <v>9.4886477223156879E-2</v>
      </c>
    </row>
    <row r="904"/>
    <row r="905">
      <c r="A905" s="1" t="inlineStr">
        <is>
          <t>Activity</t>
        </is>
      </c>
      <c r="B905" s="1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</row>
    <row r="906">
      <c r="A906" t="inlineStr">
        <is>
          <t>location</t>
        </is>
      </c>
      <c r="B906" t="inlineStr">
        <is>
          <t>RER</t>
        </is>
      </c>
    </row>
    <row r="907">
      <c r="A907" t="inlineStr">
        <is>
          <t>production amount</t>
        </is>
      </c>
      <c r="B907" t="n">
        <v>1</v>
      </c>
    </row>
    <row r="908">
      <c r="A908" s="2" t="inlineStr">
        <is>
          <t>source</t>
        </is>
      </c>
      <c r="B908" t="inlineStr">
        <is>
          <t>Valentina Bisinella, Tore Hulgaard, Christian Riber, Anders Damgaard, Thomas H. Christensen, Environmental assessment of carbon capture and storage (CCS) as a post-treatment technology in waste incineration, Waste Management, Volume 128, 2021, Pages 99-113, ISSN 0956-053X, https://doi.org/10.1016/j.wasman.2021.04.046.</t>
        </is>
      </c>
    </row>
    <row r="909">
      <c r="A909" t="inlineStr">
        <is>
          <t>reference product</t>
        </is>
      </c>
      <c r="B909" t="inlineStr">
        <is>
          <t>heat, district or industrial, other than natural gas</t>
        </is>
      </c>
    </row>
    <row r="910">
      <c r="A910" t="inlineStr">
        <is>
          <t>type</t>
        </is>
      </c>
      <c r="B910" t="inlineStr">
        <is>
          <t>process</t>
        </is>
      </c>
    </row>
    <row r="911">
      <c r="A911" t="inlineStr">
        <is>
          <t>unit</t>
        </is>
      </c>
      <c r="B911" t="inlineStr">
        <is>
          <t>megajoule</t>
        </is>
      </c>
    </row>
    <row r="912">
      <c r="A912" t="inlineStr">
        <is>
          <t>comment</t>
        </is>
      </c>
      <c r="B912" t="inlineStr">
        <is>
          <t>The incineration plant is a multi-output activity: 1) waste treatment, 2) heat production, 3) electricity production. Data on MSW composition as received at an incinerator in Copenhagen, Denmark. The estimated lower heating value is 9.9 GJ/tonne wet waste, and total carbon content is 264 kg C/tonne wet waste, 39% of which is fossil and 61% biogenic. Lower heating value (GJ/tonne ww): 9.9. Water content (kg/tonne ww): 432. Fossil carbon content (kg C/tonne ww): 102. Biogenic carbon content (kg C/tonne ww): 162. Air Pollution Contral (APC): Wet. Flue gas condensation: No. Power production: Yes. Heat production: Yes. Carbon capture: Yes. Electricity production per ton MSWI incinerated: 317 kWh. Heat production per ton MSWI incinerated: 7'400 MJ.</t>
        </is>
      </c>
    </row>
    <row r="913">
      <c r="A913" s="1" t="inlineStr">
        <is>
          <t>Exchanges</t>
        </is>
      </c>
    </row>
    <row r="914">
      <c r="A914" s="7" t="inlineStr">
        <is>
          <t>name</t>
        </is>
      </c>
      <c r="B914" s="7" t="inlineStr">
        <is>
          <t>amount</t>
        </is>
      </c>
      <c r="C914" s="7" t="inlineStr">
        <is>
          <t>location</t>
        </is>
      </c>
      <c r="D914" s="7" t="inlineStr">
        <is>
          <t>unit</t>
        </is>
      </c>
      <c r="E914" s="7" t="inlineStr">
        <is>
          <t>categories</t>
        </is>
      </c>
      <c r="F914" s="7" t="inlineStr">
        <is>
          <t>type</t>
        </is>
      </c>
      <c r="G914" s="7" t="inlineStr">
        <is>
          <t>reference product</t>
        </is>
      </c>
      <c r="H914" s="7" t="inlineStr">
        <is>
          <t>comment</t>
        </is>
      </c>
      <c r="I914" s="7" t="inlineStr">
        <is>
          <t>normalization</t>
        </is>
      </c>
      <c r="J914" s="7" t="inlineStr">
        <is>
          <t>allocation</t>
        </is>
      </c>
      <c r="K914" s="7" t="inlineStr">
        <is>
          <t>uncertainty type</t>
        </is>
      </c>
      <c r="L914" s="7" t="inlineStr">
        <is>
          <t>loc</t>
        </is>
      </c>
      <c r="M914" s="1" t="inlineStr">
        <is>
          <t>u1</t>
        </is>
      </c>
      <c r="N914" s="1" t="inlineStr">
        <is>
          <t>u2</t>
        </is>
      </c>
      <c r="O914" s="1" t="inlineStr">
        <is>
          <t>u3</t>
        </is>
      </c>
      <c r="P914" s="1" t="inlineStr">
        <is>
          <t>u4</t>
        </is>
      </c>
      <c r="Q914" s="1" t="inlineStr">
        <is>
          <t>u5</t>
        </is>
      </c>
      <c r="R914" s="1" t="inlineStr">
        <is>
          <t>u6</t>
        </is>
      </c>
      <c r="S914" s="1" t="inlineStr">
        <is>
          <t>ub</t>
        </is>
      </c>
      <c r="T914" s="1" t="inlineStr">
        <is>
          <t>scale</t>
        </is>
      </c>
      <c r="U914" s="1" t="inlineStr">
        <is>
          <t>negative</t>
        </is>
      </c>
    </row>
    <row r="915">
      <c r="A915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B915" t="n">
        <v>0</v>
      </c>
      <c r="C915" t="inlineStr">
        <is>
          <t>RER</t>
        </is>
      </c>
      <c r="D915" t="inlineStr">
        <is>
          <t>kilogram</t>
        </is>
      </c>
      <c r="F915" t="inlineStr">
        <is>
          <t>technosphere</t>
        </is>
      </c>
      <c r="G915" t="inlineStr">
        <is>
          <t>municipal solid waste</t>
        </is>
      </c>
      <c r="H915" t="inlineStr"/>
      <c r="I915" t="n">
        <v>8510</v>
      </c>
      <c r="J915" s="14">
        <f>INDEX('allocation keys'!$L$4:$N$30,MATCH('allocated (economic)'!$B$905,'allocation keys'!$B$4:$B$30,0),MATCH('allocated (economic)'!$B$909,'allocation keys'!$L$3:$N$3,0))</f>
        <v>0.34494810826520234</v>
      </c>
      <c r="K915" t="n">
        <v>0</v>
      </c>
      <c r="M915" s="5" t="n"/>
      <c r="N915" s="5" t="n"/>
      <c r="O915" s="5" t="n"/>
      <c r="P915" s="5" t="n"/>
      <c r="Q915" s="5" t="n"/>
      <c r="R915" s="5" t="n"/>
    </row>
    <row r="916">
      <c r="A916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B916" s="6" t="n">
        <v>0</v>
      </c>
      <c r="C916" t="inlineStr">
        <is>
          <t>RER</t>
        </is>
      </c>
      <c r="D916" t="inlineStr">
        <is>
          <t>kilowatt hour</t>
        </is>
      </c>
      <c r="F916" t="inlineStr">
        <is>
          <t>technosphere</t>
        </is>
      </c>
      <c r="G916" t="inlineStr">
        <is>
          <t>electricity, medium voltage</t>
        </is>
      </c>
      <c r="H916" t="inlineStr"/>
      <c r="I916" t="n">
        <v>8510</v>
      </c>
      <c r="J916" s="11">
        <f>J915</f>
        <v>0.34494810826520234</v>
      </c>
      <c r="K916" t="n">
        <v>0</v>
      </c>
      <c r="L916" s="3" t="n"/>
    </row>
    <row r="917">
      <c r="A917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B917" t="n">
        <v>1</v>
      </c>
      <c r="C917" t="inlineStr">
        <is>
          <t>RER</t>
        </is>
      </c>
      <c r="D917" t="inlineStr">
        <is>
          <t>megajoule</t>
        </is>
      </c>
      <c r="F917" t="inlineStr">
        <is>
          <t>production</t>
        </is>
      </c>
      <c r="G917" t="inlineStr">
        <is>
          <t>heat, district or industrial, other than natural gas</t>
        </is>
      </c>
      <c r="H917" t="inlineStr"/>
      <c r="I917" t="n">
        <v>8510</v>
      </c>
      <c r="J917" s="11">
        <f>J915</f>
        <v>0.34494810826520234</v>
      </c>
      <c r="K917" t="n">
        <v>0</v>
      </c>
      <c r="L917" s="3" t="n"/>
    </row>
    <row r="918">
      <c r="A918" t="inlineStr">
        <is>
          <t>market for diesel, low-sulfur</t>
        </is>
      </c>
      <c r="B918">
        <f>unallocated!B318/I918*J918</f>
        <v>3.4454276383715863E-6</v>
      </c>
      <c r="C918" t="inlineStr">
        <is>
          <t>Europe without Switzerland</t>
        </is>
      </c>
      <c r="D918" t="inlineStr">
        <is>
          <t>kilogram</t>
        </is>
      </c>
      <c r="F918" t="inlineStr">
        <is>
          <t>technosphere</t>
        </is>
      </c>
      <c r="G918" t="inlineStr">
        <is>
          <t>diesel, low-sulfur</t>
        </is>
      </c>
      <c r="H918" t="inlineStr">
        <is>
          <t>Diesel density: 0.85 kg/l</t>
        </is>
      </c>
      <c r="I918" t="n">
        <v>8510</v>
      </c>
      <c r="J918" s="11">
        <f>J915</f>
        <v>0.34494810826520234</v>
      </c>
      <c r="K918" t="n">
        <v>2</v>
      </c>
      <c r="L918" s="3">
        <f>LN(B918)</f>
        <v>-12.578462528148361</v>
      </c>
      <c r="M918" t="n">
        <v>1</v>
      </c>
      <c r="N918" t="n">
        <v>1</v>
      </c>
      <c r="O918" t="n">
        <v>1</v>
      </c>
      <c r="P918" t="n">
        <v>1.02</v>
      </c>
      <c r="Q918" t="n">
        <v>1.2</v>
      </c>
      <c r="R918" t="n">
        <v>1</v>
      </c>
      <c r="S918" t="n">
        <v>1.05</v>
      </c>
      <c r="T918">
        <f>LN(SQRT(EXP(
SQRT(
+POWER(LN(M918),2)
+POWER(LN(N918),2)
+POWER(LN(O918),2)
+POWER(LN(P918),2)
+POWER(LN(Q918),2)
+POWER(LN(R918),2)
+POWER(LN(S918),2)
)
)))</f>
        <v>9.4886477223156879E-2</v>
      </c>
    </row>
    <row r="919">
      <c r="A919" t="inlineStr">
        <is>
          <t>market for activated carbon, granular</t>
        </is>
      </c>
      <c r="B919">
        <f>unallocated!B319/I919*J919</f>
        <v>1.6213777121748641E-5</v>
      </c>
      <c r="C919" t="inlineStr">
        <is>
          <t>GLO</t>
        </is>
      </c>
      <c r="D919" t="inlineStr">
        <is>
          <t>kilogram</t>
        </is>
      </c>
      <c r="F919" t="inlineStr">
        <is>
          <t>technosphere</t>
        </is>
      </c>
      <c r="G919" t="inlineStr">
        <is>
          <t>activated carbon, granular</t>
        </is>
      </c>
      <c r="I919" t="n">
        <v>8510</v>
      </c>
      <c r="J919" s="11">
        <f>J915</f>
        <v>0.34494810826520234</v>
      </c>
      <c r="K919" t="n">
        <v>2</v>
      </c>
      <c r="L919" s="3">
        <f>LN(B919)</f>
        <v>-11.029649237530695</v>
      </c>
      <c r="M919" t="n">
        <v>1</v>
      </c>
      <c r="N919" t="n">
        <v>1</v>
      </c>
      <c r="O919" t="n">
        <v>1</v>
      </c>
      <c r="P919" t="n">
        <v>1.02</v>
      </c>
      <c r="Q919" t="n">
        <v>1.2</v>
      </c>
      <c r="R919" t="n">
        <v>1</v>
      </c>
      <c r="S919" t="n">
        <v>1.05</v>
      </c>
      <c r="T919">
        <f>LN(SQRT(EXP(
SQRT(
+POWER(LN(M919),2)
+POWER(LN(N919),2)
+POWER(LN(O919),2)
+POWER(LN(P919),2)
+POWER(LN(Q919),2)
+POWER(LN(R919),2)
+POWER(LN(S919),2)
)
)))</f>
        <v>9.4886477223156879E-2</v>
      </c>
    </row>
    <row r="920">
      <c r="A920" t="inlineStr">
        <is>
          <t>market for ammonia, anhydrous, liquid</t>
        </is>
      </c>
      <c r="B920">
        <f>unallocated!B320/I920*J920</f>
        <v>3.9723753948284168E-5</v>
      </c>
      <c r="C920" t="inlineStr">
        <is>
          <t>RER</t>
        </is>
      </c>
      <c r="D920" t="inlineStr">
        <is>
          <t>kilogram</t>
        </is>
      </c>
      <c r="F920" t="inlineStr">
        <is>
          <t>technosphere</t>
        </is>
      </c>
      <c r="G920" t="inlineStr">
        <is>
          <t>ammonia, anhydrous, liquid</t>
        </is>
      </c>
      <c r="H920" t="inlineStr">
        <is>
          <t>100% liquid ammonia. In original publication, it is dilluated to 23.5% in water. We discount the original value by 75%.</t>
        </is>
      </c>
      <c r="I920" t="n">
        <v>8510</v>
      </c>
      <c r="J920" s="11">
        <f>J915</f>
        <v>0.34494810826520234</v>
      </c>
      <c r="K920" t="n">
        <v>2</v>
      </c>
      <c r="L920" s="3">
        <f>LN(B920)</f>
        <v>-10.13356121297406</v>
      </c>
      <c r="M920" t="n">
        <v>1</v>
      </c>
      <c r="N920" t="n">
        <v>1</v>
      </c>
      <c r="O920" t="n">
        <v>1</v>
      </c>
      <c r="P920" t="n">
        <v>1.02</v>
      </c>
      <c r="Q920" t="n">
        <v>1.2</v>
      </c>
      <c r="R920" t="n">
        <v>1</v>
      </c>
      <c r="S920" t="n">
        <v>1.05</v>
      </c>
      <c r="T920">
        <f>LN(SQRT(EXP(
SQRT(
+POWER(LN(M920),2)
+POWER(LN(N920),2)
+POWER(LN(O920),2)
+POWER(LN(P920),2)
+POWER(LN(Q920),2)
+POWER(LN(R920),2)
+POWER(LN(S920),2)
)
)))</f>
        <v>9.4886477223156879E-2</v>
      </c>
    </row>
    <row r="921">
      <c r="A921" t="inlineStr">
        <is>
          <t>market for tap water</t>
        </is>
      </c>
      <c r="B921">
        <f>unallocated!B321/I921*J921</f>
        <v>1.2241401726920223E-4</v>
      </c>
      <c r="C921" t="inlineStr">
        <is>
          <t>Europe without Switzerland</t>
        </is>
      </c>
      <c r="D921" t="inlineStr">
        <is>
          <t>kilogram</t>
        </is>
      </c>
      <c r="F921" t="inlineStr">
        <is>
          <t>technosphere</t>
        </is>
      </c>
      <c r="G921" t="inlineStr">
        <is>
          <t>tap water</t>
        </is>
      </c>
      <c r="H921" t="inlineStr">
        <is>
          <t>Used to dilute the ammonia.</t>
        </is>
      </c>
      <c r="I921" t="n">
        <v>8510</v>
      </c>
      <c r="J921" s="11">
        <f>J915</f>
        <v>0.34494810826520234</v>
      </c>
      <c r="K921" t="n">
        <v>2</v>
      </c>
      <c r="L921" s="3">
        <f>LN(B921)</f>
        <v>-9.0081016742697617</v>
      </c>
      <c r="M921" t="n">
        <v>1</v>
      </c>
      <c r="N921" t="n">
        <v>1</v>
      </c>
      <c r="O921" t="n">
        <v>1</v>
      </c>
      <c r="P921" t="n">
        <v>1.02</v>
      </c>
      <c r="Q921" t="n">
        <v>1.2</v>
      </c>
      <c r="R921" t="n">
        <v>1</v>
      </c>
      <c r="S921" t="n">
        <v>1.05</v>
      </c>
      <c r="T921">
        <f>LN(SQRT(EXP(
SQRT(
+POWER(LN(M921),2)
+POWER(LN(N921),2)
+POWER(LN(O921),2)
+POWER(LN(P921),2)
+POWER(LN(Q921),2)
+POWER(LN(R921),2)
+POWER(LN(S921),2)
)
)))</f>
        <v>9.4886477223156879E-2</v>
      </c>
    </row>
    <row r="922">
      <c r="A922" t="inlineStr">
        <is>
          <t>market for calcium carbonate, precipitated</t>
        </is>
      </c>
      <c r="B922">
        <f>unallocated!B322/I922*J922</f>
        <v>2.8374109963060119E-4</v>
      </c>
      <c r="C922" t="inlineStr">
        <is>
          <t>RER</t>
        </is>
      </c>
      <c r="D922" t="inlineStr">
        <is>
          <t>kilogram</t>
        </is>
      </c>
      <c r="F922" t="inlineStr">
        <is>
          <t>technosphere</t>
        </is>
      </c>
      <c r="G922" t="inlineStr">
        <is>
          <t>calcium carbonate, precipitated</t>
        </is>
      </c>
      <c r="I922" t="n">
        <v>8510</v>
      </c>
      <c r="J922" s="11">
        <f>J915</f>
        <v>0.34494810826520234</v>
      </c>
      <c r="K922" t="n">
        <v>0</v>
      </c>
      <c r="L922" s="3" t="n"/>
    </row>
    <row r="923">
      <c r="A923" t="inlineStr">
        <is>
          <t>market for iron(III) chloride, without water, in 40% solution state</t>
        </is>
      </c>
      <c r="B923">
        <f>unallocated!B323/I923*J923</f>
        <v>2.0267221402185801E-6</v>
      </c>
      <c r="C923" t="inlineStr">
        <is>
          <t>GLO</t>
        </is>
      </c>
      <c r="D923" t="inlineStr">
        <is>
          <t>kilogram</t>
        </is>
      </c>
      <c r="F923" t="inlineStr">
        <is>
          <t>technosphere</t>
        </is>
      </c>
      <c r="G923" t="inlineStr">
        <is>
          <t>iron(III) chloride, without water, in 40% solution state</t>
        </is>
      </c>
      <c r="I923" t="n">
        <v>8510</v>
      </c>
      <c r="J923" s="11">
        <f>J915</f>
        <v>0.34494810826520234</v>
      </c>
      <c r="K923" t="n">
        <v>0</v>
      </c>
      <c r="L923" s="3" t="n"/>
    </row>
    <row r="924">
      <c r="A924" t="inlineStr">
        <is>
          <t>market for lime, hydrated, packed</t>
        </is>
      </c>
      <c r="B924">
        <f>unallocated!B324/I924*J924</f>
        <v>0</v>
      </c>
      <c r="C924" t="inlineStr">
        <is>
          <t>RER</t>
        </is>
      </c>
      <c r="D924" t="inlineStr">
        <is>
          <t>kilogram</t>
        </is>
      </c>
      <c r="F924" t="inlineStr">
        <is>
          <t>technosphere</t>
        </is>
      </c>
      <c r="G924" t="inlineStr">
        <is>
          <t>lime, hydrated, packed</t>
        </is>
      </c>
      <c r="I924" t="n">
        <v>8510</v>
      </c>
      <c r="J924" s="11">
        <f>J915</f>
        <v>0.34494810826520234</v>
      </c>
      <c r="K924" t="n">
        <v>0</v>
      </c>
      <c r="L924" s="3" t="n"/>
    </row>
    <row r="925">
      <c r="A925" t="inlineStr">
        <is>
          <t>market for sodium hydroxide, without water, in 50% solution state</t>
        </is>
      </c>
      <c r="B925">
        <f>unallocated!B325/I925*J925</f>
        <v>2.0267221402185801E-5</v>
      </c>
      <c r="C925" t="inlineStr">
        <is>
          <t>RER</t>
        </is>
      </c>
      <c r="D925" t="inlineStr">
        <is>
          <t>kilogram</t>
        </is>
      </c>
      <c r="F925" t="inlineStr">
        <is>
          <t>technosphere</t>
        </is>
      </c>
      <c r="G925" t="inlineStr">
        <is>
          <t>sodium hydroxide, without water, in 50% solution state</t>
        </is>
      </c>
      <c r="H925" t="inlineStr">
        <is>
          <t>50% liquid ammonia. In original publication, it is dilluated to 27% in water. We discount the original value by 50%.</t>
        </is>
      </c>
      <c r="I925" t="n">
        <v>8510</v>
      </c>
      <c r="J925" s="11">
        <f>J915</f>
        <v>0.34494810826520234</v>
      </c>
      <c r="K925" t="n">
        <v>0</v>
      </c>
      <c r="L925" s="3" t="n"/>
    </row>
    <row r="926">
      <c r="A926" t="inlineStr">
        <is>
          <t>market for monoethanolamine</t>
        </is>
      </c>
      <c r="B926">
        <f>unallocated!B326/I926*J926</f>
        <v>1.6213777121748641E-4</v>
      </c>
      <c r="C926" t="inlineStr">
        <is>
          <t>GLO</t>
        </is>
      </c>
      <c r="D926" t="inlineStr">
        <is>
          <t>kilogram</t>
        </is>
      </c>
      <c r="F926" t="inlineStr">
        <is>
          <t>technosphere</t>
        </is>
      </c>
      <c r="G926" t="inlineStr">
        <is>
          <t>monoethanolamine</t>
        </is>
      </c>
      <c r="I926" t="n">
        <v>8510</v>
      </c>
      <c r="J926" s="11">
        <f>J915</f>
        <v>0.34494810826520234</v>
      </c>
      <c r="K926" t="n">
        <v>0</v>
      </c>
      <c r="L926" s="3" t="n"/>
    </row>
    <row r="927">
      <c r="A927" t="inlineStr">
        <is>
          <t>municipal waste incineration facility construction</t>
        </is>
      </c>
      <c r="B927">
        <f>unallocated!B327/I927*J927</f>
        <v>1.0133610701092901E-11</v>
      </c>
      <c r="C927" t="inlineStr">
        <is>
          <t>CH</t>
        </is>
      </c>
      <c r="D927" t="inlineStr">
        <is>
          <t>unit</t>
        </is>
      </c>
      <c r="F927" t="inlineStr">
        <is>
          <t>technosphere</t>
        </is>
      </c>
      <c r="G927" t="inlineStr">
        <is>
          <t>municipal waste incineration facility</t>
        </is>
      </c>
      <c r="H927" t="inlineStr">
        <is>
          <t>Lifetime: 4'000'000 tons MSWI treated.</t>
        </is>
      </c>
      <c r="I927" t="n">
        <v>8510</v>
      </c>
      <c r="J927" s="11">
        <f>J915</f>
        <v>0.34494810826520234</v>
      </c>
      <c r="K927" t="n">
        <v>2</v>
      </c>
      <c r="L927" s="3">
        <f>LN(B927)</f>
        <v>-25.315163424740703</v>
      </c>
      <c r="M927" t="n">
        <v>1</v>
      </c>
      <c r="N927" t="n">
        <v>1</v>
      </c>
      <c r="O927" t="n">
        <v>1</v>
      </c>
      <c r="P927" t="n">
        <v>1.02</v>
      </c>
      <c r="Q927" t="n">
        <v>1.2</v>
      </c>
      <c r="R927" t="n">
        <v>1</v>
      </c>
      <c r="S927" t="n">
        <v>3</v>
      </c>
      <c r="T927">
        <f>LN(SQRT(EXP(
SQRT(
+POWER(LN(M927),2)
+POWER(LN(N927),2)
+POWER(LN(O927),2)
+POWER(LN(P927),2)
+POWER(LN(Q927),2)
+POWER(LN(R927),2)
+POWER(LN(S927),2)
)
)))</f>
        <v>0.5569071410325479</v>
      </c>
    </row>
    <row r="928">
      <c r="A928" t="inlineStr">
        <is>
          <t>carbon dioxide storage at wood burning power plant 20 MW post, pipeline 200km, storage 1000m</t>
        </is>
      </c>
      <c r="B928">
        <f>unallocated!B328/I928*J928</f>
        <v>3.335984642799783E-2</v>
      </c>
      <c r="C928" t="inlineStr">
        <is>
          <t>RER</t>
        </is>
      </c>
      <c r="D928" t="inlineStr">
        <is>
          <t>kilogram</t>
        </is>
      </c>
      <c r="F928" t="inlineStr">
        <is>
          <t>technosphere</t>
        </is>
      </c>
      <c r="G928" t="inlineStr">
        <is>
          <t>carbon dioxide storage at wood burning power plant 20 MW post, pipeline 200km, storage 1000m</t>
        </is>
      </c>
      <c r="I928" t="n">
        <v>8510</v>
      </c>
      <c r="J928" s="11">
        <f>J915</f>
        <v>0.34494810826520234</v>
      </c>
      <c r="K928" t="n">
        <v>2</v>
      </c>
      <c r="L928" s="3">
        <f>LN(B928)</f>
        <v>-3.4004023049794703</v>
      </c>
      <c r="M928" t="n">
        <v>1</v>
      </c>
      <c r="N928" t="n">
        <v>1</v>
      </c>
      <c r="O928" t="n">
        <v>1</v>
      </c>
      <c r="P928" t="n">
        <v>1.02</v>
      </c>
      <c r="Q928" t="n">
        <v>1.2</v>
      </c>
      <c r="R928" t="n">
        <v>1</v>
      </c>
      <c r="S928" t="n">
        <v>3</v>
      </c>
      <c r="T928">
        <f>LN(SQRT(EXP(
SQRT(
+POWER(LN(M928),2)
+POWER(LN(N928),2)
+POWER(LN(O928),2)
+POWER(LN(P928),2)
+POWER(LN(Q928),2)
+POWER(LN(R928),2)
+POWER(LN(S928),2)
)
)))</f>
        <v>0.5569071410325479</v>
      </c>
    </row>
    <row r="929">
      <c r="A929" t="inlineStr">
        <is>
          <t>Water, cooling, unspecified natural origin</t>
        </is>
      </c>
      <c r="B929">
        <f>unallocated!B329/I929*J929</f>
        <v>0</v>
      </c>
      <c r="D929" t="inlineStr">
        <is>
          <t>cubic meter</t>
        </is>
      </c>
      <c r="E929" t="inlineStr">
        <is>
          <t>natural resource::in water</t>
        </is>
      </c>
      <c r="F929" t="inlineStr">
        <is>
          <t>biosphere</t>
        </is>
      </c>
      <c r="I929" t="n">
        <v>8510</v>
      </c>
      <c r="J929" s="11">
        <f>J915</f>
        <v>0.34494810826520234</v>
      </c>
      <c r="K929" t="n">
        <v>0</v>
      </c>
      <c r="L929" s="3" t="n"/>
    </row>
    <row r="930">
      <c r="A930" t="inlineStr">
        <is>
          <t>Sulfur dioxide</t>
        </is>
      </c>
      <c r="B930">
        <f>unallocated!B330/I930*J930</f>
        <v>2.4320665682622962E-7</v>
      </c>
      <c r="D930" t="inlineStr">
        <is>
          <t>kilogram</t>
        </is>
      </c>
      <c r="E930" t="inlineStr">
        <is>
          <t>air::urban air close to ground</t>
        </is>
      </c>
      <c r="F930" t="inlineStr">
        <is>
          <t>biosphere</t>
        </is>
      </c>
      <c r="I930" t="n">
        <v>8510</v>
      </c>
      <c r="J930" s="11">
        <f>J915</f>
        <v>0.34494810826520234</v>
      </c>
      <c r="K930" t="n">
        <v>2</v>
      </c>
      <c r="L930" s="3">
        <f>LN(B930)</f>
        <v>-15.229354315410623</v>
      </c>
      <c r="M930" t="n">
        <v>1</v>
      </c>
      <c r="N930" t="n">
        <v>1</v>
      </c>
      <c r="O930" t="n">
        <v>1</v>
      </c>
      <c r="P930" t="n">
        <v>1.02</v>
      </c>
      <c r="Q930" t="n">
        <v>1.2</v>
      </c>
      <c r="R930" t="n">
        <v>1</v>
      </c>
      <c r="S930" t="n">
        <v>1.05</v>
      </c>
      <c r="T930">
        <f>LN(SQRT(EXP(
SQRT(
+POWER(LN(M930),2)
+POWER(LN(N930),2)
+POWER(LN(O930),2)
+POWER(LN(P930),2)
+POWER(LN(Q930),2)
+POWER(LN(R930),2)
+POWER(LN(S930),2)
)
)))</f>
        <v>9.4886477223156879E-2</v>
      </c>
    </row>
    <row r="931">
      <c r="A931" t="inlineStr">
        <is>
          <t>Hydrochloric acid</t>
        </is>
      </c>
      <c r="B931">
        <f>unallocated!B331/I931*J931</f>
        <v>1.2160332841311481E-7</v>
      </c>
      <c r="D931" t="inlineStr">
        <is>
          <t>kilogram</t>
        </is>
      </c>
      <c r="E931" t="inlineStr">
        <is>
          <t>air</t>
        </is>
      </c>
      <c r="F931" t="inlineStr">
        <is>
          <t>biosphere</t>
        </is>
      </c>
      <c r="I931" t="n">
        <v>8510</v>
      </c>
      <c r="J931" s="11">
        <f>J915</f>
        <v>0.34494810826520234</v>
      </c>
      <c r="K931" t="n">
        <v>2</v>
      </c>
      <c r="L931" s="3">
        <f>LN(B931)</f>
        <v>-15.922501495970568</v>
      </c>
      <c r="M931" t="n">
        <v>1</v>
      </c>
      <c r="N931" t="n">
        <v>1</v>
      </c>
      <c r="O931" t="n">
        <v>1</v>
      </c>
      <c r="P931" t="n">
        <v>1.02</v>
      </c>
      <c r="Q931" t="n">
        <v>1.2</v>
      </c>
      <c r="R931" t="n">
        <v>1</v>
      </c>
      <c r="S931" t="n">
        <v>1.5</v>
      </c>
      <c r="T931">
        <f>LN(SQRT(EXP(
SQRT(
+POWER(LN(M931),2)
+POWER(LN(N931),2)
+POWER(LN(O931),2)
+POWER(LN(P931),2)
+POWER(LN(Q931),2)
+POWER(LN(R931),2)
+POWER(LN(S931),2)
)
)))</f>
        <v>0.22250575723605889</v>
      </c>
    </row>
    <row r="932">
      <c r="A932" t="inlineStr">
        <is>
          <t>Nitrogen oxides</t>
        </is>
      </c>
      <c r="B932">
        <f>unallocated!B332/I932*J932</f>
        <v>2.7441817778559575E-5</v>
      </c>
      <c r="D932" t="inlineStr">
        <is>
          <t>kilogram</t>
        </is>
      </c>
      <c r="E932" t="inlineStr">
        <is>
          <t>air::urban air close to ground</t>
        </is>
      </c>
      <c r="F932" t="inlineStr">
        <is>
          <t>biosphere</t>
        </is>
      </c>
      <c r="I932" t="n">
        <v>8510</v>
      </c>
      <c r="J932" s="11">
        <f>J915</f>
        <v>0.34494810826520234</v>
      </c>
      <c r="K932" t="n">
        <v>2</v>
      </c>
      <c r="L932" s="3">
        <f>LN(B932)</f>
        <v>-10.503442511726401</v>
      </c>
      <c r="M932" t="n">
        <v>1</v>
      </c>
      <c r="N932" t="n">
        <v>1</v>
      </c>
      <c r="O932" t="n">
        <v>1</v>
      </c>
      <c r="P932" t="n">
        <v>1.02</v>
      </c>
      <c r="Q932" t="n">
        <v>1.2</v>
      </c>
      <c r="R932" t="n">
        <v>1</v>
      </c>
      <c r="S932" t="n">
        <v>1.5</v>
      </c>
      <c r="T932">
        <f>LN(SQRT(EXP(
SQRT(
+POWER(LN(M932),2)
+POWER(LN(N932),2)
+POWER(LN(O932),2)
+POWER(LN(P932),2)
+POWER(LN(Q932),2)
+POWER(LN(R932),2)
+POWER(LN(S932),2)
)
)))</f>
        <v>0.22250575723605889</v>
      </c>
    </row>
    <row r="933">
      <c r="A933" t="inlineStr">
        <is>
          <t>Ammonia</t>
        </is>
      </c>
      <c r="B933">
        <f>unallocated!B333/I933*J933</f>
        <v>8.1068885608743206E-7</v>
      </c>
      <c r="D933" t="inlineStr">
        <is>
          <t>kilogram</t>
        </is>
      </c>
      <c r="E933" t="inlineStr">
        <is>
          <t>air::urban air close to ground</t>
        </is>
      </c>
      <c r="F933" t="inlineStr">
        <is>
          <t>biosphere</t>
        </is>
      </c>
      <c r="I933" t="n">
        <v>8510</v>
      </c>
      <c r="J933" s="11">
        <f>J915</f>
        <v>0.34494810826520234</v>
      </c>
      <c r="K933" t="n">
        <v>2</v>
      </c>
      <c r="L933" s="3">
        <f>LN(B933)</f>
        <v>-14.025381511084687</v>
      </c>
      <c r="M933" t="n">
        <v>1</v>
      </c>
      <c r="N933" t="n">
        <v>1</v>
      </c>
      <c r="O933" t="n">
        <v>1</v>
      </c>
      <c r="P933" t="n">
        <v>1.02</v>
      </c>
      <c r="Q933" t="n">
        <v>1.2</v>
      </c>
      <c r="R933" t="n">
        <v>1</v>
      </c>
      <c r="S933" t="n">
        <v>1.5</v>
      </c>
      <c r="T933">
        <f>LN(SQRT(EXP(
SQRT(
+POWER(LN(M933),2)
+POWER(LN(N933),2)
+POWER(LN(O933),2)
+POWER(LN(P933),2)
+POWER(LN(Q933),2)
+POWER(LN(R933),2)
+POWER(LN(S933),2)
)
)))</f>
        <v>0.22250575723605889</v>
      </c>
    </row>
    <row r="934">
      <c r="A934" t="inlineStr">
        <is>
          <t>Particulate Matter, &lt; 2.5 um</t>
        </is>
      </c>
      <c r="B934">
        <f>unallocated!B334/I934*J934</f>
        <v>2.4320665682622962E-7</v>
      </c>
      <c r="D934" t="inlineStr">
        <is>
          <t>kilogram</t>
        </is>
      </c>
      <c r="E934" t="inlineStr">
        <is>
          <t>air::urban air close to ground</t>
        </is>
      </c>
      <c r="F934" t="inlineStr">
        <is>
          <t>biosphere</t>
        </is>
      </c>
      <c r="I934" t="n">
        <v>8510</v>
      </c>
      <c r="J934" s="11">
        <f>J915</f>
        <v>0.34494810826520234</v>
      </c>
      <c r="K934" t="n">
        <v>2</v>
      </c>
      <c r="L934" s="3">
        <f>LN(B934)</f>
        <v>-15.229354315410623</v>
      </c>
      <c r="M934" t="n">
        <v>1</v>
      </c>
      <c r="N934" t="n">
        <v>1</v>
      </c>
      <c r="O934" t="n">
        <v>1</v>
      </c>
      <c r="P934" t="n">
        <v>1.02</v>
      </c>
      <c r="Q934" t="n">
        <v>1.2</v>
      </c>
      <c r="R934" t="n">
        <v>1</v>
      </c>
      <c r="S934" t="n">
        <v>3</v>
      </c>
      <c r="T934">
        <f>LN(SQRT(EXP(
SQRT(
+POWER(LN(M934),2)
+POWER(LN(N934),2)
+POWER(LN(O934),2)
+POWER(LN(P934),2)
+POWER(LN(Q934),2)
+POWER(LN(R934),2)
+POWER(LN(S934),2)
)
)))</f>
        <v>0.5569071410325479</v>
      </c>
    </row>
    <row r="935">
      <c r="A935" t="inlineStr">
        <is>
          <t>Mercury II</t>
        </is>
      </c>
      <c r="B935">
        <f>unallocated!B335/I935*J935</f>
        <v>2.4320665682622963E-10</v>
      </c>
      <c r="D935" t="inlineStr">
        <is>
          <t>kilogram</t>
        </is>
      </c>
      <c r="E935" t="inlineStr">
        <is>
          <t>air::urban air close to ground</t>
        </is>
      </c>
      <c r="F935" t="inlineStr">
        <is>
          <t>biosphere</t>
        </is>
      </c>
      <c r="I935" t="n">
        <v>8510</v>
      </c>
      <c r="J935" s="11">
        <f>J915</f>
        <v>0.34494810826520234</v>
      </c>
      <c r="K935" t="n">
        <v>2</v>
      </c>
      <c r="L935" s="3">
        <f>LN(B935)</f>
        <v>-22.137109594392758</v>
      </c>
      <c r="M935" t="n">
        <v>1</v>
      </c>
      <c r="N935" t="n">
        <v>1</v>
      </c>
      <c r="O935" t="n">
        <v>1</v>
      </c>
      <c r="P935" t="n">
        <v>1.02</v>
      </c>
      <c r="Q935" t="n">
        <v>1.2</v>
      </c>
      <c r="R935" t="n">
        <v>1</v>
      </c>
      <c r="S935" t="n">
        <v>5</v>
      </c>
      <c r="T935">
        <f>LN(SQRT(EXP(
SQRT(
+POWER(LN(M935),2)
+POWER(LN(N935),2)
+POWER(LN(O935),2)
+POWER(LN(P935),2)
+POWER(LN(Q935),2)
+POWER(LN(R935),2)
+POWER(LN(S935),2)
)
)))</f>
        <v>0.80992649174166365</v>
      </c>
    </row>
    <row r="936">
      <c r="A936" t="inlineStr">
        <is>
          <t>Lead II</t>
        </is>
      </c>
      <c r="B936">
        <f>unallocated!B336/I936*J936</f>
        <v>2.4320665682622963E-10</v>
      </c>
      <c r="D936" t="inlineStr">
        <is>
          <t>kilogram</t>
        </is>
      </c>
      <c r="E936" t="inlineStr">
        <is>
          <t>air::urban air close to ground</t>
        </is>
      </c>
      <c r="F936" t="inlineStr">
        <is>
          <t>biosphere</t>
        </is>
      </c>
      <c r="I936" t="n">
        <v>8510</v>
      </c>
      <c r="J936" s="11">
        <f>J915</f>
        <v>0.34494810826520234</v>
      </c>
      <c r="K936" t="n">
        <v>2</v>
      </c>
      <c r="L936" s="3">
        <f>LN(B936)</f>
        <v>-22.137109594392758</v>
      </c>
      <c r="M936" t="n">
        <v>1</v>
      </c>
      <c r="N936" t="n">
        <v>1</v>
      </c>
      <c r="O936" t="n">
        <v>1</v>
      </c>
      <c r="P936" t="n">
        <v>1.02</v>
      </c>
      <c r="Q936" t="n">
        <v>1.2</v>
      </c>
      <c r="R936" t="n">
        <v>1</v>
      </c>
      <c r="S936" t="n">
        <v>5</v>
      </c>
      <c r="T936">
        <f>LN(SQRT(EXP(
SQRT(
+POWER(LN(M936),2)
+POWER(LN(N936),2)
+POWER(LN(O936),2)
+POWER(LN(P936),2)
+POWER(LN(Q936),2)
+POWER(LN(R936),2)
+POWER(LN(S936),2)
)
)))</f>
        <v>0.80992649174166365</v>
      </c>
    </row>
    <row r="937">
      <c r="A937" t="inlineStr">
        <is>
          <t>Cadmium II</t>
        </is>
      </c>
      <c r="B937">
        <f>unallocated!B337/I937*J937</f>
        <v>1.2160332841311481E-10</v>
      </c>
      <c r="D937" t="inlineStr">
        <is>
          <t>kilogram</t>
        </is>
      </c>
      <c r="E937" t="inlineStr">
        <is>
          <t>air::urban air close to ground</t>
        </is>
      </c>
      <c r="F937" t="inlineStr">
        <is>
          <t>biosphere</t>
        </is>
      </c>
      <c r="I937" t="n">
        <v>8510</v>
      </c>
      <c r="J937" s="11">
        <f>J915</f>
        <v>0.34494810826520234</v>
      </c>
      <c r="K937" t="n">
        <v>2</v>
      </c>
      <c r="L937" s="3">
        <f>LN(B937)</f>
        <v>-22.830256774952705</v>
      </c>
      <c r="M937" t="n">
        <v>1</v>
      </c>
      <c r="N937" t="n">
        <v>1</v>
      </c>
      <c r="O937" t="n">
        <v>1</v>
      </c>
      <c r="P937" t="n">
        <v>1.02</v>
      </c>
      <c r="Q937" t="n">
        <v>1.2</v>
      </c>
      <c r="R937" t="n">
        <v>1</v>
      </c>
      <c r="S937" t="n">
        <v>5</v>
      </c>
      <c r="T937">
        <f>LN(SQRT(EXP(
SQRT(
+POWER(LN(M937),2)
+POWER(LN(N937),2)
+POWER(LN(O937),2)
+POWER(LN(P937),2)
+POWER(LN(Q937),2)
+POWER(LN(R937),2)
+POWER(LN(S937),2)
)
)))</f>
        <v>0.80992649174166365</v>
      </c>
    </row>
    <row r="938">
      <c r="A938" t="inlineStr">
        <is>
          <t>Arsenic ion</t>
        </is>
      </c>
      <c r="B938">
        <f>unallocated!B338/I938*J938</f>
        <v>1.2160332841311481E-10</v>
      </c>
      <c r="D938" t="inlineStr">
        <is>
          <t>kilogram</t>
        </is>
      </c>
      <c r="E938" t="inlineStr">
        <is>
          <t>air::urban air close to ground</t>
        </is>
      </c>
      <c r="F938" t="inlineStr">
        <is>
          <t>biosphere</t>
        </is>
      </c>
      <c r="I938" t="n">
        <v>8510</v>
      </c>
      <c r="J938" s="11">
        <f>J915</f>
        <v>0.34494810826520234</v>
      </c>
      <c r="K938" t="n">
        <v>2</v>
      </c>
      <c r="L938" s="3">
        <f>LN(B938)</f>
        <v>-22.830256774952705</v>
      </c>
      <c r="M938" t="n">
        <v>1</v>
      </c>
      <c r="N938" t="n">
        <v>1</v>
      </c>
      <c r="O938" t="n">
        <v>1</v>
      </c>
      <c r="P938" t="n">
        <v>1.02</v>
      </c>
      <c r="Q938" t="n">
        <v>1.2</v>
      </c>
      <c r="R938" t="n">
        <v>1</v>
      </c>
      <c r="S938" t="n">
        <v>5</v>
      </c>
      <c r="T938">
        <f>LN(SQRT(EXP(
SQRT(
+POWER(LN(M938),2)
+POWER(LN(N938),2)
+POWER(LN(O938),2)
+POWER(LN(P938),2)
+POWER(LN(Q938),2)
+POWER(LN(R938),2)
+POWER(LN(S938),2)
)
)))</f>
        <v>0.80992649174166365</v>
      </c>
    </row>
    <row r="939">
      <c r="A939" t="inlineStr">
        <is>
          <t>Dioxins, measured as 2,3,7,8-tetrachlorodibenzo-p-dioxin</t>
        </is>
      </c>
      <c r="B939">
        <f>unallocated!B339/I939*J939</f>
        <v>4.4587887084808766E-15</v>
      </c>
      <c r="D939" t="inlineStr">
        <is>
          <t>kilogram</t>
        </is>
      </c>
      <c r="E939" t="inlineStr">
        <is>
          <t>air::urban air close to ground</t>
        </is>
      </c>
      <c r="F939" t="inlineStr">
        <is>
          <t>biosphere</t>
        </is>
      </c>
      <c r="I939" t="n">
        <v>8510</v>
      </c>
      <c r="J939" s="11">
        <f>J915</f>
        <v>0.34494810826520234</v>
      </c>
      <c r="K939" t="n">
        <v>2</v>
      </c>
      <c r="L939" s="3">
        <f>LN(B939)</f>
        <v>-33.043899255792674</v>
      </c>
      <c r="M939" t="n">
        <v>1</v>
      </c>
      <c r="N939" t="n">
        <v>1</v>
      </c>
      <c r="O939" t="n">
        <v>1</v>
      </c>
      <c r="P939" t="n">
        <v>1.02</v>
      </c>
      <c r="Q939" t="n">
        <v>1.2</v>
      </c>
      <c r="R939" t="n">
        <v>1</v>
      </c>
      <c r="S939" t="n">
        <v>5</v>
      </c>
      <c r="T939">
        <f>LN(SQRT(EXP(
SQRT(
+POWER(LN(M939),2)
+POWER(LN(N939),2)
+POWER(LN(O939),2)
+POWER(LN(P939),2)
+POWER(LN(Q939),2)
+POWER(LN(R939),2)
+POWER(LN(S939),2)
)
)))</f>
        <v>0.80992649174166365</v>
      </c>
    </row>
    <row r="940">
      <c r="A940" t="inlineStr">
        <is>
          <t>Carbon dioxide, fossil</t>
        </is>
      </c>
      <c r="B940">
        <f>unallocated!B340/I940*J940</f>
        <v>2.2699287970448095E-3</v>
      </c>
      <c r="D940" t="inlineStr">
        <is>
          <t>kilogram</t>
        </is>
      </c>
      <c r="E940" t="inlineStr">
        <is>
          <t>air::urban air close to ground</t>
        </is>
      </c>
      <c r="F940" t="inlineStr">
        <is>
          <t>biosphere</t>
        </is>
      </c>
      <c r="I940" t="n">
        <v>8510</v>
      </c>
      <c r="J940" s="11">
        <f>J915</f>
        <v>0.34494810826520234</v>
      </c>
      <c r="K940" t="n">
        <v>2</v>
      </c>
      <c r="L940" s="3">
        <f>LN(B940)</f>
        <v>-6.0880068149213908</v>
      </c>
      <c r="M940" t="n">
        <v>1</v>
      </c>
      <c r="N940" t="n">
        <v>1</v>
      </c>
      <c r="O940" t="n">
        <v>1</v>
      </c>
      <c r="P940" t="n">
        <v>1.02</v>
      </c>
      <c r="Q940" t="n">
        <v>1.2</v>
      </c>
      <c r="R940" t="n">
        <v>1</v>
      </c>
      <c r="S940" t="n">
        <v>1.05</v>
      </c>
      <c r="T940">
        <f>LN(SQRT(EXP(
SQRT(
+POWER(LN(M940),2)
+POWER(LN(N940),2)
+POWER(LN(O940),2)
+POWER(LN(P940),2)
+POWER(LN(Q940),2)
+POWER(LN(R940),2)
+POWER(LN(S940),2)
)
)))</f>
        <v>9.4886477223156879E-2</v>
      </c>
    </row>
    <row r="941">
      <c r="A941" t="inlineStr">
        <is>
          <t>Carbon dioxide, non-fossil</t>
        </is>
      </c>
      <c r="B941">
        <f>unallocated!B341/I941*J941</f>
        <v>3.6075654095890728E-3</v>
      </c>
      <c r="D941" t="inlineStr">
        <is>
          <t>kilogram</t>
        </is>
      </c>
      <c r="E941" t="inlineStr">
        <is>
          <t>air::urban air close to ground</t>
        </is>
      </c>
      <c r="F941" t="inlineStr">
        <is>
          <t>biosphere</t>
        </is>
      </c>
      <c r="I941" t="n">
        <v>8510</v>
      </c>
      <c r="J941" s="14">
        <f>J915</f>
        <v>0.34494810826520234</v>
      </c>
      <c r="K941" t="n">
        <v>2</v>
      </c>
      <c r="L941" s="3">
        <f>LN(B941)</f>
        <v>-5.6247221359244</v>
      </c>
      <c r="M941" t="n">
        <v>1</v>
      </c>
      <c r="N941" t="n">
        <v>1</v>
      </c>
      <c r="O941" t="n">
        <v>1</v>
      </c>
      <c r="P941" t="n">
        <v>1.02</v>
      </c>
      <c r="Q941" t="n">
        <v>1.2</v>
      </c>
      <c r="R941" t="n">
        <v>1</v>
      </c>
      <c r="S941" t="n">
        <v>1.05</v>
      </c>
      <c r="T941">
        <f>LN(SQRT(EXP(
SQRT(
+POWER(LN(M941),2)
+POWER(LN(N941),2)
+POWER(LN(O941),2)
+POWER(LN(P941),2)
+POWER(LN(Q941),2)
+POWER(LN(R941),2)
+POWER(LN(S941),2)
)
)))</f>
        <v>9.4886477223156879E-2</v>
      </c>
    </row>
    <row r="942">
      <c r="A942" t="inlineStr">
        <is>
          <t>Carbon dioxide, in air</t>
        </is>
      </c>
      <c r="B942">
        <f>unallocated!B342/I942*J942</f>
        <v>2.0469893616207657E-2</v>
      </c>
      <c r="D942" t="inlineStr">
        <is>
          <t>kilogram</t>
        </is>
      </c>
      <c r="E942" t="inlineStr">
        <is>
          <t>natural resource::in air</t>
        </is>
      </c>
      <c r="F942" t="inlineStr">
        <is>
          <t>biosphere</t>
        </is>
      </c>
      <c r="H942" t="inlineStr">
        <is>
          <t>To reflect the permanent storage of non-fossil CO.</t>
        </is>
      </c>
      <c r="I942" t="n">
        <v>8510</v>
      </c>
      <c r="J942" s="14">
        <f>J915</f>
        <v>0.34494810826520234</v>
      </c>
      <c r="K942" t="n">
        <v>2</v>
      </c>
      <c r="L942" s="3">
        <f>LN(B942)</f>
        <v>-3.8888000763811803</v>
      </c>
      <c r="M942" t="n">
        <v>1</v>
      </c>
      <c r="N942" t="n">
        <v>1</v>
      </c>
      <c r="O942" t="n">
        <v>1</v>
      </c>
      <c r="P942" t="n">
        <v>1.02</v>
      </c>
      <c r="Q942" t="n">
        <v>1.2</v>
      </c>
      <c r="R942" t="n">
        <v>1</v>
      </c>
      <c r="S942" t="n">
        <v>1.05</v>
      </c>
      <c r="T942">
        <f>LN(SQRT(EXP(
SQRT(
+POWER(LN(M942),2)
+POWER(LN(N942),2)
+POWER(LN(O942),2)
+POWER(LN(P942),2)
+POWER(LN(Q942),2)
+POWER(LN(R942),2)
+POWER(LN(S942),2)
)
)))</f>
        <v>9.4886477223156879E-2</v>
      </c>
    </row>
  </sheetData>
  <autoFilter ref="A1:U942"/>
  <pageMargins left="0.7" right="0.7" top="0.75" bottom="0.75" header="0.3" footer="0.3"/>
</worksheet>
</file>

<file path=xl/worksheets/sheet6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N47"/>
  <sheetViews>
    <sheetView topLeftCell="B1" workbookViewId="0">
      <selection activeCell="B40" sqref="B40"/>
    </sheetView>
  </sheetViews>
  <sheetFormatPr baseColWidth="10" defaultRowHeight="16"/>
  <cols>
    <col width="4.6640625" bestFit="1" customWidth="1" min="1" max="1"/>
    <col width="146" customWidth="1" min="2" max="2"/>
    <col width="14.5" bestFit="1" customWidth="1" min="3" max="3"/>
    <col width="20.1640625" bestFit="1" customWidth="1" min="4" max="4"/>
    <col width="17.6640625" bestFit="1" customWidth="1" min="5" max="5"/>
    <col width="18.6640625" bestFit="1" customWidth="1" min="6" max="6"/>
    <col width="23.33203125" bestFit="1" customWidth="1" min="7" max="7"/>
    <col width="40.6640625" bestFit="1" customWidth="1" min="8" max="8"/>
    <col width="18.6640625" bestFit="1" customWidth="1" min="9" max="9"/>
    <col width="23.33203125" bestFit="1" customWidth="1" min="10" max="10"/>
    <col width="40.6640625" bestFit="1" customWidth="1" min="11" max="11"/>
    <col width="18.6640625" bestFit="1" customWidth="1" min="12" max="12"/>
    <col width="23.33203125" bestFit="1" customWidth="1" min="13" max="13"/>
    <col width="40.6640625" bestFit="1" customWidth="1" min="14" max="14"/>
  </cols>
  <sheetData>
    <row r="1">
      <c r="A1" s="1" t="inlineStr">
        <is>
          <t>skip</t>
        </is>
      </c>
    </row>
    <row r="2">
      <c r="F2" s="31" t="inlineStr">
        <is>
          <t>Energy allocation key</t>
        </is>
      </c>
      <c r="G2" s="25" t="n"/>
      <c r="H2" s="26" t="n"/>
      <c r="I2" s="31" t="inlineStr">
        <is>
          <t>Exergy allocation key</t>
        </is>
      </c>
      <c r="J2" s="25" t="n"/>
      <c r="K2" s="26" t="n"/>
      <c r="L2" s="31" t="inlineStr">
        <is>
          <t>Economic allocation key</t>
        </is>
      </c>
      <c r="M2" s="25" t="n"/>
      <c r="N2" s="26" t="n"/>
    </row>
    <row r="3">
      <c r="B3" t="inlineStr">
        <is>
          <t>name</t>
        </is>
      </c>
      <c r="C3" t="inlineStr">
        <is>
          <t>waste input [kg]</t>
        </is>
      </c>
      <c r="D3" t="inlineStr">
        <is>
          <t>electricity output [kWh]</t>
        </is>
      </c>
      <c r="E3" t="inlineStr">
        <is>
          <t>heat output [MJ]</t>
        </is>
      </c>
      <c r="F3" s="12" t="inlineStr">
        <is>
          <t>municipal solid waste</t>
        </is>
      </c>
      <c r="G3" t="inlineStr">
        <is>
          <t>electricity, medium voltage</t>
        </is>
      </c>
      <c r="H3" s="13" t="inlineStr">
        <is>
          <t>heat, district or industrial, other than natural gas</t>
        </is>
      </c>
      <c r="I3" s="12" t="inlineStr">
        <is>
          <t>municipal solid waste</t>
        </is>
      </c>
      <c r="J3" t="inlineStr">
        <is>
          <t>electricity, medium voltage</t>
        </is>
      </c>
      <c r="K3" s="13" t="inlineStr">
        <is>
          <t>heat, district or industrial, other than natural gas</t>
        </is>
      </c>
      <c r="L3" s="12" t="inlineStr">
        <is>
          <t>municipal solid waste</t>
        </is>
      </c>
      <c r="M3" t="inlineStr">
        <is>
          <t>electricity, medium voltage</t>
        </is>
      </c>
      <c r="N3" s="13" t="inlineStr">
        <is>
          <t>heat, district or industrial, other than natural gas</t>
        </is>
      </c>
    </row>
    <row r="4">
      <c r="B4" s="9" t="inlineStr">
        <is>
          <t>municipal waste incineration, at incineration plant, with semi-dry air pollution control, without flue gas condensation, with electricity recovery only, energy allocation</t>
        </is>
      </c>
      <c r="C4" t="n">
        <v>1000</v>
      </c>
      <c r="D4" t="n">
        <v>739</v>
      </c>
      <c r="F4" s="19" t="n">
        <v>0</v>
      </c>
      <c r="G4" s="14">
        <f>(D4*3.6)/((D4*3.6)+E4)</f>
        <v>1</v>
      </c>
      <c r="H4" s="15">
        <f>(E4)/((D4*3.6)+E4)</f>
        <v>0</v>
      </c>
      <c r="I4" s="24" t="n"/>
      <c r="J4" s="25" t="n"/>
      <c r="K4" s="26" t="n"/>
      <c r="L4" s="24" t="n"/>
      <c r="M4" s="25" t="n"/>
      <c r="N4" s="26" t="n"/>
    </row>
    <row r="5">
      <c r="B5" s="9" t="inlineStr">
        <is>
          <t>municipal waste incineration, at incineration plant, with semi-dry air pollution control, without flue gas condensation, with electricity recovery only, exergy allocation</t>
        </is>
      </c>
      <c r="F5" s="19" t="n"/>
      <c r="G5" s="14" t="n"/>
      <c r="H5" s="15" t="n"/>
      <c r="I5" s="19" t="n">
        <v>0</v>
      </c>
      <c r="J5" s="11">
        <f>1-K5</f>
        <v>1</v>
      </c>
      <c r="K5" s="15">
        <f>(G39*F39)/((G39*F39)+(1*H39))</f>
        <v>0</v>
      </c>
      <c r="L5" s="22" t="n"/>
      <c r="M5" s="14" t="n"/>
      <c r="N5" s="15" t="n"/>
    </row>
    <row r="6">
      <c r="B6" s="9" t="inlineStr">
        <is>
          <t>municipal waste incineration, at incineration plant, with semi-dry air pollution control, without flue gas condensation, with electricity recovery only, economic allocation</t>
        </is>
      </c>
      <c r="F6" s="19" t="n"/>
      <c r="G6" s="14" t="n"/>
      <c r="H6" s="15" t="n"/>
      <c r="I6" s="19" t="n"/>
      <c r="J6" s="11" t="n"/>
      <c r="K6" s="15" t="n"/>
      <c r="L6" s="22">
        <f>(C4/1000*$C$33)/((C4/1000*$C$33)+(D4/1000*$C$35)+(E4/1000*$C$34))</f>
        <v>0.62657908034360787</v>
      </c>
      <c r="M6" s="14">
        <f>(D4/1000*$C$35)/((C4/1000*$C$33)+(D4/1000*$C$35)+(E4/1000*$C$34))</f>
        <v>0.37342091965639213</v>
      </c>
      <c r="N6" s="15">
        <f>(E4/1000*$C$34)/((C4/1000*$C$33)+(D4/1000*$C$35)+(E4/1000*$C$34))</f>
        <v>0</v>
      </c>
    </row>
    <row r="7">
      <c r="B7" s="9" t="inlineStr">
        <is>
          <t>municipal waste incineration, at incineration plant, with semi-dry air pollution control, without flue gas condensation, with electricity and heat recovery, energy allocation</t>
        </is>
      </c>
      <c r="C7" t="n">
        <v>1000</v>
      </c>
      <c r="D7" t="n">
        <v>638</v>
      </c>
      <c r="E7" t="n">
        <v>6170</v>
      </c>
      <c r="F7" s="19" t="n">
        <v>0</v>
      </c>
      <c r="G7" s="14">
        <f>(D7*3.6)/((D7*3.6)+E7)</f>
        <v>0.27127131856191244</v>
      </c>
      <c r="H7" s="15">
        <f>(E7)/((D7*3.6)+E7)</f>
        <v>0.72872868143808767</v>
      </c>
      <c r="I7" s="12" t="n"/>
      <c r="K7" s="13" t="n"/>
      <c r="L7" s="12" t="n"/>
      <c r="N7" s="13" t="n"/>
    </row>
    <row r="8">
      <c r="B8" s="9" t="inlineStr">
        <is>
          <t>municipal waste incineration, at incineration plant, with semi-dry air pollution control, without flue gas condensation, with electricity and heat recovery, exergy allocation</t>
        </is>
      </c>
      <c r="F8" s="19" t="n"/>
      <c r="G8" s="14" t="n"/>
      <c r="H8" s="15" t="n"/>
      <c r="I8" s="19" t="n">
        <v>0</v>
      </c>
      <c r="J8" s="11">
        <f>1-K8</f>
        <v>0.7461876861157688</v>
      </c>
      <c r="K8" s="15">
        <f>(G40*F40)/((G40*F40)+(1*H40))</f>
        <v>0.25381231388423126</v>
      </c>
      <c r="L8" s="22" t="n"/>
      <c r="M8" s="14" t="n"/>
      <c r="N8" s="15" t="n"/>
    </row>
    <row r="9">
      <c r="B9" s="9" t="inlineStr">
        <is>
          <t>municipal waste incineration, at incineration plant, with semi-dry air pollution control, without flue gas condensation, with electricity and heat recovery, economic allocation</t>
        </is>
      </c>
      <c r="F9" s="19" t="n"/>
      <c r="G9" s="14" t="n"/>
      <c r="H9" s="15" t="n"/>
      <c r="I9" s="19" t="n"/>
      <c r="J9" s="11" t="n"/>
      <c r="K9" s="15" t="n"/>
      <c r="L9" s="22">
        <f>(C7/1000*$C$33)/((C7/1000*$C$33)+(D7/1000*$C$35)+(E7/1000*$C$34))</f>
        <v>0.48972756929250166</v>
      </c>
      <c r="M9" s="14">
        <f>(D7/1000*$C$35)/((C7/1000*$C$33)+(D7/1000*$C$35)+(E7/1000*$C$34))</f>
        <v>0.25197273323275488</v>
      </c>
      <c r="N9" s="15">
        <f>(E7/1000*$C$34)/((C7/1000*$C$33)+(D7/1000*$C$35)+(E7/1000*$C$34))</f>
        <v>0.25829969747474352</v>
      </c>
    </row>
    <row r="10">
      <c r="B10" s="9" t="inlineStr">
        <is>
          <t>municipal waste incineration, at incineration plant, with semi-dry air pollution control, with flue gas condensation, with electricity and heat recovery, energy allocation</t>
        </is>
      </c>
      <c r="C10" t="n">
        <v>1000</v>
      </c>
      <c r="D10" t="n">
        <v>623</v>
      </c>
      <c r="E10" t="n">
        <v>7860</v>
      </c>
      <c r="F10" s="19" t="n">
        <v>0</v>
      </c>
      <c r="G10" s="14">
        <f>(D10*3.6)/((D10*3.6)+E10)</f>
        <v>0.22199786197885737</v>
      </c>
      <c r="H10" s="15">
        <f>(E10)/((D10*3.6)+E10)</f>
        <v>0.77800213802114271</v>
      </c>
      <c r="I10" s="12" t="n"/>
      <c r="K10" s="13" t="n"/>
      <c r="L10" s="12" t="n"/>
      <c r="N10" s="13" t="n"/>
    </row>
    <row r="11">
      <c r="B11" s="9" t="inlineStr">
        <is>
          <t>municipal waste incineration, at incineration plant, with semi-dry air pollution control, with flue gas condensation, with electricity and heat recovery, exergy allocation</t>
        </is>
      </c>
      <c r="F11" s="19" t="n"/>
      <c r="G11" s="14" t="n"/>
      <c r="H11" s="15" t="n"/>
      <c r="I11" s="19" t="n">
        <v>0</v>
      </c>
      <c r="J11" s="11">
        <f>1-K11</f>
        <v>0.69264252670007154</v>
      </c>
      <c r="K11" s="15">
        <f>(G41*F41)/((G41*F41)+(1*H41))</f>
        <v>0.30735747329992852</v>
      </c>
      <c r="L11" s="22" t="n"/>
      <c r="M11" s="14" t="n"/>
      <c r="N11" s="15" t="n"/>
    </row>
    <row r="12">
      <c r="B12" s="9" t="inlineStr">
        <is>
          <t>municipal waste incineration, at incineration plant, with semi-dry air pollution control, with flue gas condensation, with electricity and heat recovery, economic allocation</t>
        </is>
      </c>
      <c r="F12" s="19" t="n"/>
      <c r="G12" s="14" t="n"/>
      <c r="H12" s="15" t="n"/>
      <c r="I12" s="19" t="n"/>
      <c r="J12" s="11" t="n"/>
      <c r="K12" s="15" t="n"/>
      <c r="L12" s="22">
        <f>(C10/1000*$C$33)/((C10/1000*$C$33)+(D10/1000*$C$35)+(E10/1000*$C$34))</f>
        <v>0.45991335825767021</v>
      </c>
      <c r="M12" s="14">
        <f>(D10/1000*$C$35)/((C10/1000*$C$33)+(D10/1000*$C$35)+(E10/1000*$C$34))</f>
        <v>0.23106937273752301</v>
      </c>
      <c r="N12" s="15">
        <f>(E10/1000*$C$34)/((C10/1000*$C$33)+(D10/1000*$C$35)+(E10/1000*$C$34))</f>
        <v>0.30901726900480686</v>
      </c>
    </row>
    <row r="13">
      <c r="B13" s="9" t="inlineStr">
        <is>
          <t>municipal waste incineration, at incineration plant, with wet air pollution control, without flue gas condensation, with electricity and heat recovery, energy allocation</t>
        </is>
      </c>
      <c r="C13" t="n">
        <v>1000</v>
      </c>
      <c r="D13" t="n">
        <v>628</v>
      </c>
      <c r="E13" t="n">
        <v>6170</v>
      </c>
      <c r="F13" s="19" t="n">
        <v>0</v>
      </c>
      <c r="G13" s="14">
        <f>(D13*3.6)/((D13*3.6)+E13)</f>
        <v>0.26815960525691518</v>
      </c>
      <c r="H13" s="15">
        <f>(E13)/((D13*3.6)+E13)</f>
        <v>0.73184039474308493</v>
      </c>
      <c r="I13" s="12" t="n"/>
      <c r="K13" s="13" t="n"/>
      <c r="L13" s="12" t="n"/>
      <c r="N13" s="13" t="n"/>
    </row>
    <row r="14">
      <c r="B14" s="9" t="inlineStr">
        <is>
          <t>municipal waste incineration, at incineration plant, with wet air pollution control, without flue gas condensation, with electricity and heat recovery, exergy allocation</t>
        </is>
      </c>
      <c r="F14" s="19" t="n"/>
      <c r="G14" s="14" t="n"/>
      <c r="H14" s="15" t="n"/>
      <c r="I14" s="19" t="n">
        <v>0</v>
      </c>
      <c r="J14" s="11">
        <f>1-K14</f>
        <v>0.74318403548379486</v>
      </c>
      <c r="K14" s="15">
        <f>(G42*F42)/((G42*F42)+(1*H42))</f>
        <v>0.25681596451620514</v>
      </c>
      <c r="L14" s="22" t="n"/>
      <c r="M14" s="14" t="n"/>
      <c r="N14" s="15" t="n"/>
    </row>
    <row r="15">
      <c r="B15" s="9" t="inlineStr">
        <is>
          <t>municipal waste incineration, at incineration plant, with wet air pollution control, without flue gas condensation, with electricity and heat recovery, economic allocation</t>
        </is>
      </c>
      <c r="F15" s="19" t="n"/>
      <c r="G15" s="14" t="n"/>
      <c r="H15" s="15" t="n"/>
      <c r="I15" s="19" t="n"/>
      <c r="J15" s="11" t="n"/>
      <c r="K15" s="15" t="n"/>
      <c r="L15" s="22">
        <f>(C13/1000*$C$33)/((C13/1000*$C$33)+(D13/1000*$C$35)+(E13/1000*$C$34))</f>
        <v>0.49166937613500289</v>
      </c>
      <c r="M15" s="14">
        <f>(D13/1000*$C$35)/((C13/1000*$C$33)+(D13/1000*$C$35)+(E13/1000*$C$34))</f>
        <v>0.24900674855869501</v>
      </c>
      <c r="N15" s="15">
        <f>(E13/1000*$C$34)/((C13/1000*$C$33)+(D13/1000*$C$35)+(E13/1000*$C$34))</f>
        <v>0.25932387530630208</v>
      </c>
    </row>
    <row r="16">
      <c r="B16" s="9" t="inlineStr">
        <is>
          <t>municipal waste incineration, at incineration plant, with wet air pollution control, with flue gas condensation, with electricity and heat recovery, energy allocation</t>
        </is>
      </c>
      <c r="C16" t="n">
        <v>1000</v>
      </c>
      <c r="D16" t="n">
        <v>618</v>
      </c>
      <c r="E16" t="n">
        <v>7860</v>
      </c>
      <c r="F16" s="19" t="n">
        <v>0</v>
      </c>
      <c r="G16" s="14">
        <f>(D16*3.6)/((D16*3.6)+E16)</f>
        <v>0.22060923369823895</v>
      </c>
      <c r="H16" s="15">
        <f>(E16)/((D16*3.6)+E16)</f>
        <v>0.77939076630176107</v>
      </c>
      <c r="I16" s="12" t="n"/>
      <c r="K16" s="13" t="n"/>
      <c r="L16" s="12" t="n"/>
      <c r="N16" s="13" t="n"/>
    </row>
    <row r="17">
      <c r="B17" s="9" t="inlineStr">
        <is>
          <t>municipal waste incineration, at incineration plant, with wet air pollution control, with flue gas condensation, with electricity and heat recovery, exergy allocation</t>
        </is>
      </c>
      <c r="F17" s="19" t="n"/>
      <c r="G17" s="14" t="n"/>
      <c r="H17" s="15" t="n"/>
      <c r="I17" s="19" t="n">
        <v>0</v>
      </c>
      <c r="J17" s="11">
        <f>1-K17</f>
        <v>0.69092439743601641</v>
      </c>
      <c r="K17" s="15">
        <f>(G43*F43)/((G43*F43)+(1*H43))</f>
        <v>0.30907560256398359</v>
      </c>
      <c r="L17" s="22" t="n"/>
      <c r="M17" s="14" t="n"/>
      <c r="N17" s="15" t="n"/>
    </row>
    <row r="18">
      <c r="B18" s="9" t="inlineStr">
        <is>
          <t>municipal waste incineration, at incineration plant, with wet air pollution control, with flue gas condensation, with electricity and heat recovery, economic allocation</t>
        </is>
      </c>
      <c r="F18" s="19" t="n"/>
      <c r="G18" s="14" t="n"/>
      <c r="H18" s="15" t="n"/>
      <c r="I18" s="19" t="n"/>
      <c r="J18" s="11" t="n"/>
      <c r="K18" s="15" t="n"/>
      <c r="L18" s="22">
        <f>(C16/1000*$C$33)/((C16/1000*$C$33)+(D16/1000*$C$35)+(E16/1000*$C$34))</f>
        <v>0.46076784732234427</v>
      </c>
      <c r="M18" s="14">
        <f>(D16/1000*$C$35)/((C16/1000*$C$33)+(D16/1000*$C$35)+(E16/1000*$C$34))</f>
        <v>0.22964074971387805</v>
      </c>
      <c r="N18" s="15">
        <f>(E16/1000*$C$34)/((C16/1000*$C$33)+(D16/1000*$C$35)+(E16/1000*$C$34))</f>
        <v>0.30959140296377774</v>
      </c>
    </row>
    <row r="19">
      <c r="B19" s="9" t="inlineStr">
        <is>
          <t>municipal waste incineration, at incineration plant, with semi-dry air pollution control, with flue gas condensation, with electricity recovery only, with carbon capture and storage, energy allocation</t>
        </is>
      </c>
      <c r="C19" t="n">
        <v>1000</v>
      </c>
      <c r="D19" t="n">
        <v>478</v>
      </c>
      <c r="F19" s="19" t="n">
        <v>0</v>
      </c>
      <c r="G19" s="14">
        <f>(D19*3.6)/((D19*3.6)+E19)</f>
        <v>1</v>
      </c>
      <c r="H19" s="15">
        <f>(E19)/((D19*3.6)+E19)</f>
        <v>0</v>
      </c>
      <c r="I19" s="12" t="n"/>
      <c r="K19" s="13" t="n"/>
      <c r="L19" s="12" t="n"/>
      <c r="N19" s="13" t="n"/>
    </row>
    <row r="20">
      <c r="B20" s="9" t="inlineStr">
        <is>
          <t>municipal waste incineration, at incineration plant, with semi-dry air pollution control, with flue gas condensation, with electricity recovery only, with carbon capture and storage, exergy allocation</t>
        </is>
      </c>
      <c r="F20" s="19" t="n"/>
      <c r="G20" s="14" t="n"/>
      <c r="H20" s="15" t="n"/>
      <c r="I20" s="19" t="n">
        <v>0</v>
      </c>
      <c r="J20" s="11">
        <f>1-K20</f>
        <v>1</v>
      </c>
      <c r="K20" s="15">
        <f>(G44*F44)/((G44*F44)+(1*H44))</f>
        <v>0</v>
      </c>
      <c r="L20" s="22" t="n"/>
      <c r="M20" s="14" t="n"/>
      <c r="N20" s="15" t="n"/>
    </row>
    <row r="21">
      <c r="B21" s="9" t="inlineStr">
        <is>
          <t>municipal waste incineration, at incineration plant, with semi-dry air pollution control, with flue gas condensation, with electricity recovery only, with carbon capture and storage, economic allocation</t>
        </is>
      </c>
      <c r="F21" s="19" t="n"/>
      <c r="G21" s="14" t="n"/>
      <c r="H21" s="15" t="n"/>
      <c r="I21" s="19" t="n"/>
      <c r="J21" s="11" t="n"/>
      <c r="K21" s="15" t="n"/>
      <c r="L21" s="22">
        <f>(C19/1000*$C$33)/((C19/1000*$C$33)+(D19/1000*$C$35)+(E19/1000*$C$34))</f>
        <v>0.72176949941792778</v>
      </c>
      <c r="M21" s="14">
        <f>(D19/1000*$C$35)/((C19/1000*$C$33)+(D19/1000*$C$35)+(E19/1000*$C$34))</f>
        <v>0.27823050058207216</v>
      </c>
      <c r="N21" s="15">
        <f>(E19/1000*$C$34)/((C19/1000*$C$33)+(D19/1000*$C$35)+(E19/1000*$C$34))</f>
        <v>0</v>
      </c>
    </row>
    <row r="22">
      <c r="B22" s="9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C22" t="n">
        <v>1000</v>
      </c>
      <c r="D22" t="n">
        <v>312</v>
      </c>
      <c r="E22" t="n">
        <v>7400</v>
      </c>
      <c r="F22" s="19" t="n">
        <v>0</v>
      </c>
      <c r="G22" s="14">
        <f>(D22*3.6)/((D22*3.6)+E22)</f>
        <v>0.13178149051999249</v>
      </c>
      <c r="H22" s="15">
        <f>(E22)/((D22*3.6)+E22)</f>
        <v>0.86821850948000745</v>
      </c>
      <c r="I22" s="12" t="n"/>
      <c r="K22" s="13" t="n"/>
      <c r="L22" s="12" t="n"/>
      <c r="N22" s="13" t="n"/>
    </row>
    <row r="23">
      <c r="B23" s="9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F23" s="19" t="n"/>
      <c r="G23" s="14" t="n"/>
      <c r="H23" s="15" t="n"/>
      <c r="I23" s="19" t="n">
        <v>0</v>
      </c>
      <c r="J23" s="11">
        <f>1-K23</f>
        <v>0.54519278210919619</v>
      </c>
      <c r="K23" s="15">
        <f>(G45*F45)/((G45*F45)+(1*H45))</f>
        <v>0.45480721789080386</v>
      </c>
      <c r="L23" s="22" t="n"/>
      <c r="M23" s="14" t="n"/>
      <c r="N23" s="15" t="n"/>
    </row>
    <row r="24">
      <c r="B24" s="9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F24" s="19" t="n"/>
      <c r="G24" s="14" t="n"/>
      <c r="H24" s="15" t="n"/>
      <c r="I24" s="19" t="n"/>
      <c r="J24" s="11" t="n"/>
      <c r="K24" s="15" t="n"/>
      <c r="L24" s="22">
        <f>(C22/1000*$C$33)/((C22/1000*$C$33)+(D22/1000*$C$35)+(E22/1000*$C$34))</f>
        <v>0.53073103920561548</v>
      </c>
      <c r="M24" s="14">
        <f>(D22/1000*$C$35)/((C22/1000*$C$33)+(D22/1000*$C$35)+(E22/1000*$C$34))</f>
        <v>0.13353877760657423</v>
      </c>
      <c r="N24" s="15">
        <f>(E22/1000*$C$34)/((C22/1000*$C$33)+(D22/1000*$C$35)+(E22/1000*$C$34))</f>
        <v>0.33573018318781034</v>
      </c>
    </row>
    <row r="25">
      <c r="B25" s="9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C25" t="n">
        <v>1000</v>
      </c>
      <c r="D25" t="n">
        <v>317</v>
      </c>
      <c r="E25" t="n">
        <v>7400</v>
      </c>
      <c r="F25" s="19" t="n">
        <v>0</v>
      </c>
      <c r="G25" s="14">
        <f>(D25*3.6)/((D25*3.6)+E25)</f>
        <v>0.13361120217299677</v>
      </c>
      <c r="H25" s="15">
        <f>(E25)/((D25*3.6)+E25)</f>
        <v>0.86638879782700318</v>
      </c>
      <c r="I25" s="12" t="n"/>
      <c r="K25" s="13" t="n"/>
      <c r="L25" s="12" t="n"/>
      <c r="N25" s="13" t="n"/>
    </row>
    <row r="26">
      <c r="B26" s="9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F26" s="19" t="n"/>
      <c r="G26" s="14" t="n"/>
      <c r="H26" s="15" t="n"/>
      <c r="I26" s="19" t="n">
        <v>0</v>
      </c>
      <c r="J26" s="11">
        <f>1-K26</f>
        <v>0.54913204421144379</v>
      </c>
      <c r="K26" s="15">
        <f>(G46*F46)/((G46*F46)+(1*H46))</f>
        <v>0.45086795578855626</v>
      </c>
      <c r="L26" s="22" t="n"/>
      <c r="M26" s="14" t="n"/>
      <c r="N26" s="15" t="n"/>
    </row>
    <row r="27">
      <c r="B27" s="9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F27" s="19" t="n"/>
      <c r="G27" s="14" t="n"/>
      <c r="H27" s="15" t="n"/>
      <c r="I27" s="19" t="n"/>
      <c r="J27" s="11" t="n"/>
      <c r="K27" s="15" t="n"/>
      <c r="L27" s="22">
        <f>(C25/1000*$C$33)/((C25/1000*$C$33)+(D25/1000*$C$35)+(E25/1000*$C$34))</f>
        <v>0.52959767660374135</v>
      </c>
      <c r="M27" s="14">
        <f>(D25/1000*$C$35)/((C25/1000*$C$33)+(D25/1000*$C$35)+(E25/1000*$C$34))</f>
        <v>0.13538908345434356</v>
      </c>
      <c r="N27" s="15">
        <f>(E25/1000*$C$34)/((C25/1000*$C$33)+(D25/1000*$C$35)+(E25/1000*$C$34))</f>
        <v>0.33501323994191512</v>
      </c>
    </row>
    <row r="28">
      <c r="B28" s="9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C28" t="n">
        <v>1000</v>
      </c>
      <c r="D28" t="n">
        <v>473</v>
      </c>
      <c r="E28" t="n">
        <v>8510</v>
      </c>
      <c r="F28" s="20" t="n">
        <v>0</v>
      </c>
      <c r="G28" s="16">
        <f>(D28*3.6)/((D28*3.6)+E28)</f>
        <v>0.16673194422685259</v>
      </c>
      <c r="H28" s="17">
        <f>(E28)/((D28*3.6)+E28)</f>
        <v>0.83326805577314744</v>
      </c>
      <c r="I28" s="12" t="n"/>
      <c r="K28" s="13" t="n"/>
      <c r="L28" s="12" t="n"/>
      <c r="N28" s="13" t="n"/>
    </row>
    <row r="29">
      <c r="B29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F29" s="11" t="n"/>
      <c r="G29" s="14" t="n"/>
      <c r="H29" s="14" t="n"/>
      <c r="I29" s="20" t="n">
        <v>0</v>
      </c>
      <c r="J29" s="18">
        <f>1-K29</f>
        <v>0.61244374642142341</v>
      </c>
      <c r="K29" s="17">
        <f>(G47*F47)/((G47*F47)+(1*H47))</f>
        <v>0.38755625357857665</v>
      </c>
      <c r="L29" s="22" t="n"/>
      <c r="M29" s="14" t="n"/>
      <c r="N29" s="15" t="n"/>
    </row>
    <row r="30">
      <c r="B30" s="9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F30" s="11" t="n"/>
      <c r="G30" s="14" t="n"/>
      <c r="H30" s="14" t="n"/>
      <c r="I30" s="11" t="n"/>
      <c r="J30" s="11" t="n"/>
      <c r="K30" s="14" t="n"/>
      <c r="L30" s="23">
        <f>(C28/1000*$C$33)/((C28/1000*$C$33)+(D28/1000*$C$35)+(E28/1000*$C$34))</f>
        <v>0.47417650073038481</v>
      </c>
      <c r="M30" s="16">
        <f>(D28/1000*$C$35)/((C28/1000*$C$33)+(D28/1000*$C$35)+(E28/1000*$C$34))</f>
        <v>0.18087539100441291</v>
      </c>
      <c r="N30" s="17">
        <f>(E28/1000*$C$34)/((C28/1000*$C$33)+(D28/1000*$C$35)+(E28/1000*$C$34))</f>
        <v>0.34494810826520234</v>
      </c>
    </row>
    <row r="31"/>
    <row r="32">
      <c r="B32" s="7" t="inlineStr">
        <is>
          <t>Parameters for economic allocation</t>
        </is>
      </c>
      <c r="C32" t="inlineStr">
        <is>
          <t>Value</t>
        </is>
      </c>
      <c r="D32" t="inlineStr">
        <is>
          <t>Source</t>
        </is>
      </c>
    </row>
    <row r="33">
      <c r="B33" t="inlineStr">
        <is>
          <t>MSW treatment, market value [€_2005/t]</t>
        </is>
      </c>
      <c r="C33" t="n">
        <v>124</v>
      </c>
      <c r="D33" s="21" t="inlineStr">
        <is>
          <t>https://zerowasteeurope.eu/wp-content/uploads/2021/10/ZWE_Delft_Oct21_Waste_Incineration_EUETS_Study.pdf</t>
        </is>
      </c>
    </row>
    <row r="34">
      <c r="B34" t="inlineStr">
        <is>
          <t>District heat, market value [€_2005/GJ]</t>
        </is>
      </c>
      <c r="C34" t="n">
        <v>10.6</v>
      </c>
      <c r="D34" t="inlineStr">
        <is>
          <t>ecoinvent 3.10</t>
        </is>
      </c>
    </row>
    <row r="35">
      <c r="B35" t="inlineStr">
        <is>
          <t>Medium voltage electricity, market value [€_2005/MWh]</t>
        </is>
      </c>
      <c r="C35" t="n">
        <v>100</v>
      </c>
      <c r="D35" t="inlineStr">
        <is>
          <t>ecoinvent 3.10</t>
        </is>
      </c>
    </row>
    <row r="36"/>
    <row r="37">
      <c r="B37" s="7" t="inlineStr">
        <is>
          <t>Parameters for exergy allocation</t>
        </is>
      </c>
    </row>
    <row r="38">
      <c r="C38" t="inlineStr">
        <is>
          <t>Flow temp. TV [K]</t>
        </is>
      </c>
      <c r="D38" t="inlineStr">
        <is>
          <t>Return temp. TR [K]</t>
        </is>
      </c>
      <c r="E38" t="inlineStr">
        <is>
          <t>Ambient temp. TU [K]</t>
        </is>
      </c>
      <c r="F38" t="inlineStr">
        <is>
          <t>Heat exergy factor</t>
        </is>
      </c>
      <c r="G38" t="inlineStr">
        <is>
          <t>heat efficiency</t>
        </is>
      </c>
      <c r="H38" t="inlineStr">
        <is>
          <t>electricity efficiency</t>
        </is>
      </c>
    </row>
    <row r="39">
      <c r="B39" s="9" t="inlineStr">
        <is>
          <t>municipal waste incineration, at incineration plant, with semi-dry air pollution control, without flue gas condensation, with electricity recovery only</t>
        </is>
      </c>
      <c r="C39">
        <f>85+273.15</f>
        <v>358.15</v>
      </c>
      <c r="D39">
        <f>40+273.15</f>
        <v>313.14999999999998</v>
      </c>
      <c r="E39">
        <f>20+273.15</f>
        <v>293.14999999999998</v>
      </c>
      <c r="F39" s="4">
        <f>(((C39+D39)/2)-E39)/((C39+D39)/2)</f>
        <v>0.1266199910621183</v>
      </c>
      <c r="G39" s="14">
        <f>E4/9900</f>
        <v>0</v>
      </c>
      <c r="H39" s="14">
        <f>D4/(277.778*9.9)</f>
        <v>0.2687270577456265</v>
      </c>
    </row>
    <row r="40">
      <c r="B40" s="9" t="inlineStr">
        <is>
          <t>municipal waste incineration, at incineration plant, with semi-dry air pollution control, without flue gas condensation, with electricity and heat recovery</t>
        </is>
      </c>
      <c r="C40">
        <f>85+273.15</f>
        <v>358.15</v>
      </c>
      <c r="D40">
        <f>40+273.15</f>
        <v>313.14999999999998</v>
      </c>
      <c r="E40">
        <f>20+273.15</f>
        <v>293.14999999999998</v>
      </c>
      <c r="F40" s="4">
        <f>(((C40+D40)/2)-E40)/((C40+D40)/2)</f>
        <v>0.1266199910621183</v>
      </c>
      <c r="G40" s="14">
        <f>E7/9900</f>
        <v>0.62323232323232325</v>
      </c>
      <c r="H40" s="14">
        <f>D7/(277.778*9.9)</f>
        <v>0.23199981440014844</v>
      </c>
    </row>
    <row r="41">
      <c r="B41" s="9" t="inlineStr">
        <is>
          <t>municipal waste incineration, at incineration plant, with semi-dry air pollution control, with flue gas condensation, with electricity and heat recovery</t>
        </is>
      </c>
      <c r="C41">
        <f>85+273.15</f>
        <v>358.15</v>
      </c>
      <c r="D41">
        <f>40+273.15</f>
        <v>313.14999999999998</v>
      </c>
      <c r="E41">
        <f>20+273.15</f>
        <v>293.14999999999998</v>
      </c>
      <c r="F41" s="4">
        <f>(((C41+D41)/2)-E41)/((C41+D41)/2)</f>
        <v>0.1266199910621183</v>
      </c>
      <c r="G41" s="14">
        <f>E10/9900</f>
        <v>0.79393939393939394</v>
      </c>
      <c r="H41" s="14">
        <f>D10/(277.778*9.9)</f>
        <v>0.22654527330923588</v>
      </c>
    </row>
    <row r="42">
      <c r="B42" s="9" t="inlineStr">
        <is>
          <t>municipal waste incineration, at incineration plant, with wet air pollution control, without flue gas condensation, with electricity and heat recovery</t>
        </is>
      </c>
      <c r="C42">
        <f>85+273.15</f>
        <v>358.15</v>
      </c>
      <c r="D42">
        <f>40+273.15</f>
        <v>313.14999999999998</v>
      </c>
      <c r="E42">
        <f>20+273.15</f>
        <v>293.14999999999998</v>
      </c>
      <c r="F42" s="4">
        <f>(((C42+D42)/2)-E42)/((C42+D42)/2)</f>
        <v>0.1266199910621183</v>
      </c>
      <c r="G42" s="14">
        <f>E13/9900</f>
        <v>0.62323232323232325</v>
      </c>
      <c r="H42" s="14">
        <f>D13/(277.778*9.9)</f>
        <v>0.22836345367287339</v>
      </c>
    </row>
    <row r="43">
      <c r="B43" s="9" t="inlineStr">
        <is>
          <t>municipal waste incineration, at incineration plant, with wet air pollution control, with flue gas condensation, with electricity and heat recovery</t>
        </is>
      </c>
      <c r="C43">
        <f>85+273.15</f>
        <v>358.15</v>
      </c>
      <c r="D43">
        <f>40+273.15</f>
        <v>313.14999999999998</v>
      </c>
      <c r="E43">
        <f>20+273.15</f>
        <v>293.14999999999998</v>
      </c>
      <c r="F43" s="4">
        <f>(((C43+D43)/2)-E43)/((C43+D43)/2)</f>
        <v>0.1266199910621183</v>
      </c>
      <c r="G43" s="14">
        <f>E16/9900</f>
        <v>0.79393939393939394</v>
      </c>
      <c r="H43" s="14">
        <f>D16/(277.778*9.9)</f>
        <v>0.22472709294559834</v>
      </c>
    </row>
    <row r="44">
      <c r="B44" s="9" t="inlineStr">
        <is>
          <t>municipal waste incineration, at incineration plant, with semi-dry air pollution control, with flue gas condensation, with electricity recovery only, with carbon capture and storage</t>
        </is>
      </c>
      <c r="C44">
        <f>85+273.15</f>
        <v>358.15</v>
      </c>
      <c r="D44">
        <f>40+273.15</f>
        <v>313.14999999999998</v>
      </c>
      <c r="E44">
        <f>20+273.15</f>
        <v>293.14999999999998</v>
      </c>
      <c r="F44" s="4">
        <f>(((C44+D44)/2)-E44)/((C44+D44)/2)</f>
        <v>0.1266199910621183</v>
      </c>
      <c r="G44" s="14">
        <f>E19/9900</f>
        <v>0</v>
      </c>
      <c r="H44" s="14">
        <f>D19/(277.778*9.9)</f>
        <v>0.17381804276374757</v>
      </c>
    </row>
    <row r="45">
      <c r="B45" s="9" t="inlineStr">
        <is>
          <t>municipal waste incineration, at incineration plant, with semi-dry air pollution control, with flue gas condensation, with electricity and heat recovery, with carbon capture and storage</t>
        </is>
      </c>
      <c r="C45">
        <f>85+273.15</f>
        <v>358.15</v>
      </c>
      <c r="D45">
        <f>40+273.15</f>
        <v>313.14999999999998</v>
      </c>
      <c r="E45">
        <f>20+273.15</f>
        <v>293.14999999999998</v>
      </c>
      <c r="F45" s="4">
        <f>(((C45+D45)/2)-E45)/((C45+D45)/2)</f>
        <v>0.1266199910621183</v>
      </c>
      <c r="G45" s="14">
        <f>E22/9900</f>
        <v>0.74747474747474751</v>
      </c>
      <c r="H45" s="14">
        <f>D22/(277.778*9.9)</f>
        <v>0.11345445469098168</v>
      </c>
    </row>
    <row r="46">
      <c r="B46" s="9" t="inlineStr">
        <is>
          <t>municipal waste incineration, at incineration plant, with wet air pollution control, with flue gas condensation, with electricity and heat recovery, with carbon capture and storage</t>
        </is>
      </c>
      <c r="C46">
        <f>85+273.15</f>
        <v>358.15</v>
      </c>
      <c r="D46">
        <f>40+273.15</f>
        <v>313.14999999999998</v>
      </c>
      <c r="E46">
        <f>20+273.15</f>
        <v>293.14999999999998</v>
      </c>
      <c r="F46" s="4">
        <f>(((C46+D46)/2)-E46)/((C46+D46)/2)</f>
        <v>0.1266199910621183</v>
      </c>
      <c r="G46" s="14">
        <f>E25/9900</f>
        <v>0.74747474747474751</v>
      </c>
      <c r="H46" s="14">
        <f>D25/(277.778*9.9)</f>
        <v>0.11527263505461921</v>
      </c>
    </row>
    <row r="47">
      <c r="B47" s="9" t="inlineStr">
        <is>
          <t>municipal waste incineration, at incineration plant, with wet air pollution control, with flue gas condensation, with electricity and optimized heat recovery, with carbon capture and storage</t>
        </is>
      </c>
      <c r="C47">
        <f>85+273.15</f>
        <v>358.15</v>
      </c>
      <c r="D47">
        <f>40+273.15</f>
        <v>313.14999999999998</v>
      </c>
      <c r="E47">
        <f>20+273.15</f>
        <v>293.14999999999998</v>
      </c>
      <c r="F47" s="4">
        <f>(((C47+D47)/2)-E47)/((C47+D47)/2)</f>
        <v>0.1266199910621183</v>
      </c>
      <c r="G47" s="14">
        <f>E28/9900</f>
        <v>0.85959595959595958</v>
      </c>
      <c r="H47" s="14">
        <f>D28/(277.778*9.9)</f>
        <v>0.17199986240011006</v>
      </c>
    </row>
  </sheetData>
  <mergeCells count="3">
    <mergeCell ref="L2:N2"/>
    <mergeCell ref="F2:H2"/>
    <mergeCell ref="I2:K2"/>
  </mergeCells>
  <hyperlinks>
    <hyperlink ref="D33" ns1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Romain Sacchi</dc:creator>
  <dcterms:created xmlns:dcterms="http://purl.org/dc/terms/" xmlns:xsi="http://www.w3.org/2001/XMLSchema-instance" xsi:type="dcterms:W3CDTF">2024-07-17T09:18:35Z</dcterms:created>
  <dcterms:modified xmlns:dcterms="http://purl.org/dc/terms/" xmlns:xsi="http://www.w3.org/2001/XMLSchema-instance" xsi:type="dcterms:W3CDTF">2026-07-07T13:56:58Z</dcterms:modified>
  <cp:lastModifiedBy>Romain Sacchi</cp:lastModifiedBy>
</cp:coreProperties>
</file>