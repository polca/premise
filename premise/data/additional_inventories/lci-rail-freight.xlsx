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8140" yWindow="1860" windowWidth="22100" windowHeight="17540" tabRatio="600" firstSheet="0" activeTab="0" autoFilterDateGrouping="1"/>
  </bookViews>
  <sheets>
    <sheet xmlns:r="http://schemas.openxmlformats.org/officeDocument/2006/relationships" name="Sheet1" sheetId="1" state="visible" r:id="rId1"/>
  </sheets>
  <definedNames>
    <definedName name="_xlnm._FilterDatabase" localSheetId="0" hidden="1">'Sheet1'!$A$1:$H$983</definedName>
  </definedNames>
  <calcPr calcId="191029" fullCalcOnLoad="1"/>
</workbook>
</file>

<file path=xl/styles.xml><?xml version="1.0" encoding="utf-8"?>
<styleSheet xmlns="http://schemas.openxmlformats.org/spreadsheetml/2006/main">
  <numFmts count="0"/>
  <fonts count="3">
    <font>
      <name val="Calibri"/>
      <family val="2"/>
      <color theme="1"/>
      <sz val="11"/>
      <scheme val="minor"/>
    </font>
    <font>
      <name val="Calibri"/>
      <family val="2"/>
      <b val="1"/>
      <color theme="1"/>
      <sz val="12"/>
      <scheme val="minor"/>
    </font>
    <font>
      <name val="Calibri"/>
      <family val="2"/>
      <b val="1"/>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2" fillId="0" borderId="0" pivotButton="0" quotePrefix="0" xfId="0"/>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H943"/>
  <sheetViews>
    <sheetView tabSelected="1" topLeftCell="A125" workbookViewId="0">
      <selection activeCell="F149" sqref="F149"/>
    </sheetView>
  </sheetViews>
  <sheetFormatPr baseColWidth="10" defaultColWidth="8.83203125" defaultRowHeight="15"/>
  <cols>
    <col width="61.83203125" customWidth="1" min="1" max="1"/>
    <col width="11.83203125" bestFit="1" customWidth="1" min="2" max="2"/>
  </cols>
  <sheetData>
    <row r="1">
      <c r="A1" t="inlineStr">
        <is>
          <t>database</t>
        </is>
      </c>
      <c r="B1" t="inlineStr">
        <is>
          <t>train</t>
        </is>
      </c>
    </row>
    <row r="2"/>
    <row r="3">
      <c r="A3" s="2" t="inlineStr">
        <is>
          <t>Activity</t>
        </is>
      </c>
      <c r="B3" s="2" t="inlineStr">
        <is>
          <t>production of locomotive, diesel-electric</t>
        </is>
      </c>
    </row>
    <row r="4">
      <c r="A4" t="inlineStr">
        <is>
          <t>location</t>
        </is>
      </c>
      <c r="B4" t="inlineStr">
        <is>
          <t>GLO</t>
        </is>
      </c>
    </row>
    <row r="5">
      <c r="A5" t="inlineStr">
        <is>
          <t>production amount</t>
        </is>
      </c>
      <c r="B5" t="n">
        <v>1</v>
      </c>
    </row>
    <row r="6">
      <c r="A6" t="inlineStr">
        <is>
          <t>reference product</t>
        </is>
      </c>
      <c r="B6" t="inlineStr">
        <is>
          <t>locomotive diesel-electric</t>
        </is>
      </c>
    </row>
    <row r="7">
      <c r="A7" t="inlineStr">
        <is>
          <t>type</t>
        </is>
      </c>
      <c r="B7" t="inlineStr">
        <is>
          <t>process</t>
        </is>
      </c>
    </row>
    <row r="8">
      <c r="A8" t="inlineStr">
        <is>
          <t>unit</t>
        </is>
      </c>
      <c r="B8" t="inlineStr">
        <is>
          <t>unit</t>
        </is>
      </c>
    </row>
    <row r="9">
      <c r="A9" t="inlineStr">
        <is>
          <t>source</t>
        </is>
      </c>
      <c r="B9" t="inlineStr">
        <is>
          <t xml:space="preserve">market for locomotive (ecoinvent) is based on Frischknecht et al. (1996). This study only consideres materials of the catenary electric locomotive RE 460 (~84t, years of construction 1991-1996), operated by the SBB in CH. Electrical components are not considered. This equals a electric locomotives base components without the electrical equipment (= power tracktion). Therfore additional components are added to the inventory to represent a diesel locomotive (ICE, generator, fuel tank, transformer, inverter, electric motors). As a reference diesel-electric locomotive the UKlight (Vossloh Rail Vehicles, 2012), as it is supplied by ABB (also supllying the Re460) and is similar in size (85t) to the Re460 (84t). The UKlight from Vossloh Rail Vehicles operates on 2,800 kW max. power with a starting tractive effort of 317 kN and a max speed of 160 km/h. This makes it comparable to the electric alternative Re460 with a tractive effort of 300 kN, although having a higher max. power of 6,100 kW and higher max. speed of 230 km/h. The two vehicles are still assumed to be comparable alternatives as freight rail transport does not operate on high velocities. 
Electrical components taken from ABB (2018b).
Average lifetime is assumed to be similar to the electric counterpart, namly 40 years with 9.6 million km Frischknecht et al. (1996). Assuming an average speed of 40 kmh (approx. 25 mph, based on Statista (2024)) equals a drivingtime of 240,000 h over the lifetime of the locomotive.
ABB (2018b). Bordline CC1500 DE - Product information. Retrieved March 23, 2024, from  https://search.abb.com/library/Download.aspx?DocumentID=3BHS340077%20ZAB%20E01&amp;LanguageCode=en&amp;DocumentPartId=&amp;Action=Launch
Frischknecht R., Bollens U., Bosshart S., Ciot M., Ciseri L., Doka G., Dones R., Gantner U. and Hischier R. (1996) Ökoinventare von Energiesystemen: Grundlagen für den ökologischen Vergleich von Energiesystemen und den Einbezug von Energiesystemen in Ökobilanzen für die Schweiz
Statista  (n.d.).Union Pacific: Average train speed 2022. Retrieved April 3, 2024, from https://www.statista.com/statistics/547745/average-train-speed-union-pacific-railroad/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t>
        </is>
      </c>
    </row>
    <row r="10">
      <c r="A10" t="inlineStr">
        <is>
          <t>Exchanges</t>
        </is>
      </c>
    </row>
    <row r="11">
      <c r="A11" s="2" t="inlineStr">
        <is>
          <t>name</t>
        </is>
      </c>
      <c r="B11" s="2" t="inlineStr">
        <is>
          <t>amount</t>
        </is>
      </c>
      <c r="C11" s="2" t="inlineStr">
        <is>
          <t>location</t>
        </is>
      </c>
      <c r="D11" s="2" t="inlineStr">
        <is>
          <t>unit</t>
        </is>
      </c>
      <c r="E11" s="2" t="inlineStr">
        <is>
          <t>categories</t>
        </is>
      </c>
      <c r="F11" s="2" t="inlineStr">
        <is>
          <t>type</t>
        </is>
      </c>
      <c r="G11" s="2" t="inlineStr">
        <is>
          <t>reference product</t>
        </is>
      </c>
      <c r="H11" s="2" t="inlineStr">
        <is>
          <t>comment</t>
        </is>
      </c>
    </row>
    <row r="12">
      <c r="A12" t="inlineStr">
        <is>
          <t>market for locomotive</t>
        </is>
      </c>
      <c r="B12" t="n">
        <v>1</v>
      </c>
      <c r="C12" t="inlineStr">
        <is>
          <t>GLO</t>
        </is>
      </c>
      <c r="D12" t="inlineStr">
        <is>
          <t>unit</t>
        </is>
      </c>
      <c r="F12" t="inlineStr">
        <is>
          <t>technosphere</t>
        </is>
      </c>
      <c r="G12" t="inlineStr">
        <is>
          <t>locomotive</t>
        </is>
      </c>
      <c r="H12" t="inlineStr">
        <is>
          <t>The ecoinvent inventory of locomotive based on Frischknecht (1996) serves as a base for all locomotive inventories modelled. The inventory only includes main materials without considering electronic equipment. As the inventory is based on the electric locomotive Re460, the inventory of the locomotive represents everything but the power/traction components. This allows for adding the components responsble for propelling the vehicle on top of this inflow.
Frischknecht R., Bollens U., Bosshart S., Ciot M., Ciseri L., Doka G., Dones R., Gantner U. and Hischier R. (1996) Ökoinventare von Energiesystemen: Grundlagen für den ökologischen Vergleich von Energiesystemen und den Einbezug von Energiesystemen in Ökobilanzen für die Schweiz</t>
        </is>
      </c>
    </row>
    <row r="13">
      <c r="A13" t="inlineStr">
        <is>
          <t>fuel tank, for diesel vehicle, adapted to locomotives</t>
        </is>
      </c>
      <c r="B13" t="n">
        <v>91.16651797151124</v>
      </c>
      <c r="C13" t="inlineStr">
        <is>
          <t>RER</t>
        </is>
      </c>
      <c r="D13" t="inlineStr">
        <is>
          <t>kilogram</t>
        </is>
      </c>
      <c r="F13" t="inlineStr">
        <is>
          <t>technosphere</t>
        </is>
      </c>
      <c r="G13" t="inlineStr">
        <is>
          <t>fuel tank</t>
        </is>
      </c>
      <c r="H13" t="inlineStr">
        <is>
          <t>The weight of the diesel tank is calculated based on the following formula:  17.159*ln(V_diesel)-54.98 taken from Wolff et al. (2020).
V_diesel is taken from  Vossloh Rail Vehicles (2012), being 5,000l.
It is assumed that a diesel tank for heavy-duty road vehicles is similar in structure and material composition as a diesel tank used in locomotives.
The lifetime of the tank is assumed to be the same as the whole locomotive (40 years).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t>
        </is>
      </c>
    </row>
    <row r="14">
      <c r="A14" t="inlineStr">
        <is>
          <t>internal combustion engine, for lorry, adapted to locomotives</t>
        </is>
      </c>
      <c r="B14" t="n">
        <v>9593.181818181818</v>
      </c>
      <c r="C14" t="inlineStr">
        <is>
          <t>RER</t>
        </is>
      </c>
      <c r="D14" t="inlineStr">
        <is>
          <t>kilogram</t>
        </is>
      </c>
      <c r="F14" t="inlineStr">
        <is>
          <t>technosphere</t>
        </is>
      </c>
      <c r="G14" t="inlineStr">
        <is>
          <t>internal combustion engine, for lorry</t>
        </is>
      </c>
      <c r="H14" t="inlineStr">
        <is>
          <t>Needs to have a power of 2.8MW Vossloh Rail Vehicles (2012).
According to Wolff et al. (2020) the ICE has a maximum power output of 352kW. Therefore 2,800kW (ABB, 2018b) though 352kW mulitplied with the engine weight from Wolff et al. (2020) of 1,206kg.
The lifetime of the ICE is assumed to be the same as the whole locomotive (40 years).
ABB (2018b). BORDLINE CC1500 DE. Retrieved on April, 8, 2024, from https://search.abb.com/library/Download.aspx?DocumentID=3BHS340077%20ZAB%20E01&amp;LanguageCode=en&amp;DocumentPartId=&amp;Action=Launch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t>
        </is>
      </c>
    </row>
    <row r="15">
      <c r="A15" t="inlineStr">
        <is>
          <t>electronic component production, passive, unspecified</t>
        </is>
      </c>
      <c r="B15" t="n">
        <v>4410</v>
      </c>
      <c r="C15" t="inlineStr">
        <is>
          <t>GLO</t>
        </is>
      </c>
      <c r="D15" t="inlineStr">
        <is>
          <t>kilogram</t>
        </is>
      </c>
      <c r="F15" t="inlineStr">
        <is>
          <t>technosphere</t>
        </is>
      </c>
      <c r="G15" t="inlineStr">
        <is>
          <t>electronic component, passive, unspecified</t>
        </is>
      </c>
      <c r="H15" t="inlineStr">
        <is>
          <t>ecoinvent inventory for 1 kg, to be used as a proxi for generator (diesel-electricity) used in locomotives, needs to have a power of 2.8MW  (Vossloh Rail Vehilces, 2012).
Generators like produced from ABB are used as a reference (ABB, 2014). 
A power output fo the diesel engine of 2.8MW refers to a generator of the type NMG 0450DD04 DAPI (although not specifically used for locomotives as these are manufacutred on demand to fit the motor size, this can be taken as a proxi) from ABB with a (net) weight of 4,410 kg (ABB, 2021).
The lifetime of the generator (and diesel motor) is assumed to be the same as the whole locomotive (40 years).
ABB (2014). Porducte note- Rail traction -  Synchronous generators for diesel-electric locomotives. Retrieved on April, 8, 2024, from https://search.abb.com/library/Download.aspx?DocumentID=9AKK106035&amp;LanguageCode=en&amp;DocumentPartId=&amp;Action=Launch
ABB (2021). Low voltage generators for engines - industrial application series. Retrieved on April, 8, 2024, from https://search.abb.com/library/Download.aspx?DocumentID=9AKK2017109096&amp;LanguageCode=en&amp;DocumentPartId=&amp;Action=Launch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t>
        </is>
      </c>
    </row>
    <row r="16">
      <c r="A16" t="inlineStr">
        <is>
          <t>market for electric motor, electric passenger car</t>
        </is>
      </c>
      <c r="B16">
        <f>24*53</f>
        <v>1272</v>
      </c>
      <c r="C16" t="inlineStr">
        <is>
          <t>GLO</t>
        </is>
      </c>
      <c r="D16" t="inlineStr">
        <is>
          <t>kilogram</t>
        </is>
      </c>
      <c r="F16" t="inlineStr">
        <is>
          <t>technosphere</t>
        </is>
      </c>
      <c r="G16" t="inlineStr">
        <is>
          <t>electric motor, electric passenger car</t>
        </is>
      </c>
      <c r="H16" t="inlineStr">
        <is>
          <t>ecoinvent inventory for 1 unit (max. power output 100kW, 53kg). The power output at wheel is 4x 600kW, so 2,400kW (Vossloh Rail Vehicles, 2012). This equals 24 ecoinvent equivalents.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t>
        </is>
      </c>
    </row>
    <row r="17">
      <c r="A17" t="inlineStr">
        <is>
          <t>market for converter, for electric passenger car</t>
        </is>
      </c>
      <c r="B17">
        <f>1013.33333333333*4.5</f>
        <v>4559.9999999999845</v>
      </c>
      <c r="C17" t="inlineStr">
        <is>
          <t>GLO</t>
        </is>
      </c>
      <c r="D17" t="inlineStr">
        <is>
          <t>kilogram</t>
        </is>
      </c>
      <c r="F17" t="inlineStr">
        <is>
          <t>technosphere</t>
        </is>
      </c>
      <c r="G17" t="inlineStr">
        <is>
          <t>converter, for electric passenger car</t>
        </is>
      </c>
      <c r="H17" t="inlineStr">
        <is>
          <t>ecoinvent inventory for 1 unit fit for 100kW drivetrain, weighs 4.5kg; converter weight of BORDLINE® CC1500 DE: 1140kg (ABB, 2018b), assuming the same material composition the units of converter are calculating by dividing the weight of the CC1500 DE through the ecoinvent set.
The lifetime of the converter is interferred from an ABB article stating that the modernized Re460 will run for another 20 years (ABB, 2020). Antoher articel states that the main modernization is implementing the converter BORDLINE CC 1500 (ABB, 2014). Eventhough this specific converter is for a electric locomotive the lifespan is assumed to be similar as both are produced by ABB. A lifetime of 20 years suggest two converters being necessary in the assumed lifetime of 40 years of the locomotive.
The block diagram of the BORDLINE CC1500 DE (ABB, 2018b) shows that two converters are necessary for a total of four axes, similar to the exemplary UKlight locomotive (Vossloh Rail Vehicles, 2012)
ABB (2014). ABB wins $70 million order to modernize locomotives for Swiss Railways SBB. News.Retrived on April, 3, 2024 from https://new.abb.com/news/detail/13389/abb-wins-70-million-order-to-modernize-locomotives-for-swiss-railways-sbb
ABB (2018b) BORDLINE CC1500 DE - Product information. Retrieved on March, 21, 2024 from https://search.abb.com/library/Download.aspx?DocumentID=3BHS340077%20ZAB%20E01&amp;LanguageCode=en&amp;DocumentPartId=&amp;Action=Launch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t>
        </is>
      </c>
    </row>
    <row r="18">
      <c r="A18" t="inlineStr">
        <is>
          <t>production of locomotive, diesel-electric</t>
        </is>
      </c>
      <c r="B18" t="n">
        <v>1</v>
      </c>
      <c r="C18" t="inlineStr">
        <is>
          <t>GLO</t>
        </is>
      </c>
      <c r="D18" t="inlineStr">
        <is>
          <t>unit</t>
        </is>
      </c>
      <c r="F18" t="inlineStr">
        <is>
          <t>production</t>
        </is>
      </c>
      <c r="G18" t="inlineStr">
        <is>
          <t>locomotive diesel-electric</t>
        </is>
      </c>
    </row>
    <row r="19"/>
    <row r="20">
      <c r="A20" s="2" t="inlineStr">
        <is>
          <t>Activity</t>
        </is>
      </c>
      <c r="B20" s="2" t="inlineStr">
        <is>
          <t>production of locomotive, electric catenary</t>
        </is>
      </c>
    </row>
    <row r="21">
      <c r="A21" t="inlineStr">
        <is>
          <t>location</t>
        </is>
      </c>
      <c r="B21" t="inlineStr">
        <is>
          <t>GLO</t>
        </is>
      </c>
    </row>
    <row r="22">
      <c r="A22" t="inlineStr">
        <is>
          <t>production amount</t>
        </is>
      </c>
      <c r="B22" t="n">
        <v>1</v>
      </c>
    </row>
    <row r="23">
      <c r="A23" t="inlineStr">
        <is>
          <t>reference product</t>
        </is>
      </c>
      <c r="B23" t="inlineStr">
        <is>
          <t>locomotive electric, catenary</t>
        </is>
      </c>
    </row>
    <row r="24">
      <c r="A24" t="inlineStr">
        <is>
          <t>type</t>
        </is>
      </c>
      <c r="B24" t="inlineStr">
        <is>
          <t>process</t>
        </is>
      </c>
    </row>
    <row r="25">
      <c r="A25" t="inlineStr">
        <is>
          <t>unit</t>
        </is>
      </c>
      <c r="B25" t="inlineStr">
        <is>
          <t>unit</t>
        </is>
      </c>
    </row>
    <row r="26">
      <c r="A26" t="inlineStr">
        <is>
          <t>source</t>
        </is>
      </c>
      <c r="B26" t="inlineStr">
        <is>
          <t xml:space="preserve">market for locomotive (ecoinvent) is based on Frischknecht et al. (1996). This study only consideres materials of the catenary electric locomotive RE 460 (~84t, years of construction 1991-1996, 6,100 kW max. power, 300 kN max. tractive effort), operated by the SBB in CH. Electrical components are not considered. This equals a electric locomotives base components without the electrical equipment (= power tracktion). Therfore additional components are added to the inventory to represent a electric locomotive (transformer, electric motor, converter). Electrical components taken from ABB (2018a).
Average Lifetime is 40 years with 9.6 million km. Assuming an average speed of 40 kmh (approx. 25 mph, based on Statista (2024)) equals a drivingtime of 240,000 h over the lifetime of the locomotive.
ABB (2018a). Bordline CC1500 AC_15kV - Product information. Retrieved March 23, 2024, from  https://search.abb.com/library/Download.aspx?DocumentID=3BHS340076%20ZAB%20E04&amp;LanguageCode=en&amp;DocumentPartId=&amp;Action=Launch
Frischknecht R., Bollens U., Bosshart S., Ciot M., Ciseri L., Doka G., Dones R., Gantner U. and Hischier R. (1996) Ökoinventare von Energiesystemen: Grundlagen für den ökologischen Vergleich von Energiesystemen und den Einbezug von Energiesystemen in Ökobilanzen für die Schweiz
Statista  (n.d.).Union Pacific: Average train speed 2022. Retrieved April 3, 2024, from https://www.statista.com/statistics/547745/average-train-speed-union-pacific-railroad/
</t>
        </is>
      </c>
    </row>
    <row r="27">
      <c r="A27" t="inlineStr">
        <is>
          <t>Exchanges</t>
        </is>
      </c>
    </row>
    <row r="28">
      <c r="A28" s="2" t="inlineStr">
        <is>
          <t>name</t>
        </is>
      </c>
      <c r="B28" s="2" t="inlineStr">
        <is>
          <t>amount</t>
        </is>
      </c>
      <c r="C28" s="2" t="inlineStr">
        <is>
          <t>location</t>
        </is>
      </c>
      <c r="D28" s="2" t="inlineStr">
        <is>
          <t>unit</t>
        </is>
      </c>
      <c r="E28" s="2" t="inlineStr">
        <is>
          <t>categories</t>
        </is>
      </c>
      <c r="F28" s="2" t="inlineStr">
        <is>
          <t>type</t>
        </is>
      </c>
      <c r="G28" s="2" t="inlineStr">
        <is>
          <t>reference product</t>
        </is>
      </c>
      <c r="H28" s="2" t="inlineStr">
        <is>
          <t>comment</t>
        </is>
      </c>
    </row>
    <row r="29">
      <c r="A29" t="inlineStr">
        <is>
          <t>market for locomotive</t>
        </is>
      </c>
      <c r="B29" t="n">
        <v>1</v>
      </c>
      <c r="C29" t="inlineStr">
        <is>
          <t>GLO</t>
        </is>
      </c>
      <c r="D29" t="inlineStr">
        <is>
          <t>unit</t>
        </is>
      </c>
      <c r="F29" t="inlineStr">
        <is>
          <t>technosphere</t>
        </is>
      </c>
      <c r="G29" t="inlineStr">
        <is>
          <t>locomotive</t>
        </is>
      </c>
      <c r="H29" t="inlineStr">
        <is>
          <t>The ecoinvent inventory of locomotive based on Frischknecht (1996) serves as a base for all locomotive inventories modelled. The inventory only includes main materials without considering electronic equipment. As the inventory is based on the electric locomotive Re460, the inventory of the locomotive represents everything but the power/traction components. This allows for adding the components responsble for propelling the vehicle on top of this inflow.
Frischknecht R., Bollens U., Bosshart S., Ciot M., Ciseri L., Doka G., Dones R., Gantner U. and Hischier R. (1996) Ökoinventare von Energiesystemen: Grundlagen für den ökologischen Vergleich von Energiesystemen und den Einbezug von Energiesystemen in Ökobilanzen für die Schweiz</t>
        </is>
      </c>
    </row>
    <row r="30">
      <c r="A30" t="inlineStr">
        <is>
          <t>market for transformer, high voltage use</t>
        </is>
      </c>
      <c r="B30" t="n">
        <v>3050</v>
      </c>
      <c r="C30" t="inlineStr">
        <is>
          <t>GLO</t>
        </is>
      </c>
      <c r="D30" t="inlineStr">
        <is>
          <t>kilogram</t>
        </is>
      </c>
      <c r="F30" t="inlineStr">
        <is>
          <t>technosphere</t>
        </is>
      </c>
      <c r="G30" t="inlineStr">
        <is>
          <t>transformer, high voltage use</t>
        </is>
      </c>
      <c r="H30" t="inlineStr">
        <is>
          <t>ecoinvent inventory for 1kg (200 -380V) used in information and communication technology. Overhead catenary systems usually operate on 25kV. Transformers made by the company Hitachi, used by ABB specify a weight of 3,050kg for a rail traction transformer (Hitachi, 2022).
It is assumed that the transformer doesn't need to be exchanged over the lifetime of the locomotive, as lifetimes for well maintained transformer can reach 40 years and longer (Zhou, 2013). Furthermore ABB (2017) mentioned that transoformer were still in good shape and therfore preserved in the vehicle. The goal of the maintainance was to keep the vehicle running for another 20 years.
ABB (2017). IGBT converters extend life of Re460 locomotives. Retrieved on April, 6, 2024, from: https://library.e.abb.com/public/bfe91c518ff94330a3c591b4bbeb8b6a/65-69%201m6073_EN_72dpi.pdf?x-sign=opZfNERrVHhA5Ti99s4UxUeA3lIqHQkHDxt5CPVCyqbrd2RFMCmG94YZ6PDJII6i
Hitachi (2022). RESIBLOC® Rail traction transformers. Available at: https://publisher.hitachienergy.com/preview?DocumentID=9AKK107992A2005&amp;LanguageCode=en&amp;DocumentPartId=&amp;Action=launch&amp;DocumentRevisionId=C
Zhou, D., Wang, Z., &amp; Li, C. (2013). Data Requisites for Transformer Statistical Lifetime Modelling—Part I: Aging-Related Failures | IEEE Journals &amp; Magazine | IEEE Xplore. https://doi.org/10.1109/TPWRD.2013.2264143</t>
        </is>
      </c>
    </row>
    <row r="31">
      <c r="A31" t="inlineStr">
        <is>
          <t>market for electric motor, electric passenger car</t>
        </is>
      </c>
      <c r="B31">
        <f>70*53</f>
        <v>3710</v>
      </c>
      <c r="C31" t="inlineStr">
        <is>
          <t>GLO</t>
        </is>
      </c>
      <c r="D31" t="inlineStr">
        <is>
          <t>kilogram</t>
        </is>
      </c>
      <c r="F31" t="inlineStr">
        <is>
          <t>technosphere</t>
        </is>
      </c>
      <c r="G31" t="inlineStr">
        <is>
          <t>electric motor, electric passenger car</t>
        </is>
      </c>
      <c r="H31" t="inlineStr">
        <is>
          <t xml:space="preserve">ecoinvent inventory for 1 unit (max. power output 100kW, 53kg). The Borderline CC 1500 AC_15kV_M_3500, used in the renovated Re460 lcomotive (ABB, 2018a), has an output at wheel of 3.5 MW. This equals 35 units of electric motors for passenger cars (assuming a similar material composition of the ecoinvent inventory compared to the electric motor used in the locomotive). To generate a total power of max. 6.1 MW, two converters are used as also seen in the videographic sources showing the modernization of the locomotive (ABB Schweiz, 2020). This equals 70 units of ecoinvent inventories (electric motor, for passenger car) necessary to propel the locomotive. This equals a weight of 3,710 kg, which is comparable to the weight/power ratio of other heavy duty electric motors produced by ABB, like the AMXE200L (ABB, 2022). Efficiency of the motors is therefore assumed to be approx. 87% (=6,100/7,000).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ABB (2018a) BORDLINE CC1500 AC_15kV- Product information. Retrieved on March, 21, 2024 from https://search.abb.com/library/Download.aspx?DocumentID=3BHS340076%20ZAB%20E04&amp;LanguageCode=en&amp;DocumentPartId=&amp;Action=Launch
ABB (2022) Motors for heavy electric vehicles (catalog) - AMXE series. retrieved on April, 6, 2024, from https://search.abb.com/library/Download.aspx?DocumentID=9AAU00000000036&amp;LanguageCode=en&amp;DocumentPartId=&amp;Action=Launch
ABB Schweiz (2020). Class Re 460 modernization program of Swiss Federal Railways SBB. Available at: https://www.youtube.com/watch?v=EqeFXbjETlA
Hitachi (2022). RESIBLOC® Rail traction transformers. Available at: https://publisher.hitachienergy.com/preview?DocumentID=9AKK107992A2005&amp;LanguageCode=en&amp;DocumentPartId=&amp;Action=launch&amp;DocumentRevisionId=C
</t>
        </is>
      </c>
    </row>
    <row r="32">
      <c r="A32" t="inlineStr">
        <is>
          <t>market for converter, for electric passenger car</t>
        </is>
      </c>
      <c r="B32">
        <f>2302.22222222222*4.5</f>
        <v>10359.999999999989</v>
      </c>
      <c r="C32" t="inlineStr">
        <is>
          <t>GLO</t>
        </is>
      </c>
      <c r="D32" t="inlineStr">
        <is>
          <t>kilogram</t>
        </is>
      </c>
      <c r="F32" t="inlineStr">
        <is>
          <t>technosphere</t>
        </is>
      </c>
      <c r="G32" t="inlineStr">
        <is>
          <t>converter, for electric passenger car</t>
        </is>
      </c>
      <c r="H32" t="inlineStr">
        <is>
          <t>ecoinvent inventory for 1 unit fit for 100kW drivetrain, weighs 4.5kg; converter weight of ABB BORDLINE® CC1500 AC_15kV: 2590kg (ABB, 2018a), assuming the same material composition the units of converter are calculating by dividing the weight of the CC1500 DE through the ecoinvent set.
The lifetime of the converter is interferred from an ABB article stating that the modernized Re460 will run for another 20 years (ABB, 2020). Antoher articel states that the main modernization is implementing the converter BORDLINE CC 1500 (ABB, 2014). A lifetime of 20 years suggest two converters being necessary in the assumed lifetime of 40 years of the locomotive.
To generate a total power of max. 6.1 MW, two converters are used as also seen in the videographic sources showing the modernization of the locomotive (ABB Schweiz, 2020)
ABB (2014). ABB wins $70 million order to modernize locomotives for Swiss Railways SBB. News.Retrived on April, 3, 2024 from https://new.abb.com/news/detail/13389/abb-wins-70-million-order-to-modernize-locomotives-for-swiss-railways-sbb
ABB (2018a) BORDLINE CC1500 AC_15kV- Product information. Retrieved on March, 21, 2024 from https://search.abb.com/library/Download.aspx?DocumentID=3BHS340076%20ZAB%20E04&amp;LanguageCode=en&amp;DocumentPartId=&amp;Action=Launch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ABB Schweiz (2020). Class Re 460 modernization program of Swiss Federal Railways SBB. Available at: https://www.youtube.com/watch?v=EqeFXbjETlA</t>
        </is>
      </c>
    </row>
    <row r="33">
      <c r="A33" t="inlineStr">
        <is>
          <t>production of locomotive, electric catenary</t>
        </is>
      </c>
      <c r="B33" t="n">
        <v>1</v>
      </c>
      <c r="C33" t="inlineStr">
        <is>
          <t>GLO</t>
        </is>
      </c>
      <c r="D33" t="inlineStr">
        <is>
          <t>unit</t>
        </is>
      </c>
      <c r="F33" t="inlineStr">
        <is>
          <t>production</t>
        </is>
      </c>
      <c r="G33" t="inlineStr">
        <is>
          <t>locomotive electric, catenary</t>
        </is>
      </c>
    </row>
    <row r="34"/>
    <row r="35">
      <c r="A35" s="2" t="inlineStr">
        <is>
          <t>Activity</t>
        </is>
      </c>
      <c r="B35" s="2" t="inlineStr">
        <is>
          <t>production of locomotive, fuel cell, hydrogen</t>
        </is>
      </c>
    </row>
    <row r="36">
      <c r="A36" t="inlineStr">
        <is>
          <t>location</t>
        </is>
      </c>
      <c r="B36" t="inlineStr">
        <is>
          <t>GLO</t>
        </is>
      </c>
    </row>
    <row r="37">
      <c r="A37" t="inlineStr">
        <is>
          <t>production amount</t>
        </is>
      </c>
      <c r="B37" t="n">
        <v>1</v>
      </c>
    </row>
    <row r="38">
      <c r="A38" t="inlineStr">
        <is>
          <t>reference product</t>
        </is>
      </c>
      <c r="B38" t="inlineStr">
        <is>
          <t>locomotive fuel cell, hydrogen</t>
        </is>
      </c>
    </row>
    <row r="39">
      <c r="A39" t="inlineStr">
        <is>
          <t>type</t>
        </is>
      </c>
      <c r="B39" t="inlineStr">
        <is>
          <t>process</t>
        </is>
      </c>
    </row>
    <row r="40">
      <c r="A40" t="inlineStr">
        <is>
          <t>unit</t>
        </is>
      </c>
      <c r="B40" t="inlineStr">
        <is>
          <t>unit</t>
        </is>
      </c>
    </row>
    <row r="41">
      <c r="A41" t="inlineStr">
        <is>
          <t>description</t>
        </is>
      </c>
      <c r="B41" t="inlineStr">
        <is>
          <t xml:space="preserve">market for locomotive (ecoinvent) is based on Frischknecht et al. (1996). This study only consideres materials of the catenary electric locomotive RE 460, operated by the SBB in CH. Electrical components are not considered. This equals a electric locomotives base components without the electrical equipment (= power traction). Therefore additional components are added to the inventory to represent a fuel cell, hydrogen locomotive (electric motor, converter, fuel cell, fuel tank, battery cell). It is assumed that diesel-electric locomotives will be retrofitted with fuel cell system or that hydrogen driven locomotives operate similarly to diesel locomotives. Electrical components taken from ABB (2018b).
The HFC-battery system is sized to be able to produce a max. power output of 2,500 kW (Knibbe et al., 2023). As this power output is similar to the diesel-electric locomotive UKlight (Vossloh Rail Vehicles, 2012) of 2,800 kW it is assumed that the HFC-locomotive will have a comparable tractive effort of below 300 kN. This makes it a viable alternative to the electric, catenary or diesel-electric counter part.
Average Lifetime is 40 years with 9.6 million km. Assuming an average speed of 40 kmh (approx. 25 mph, based on Statista (2024)) equals a drivingtime of 240,000 h over the lifetime of the locomotive.
ABB (2018b). Bordline CC1500 DE - Product information. Retrieved March 23, 2024, from  https://search.abb.com/library/Download.aspx?DocumentID=3BHS340077%20ZAB%20E01&amp;LanguageCode=en&amp;DocumentPartId=&amp;Action=Launch
Frischknecht R., Bollens U., Bosshart S., Ciot M., Ciseri L., Doka G., Dones R., Gantner U. and Hischier R. (1996) Ökoinventare von Energiesystemen: Grundlagen für den ökologischen Vergleich von Energiesystemen und den Einbezug von Energiesystemen in Ökobilanzen für die Schweiz
Knibbe, R., Harding, D., Burton, J., Cooper, E., Amir Zadeh, Z., Sagulenko, M., Meehan, P. A., &amp; Buckley, R. (2023). Optimal battery and hydrogen fuel cell sizing in heavy-haul locomotives. Journal of Energy Storage, 71, 108090. https://doi.org/10.1016/j.est.2023.108090
Statista  (n.d.).Union Pacific: Average train speed 2022. Retrieved April 3, 2024, from https://www.statista.com/statistics/547745/average-train-speed-union-pacific-railroad/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t>
        </is>
      </c>
    </row>
    <row r="42">
      <c r="A42" t="inlineStr">
        <is>
          <t>Exchanges</t>
        </is>
      </c>
    </row>
    <row r="43">
      <c r="A43" s="2" t="inlineStr">
        <is>
          <t>name</t>
        </is>
      </c>
      <c r="B43" s="2" t="inlineStr">
        <is>
          <t>amount</t>
        </is>
      </c>
      <c r="C43" s="2" t="inlineStr">
        <is>
          <t>location</t>
        </is>
      </c>
      <c r="D43" s="2" t="inlineStr">
        <is>
          <t>unit</t>
        </is>
      </c>
      <c r="E43" s="2" t="inlineStr">
        <is>
          <t>categories</t>
        </is>
      </c>
      <c r="F43" s="2" t="inlineStr">
        <is>
          <t>type</t>
        </is>
      </c>
      <c r="G43" s="2" t="inlineStr">
        <is>
          <t>reference product</t>
        </is>
      </c>
      <c r="H43" s="2" t="inlineStr">
        <is>
          <t>comment</t>
        </is>
      </c>
    </row>
    <row r="44">
      <c r="A44" t="inlineStr">
        <is>
          <t>market for locomotive</t>
        </is>
      </c>
      <c r="B44" t="n">
        <v>1</v>
      </c>
      <c r="C44" t="inlineStr">
        <is>
          <t>GLO</t>
        </is>
      </c>
      <c r="D44" t="inlineStr">
        <is>
          <t>unit</t>
        </is>
      </c>
      <c r="F44" t="inlineStr">
        <is>
          <t>technosphere</t>
        </is>
      </c>
      <c r="G44" t="inlineStr">
        <is>
          <t>locomotive</t>
        </is>
      </c>
      <c r="H44" t="inlineStr">
        <is>
          <t>The ecoinvent inventory of locomotive based on Frischknecht (1996) serves as a base for all locomotive inventories modelled. The inventory only includes main materials without considering electronic equipment. As the inventory is based on the electric locomotive Re460, the inventory of the locomotive represents everything but the power/traction components. This allows for adding the components responsble for propelling the vehicle on top of this inflow.
Frischknecht R., Bollens U., Bosshart S., Ciot M., Ciseri L., Doka G., Dones R., Gantner U. and Hischier R. (1996) Ökoinventare von Energiesystemen: Grundlagen für den ökologischen Vergleich von Energiesystemen und den Einbezug von Energiesystemen in Ökobilanzen für die Schweiz</t>
        </is>
      </c>
    </row>
    <row r="45">
      <c r="A45" t="inlineStr">
        <is>
          <t>market for electric motor, electric passenger car</t>
        </is>
      </c>
      <c r="B45">
        <f>25*53</f>
        <v>1325</v>
      </c>
      <c r="C45" t="inlineStr">
        <is>
          <t>GLO</t>
        </is>
      </c>
      <c r="D45" t="inlineStr">
        <is>
          <t>kilogram</t>
        </is>
      </c>
      <c r="F45" t="inlineStr">
        <is>
          <t>technosphere</t>
        </is>
      </c>
      <c r="G45" t="inlineStr">
        <is>
          <t>electric motor, electric passenger car</t>
        </is>
      </c>
      <c r="H45" t="inlineStr">
        <is>
          <t>ecoinvent inventory for 1 unit (max. power output 100kW, 53kg). The maximum power output the electric motors have to deal with is 2,500kW for the respective sizing of the HFC system, according to Knibbe et al. (2023). This equals 25 ecoinvent inventory equivalents, assuming comparable compositions of the ecoinvent inventory and locomotive traction motors.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Knibbe, R., Harding, D., Burton, J., Cooper, E., Amir Zadeh, Z., Sagulenko, M., Meehan, P. A., &amp; Buckley, R. (2023). Optimal battery and hydrogen fuel cell sizing in heavy-haul locomotives. Journal of Energy Storage, 71, 108090. https://doi.org/10.1016/j.est.2023.108090</t>
        </is>
      </c>
    </row>
    <row r="46">
      <c r="A46" t="inlineStr">
        <is>
          <t>market for converter, for electric passenger car</t>
        </is>
      </c>
      <c r="B46">
        <f>506.666666666667*4.5</f>
        <v>2280.0000000000018</v>
      </c>
      <c r="C46" t="inlineStr">
        <is>
          <t>GLO</t>
        </is>
      </c>
      <c r="D46" t="inlineStr">
        <is>
          <t>kilogram</t>
        </is>
      </c>
      <c r="F46" t="inlineStr">
        <is>
          <t>technosphere</t>
        </is>
      </c>
      <c r="G46" t="inlineStr">
        <is>
          <t>converter, for electric passenger car</t>
        </is>
      </c>
      <c r="H46" t="inlineStr">
        <is>
          <t>ecoinvent inventory for 1 unit fit for 100kW drivetrain, weighs 4.5kg; converter weight of BORDLINE® CC1500 DE: 1140kg (ABB, 2018b), assuming the same material composition the units of converter are calculating by dividing the weight of the CC1500 DE through the ecoinvent set.
As the diesel-electric and HFC locomotive have similar peak power outputs (2,500 kW vs. 2,400 kW) it is assumed that a converter similar to the BORDLINE CC1500 DE can be used in a HFC locomotive.
The lifetime of the converter is interferred from an ABB article stating that the modernized Re460 will run for another 20 years (ABB, 2020). Antoher articel states that the main modernization is implementing the converter BORDLINE CC 1500 (ABB, 2014). A lifetime of 20 years suggest two onverters being necessary in the assumed lifetime of 40 years of the locomotive.
ABB (2014). ABB wins $70 million order to modernize locomotives for Swiss Railways SBB. News.Retrived on April, 3, 2024 from https://new.abb.com/news/detail/13389/abb-wins-70-million-order-to-modernize-locomotives-for-swiss-railways-sbb
ABB (2018b) BORDLINE CC1500 DE - Product information. Retrieved on March, 21, 2024 from https://search.abb.com/library/Download.aspx?DocumentID=3BHS340077%20ZAB%20E01&amp;LanguageCode=en&amp;DocumentPartId=&amp;Action=Launch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t>
        </is>
      </c>
    </row>
    <row r="47">
      <c r="A47" t="inlineStr">
        <is>
          <t>fuel cell system assembly, 1 kWe, proton exchange membrane (PEM)</t>
        </is>
      </c>
      <c r="B47" t="n">
        <v>6880</v>
      </c>
      <c r="C47" t="inlineStr">
        <is>
          <t>GLO</t>
        </is>
      </c>
      <c r="D47" t="inlineStr">
        <is>
          <t>unit</t>
        </is>
      </c>
      <c r="F47" t="inlineStr">
        <is>
          <t>technosphere</t>
        </is>
      </c>
      <c r="G47" t="inlineStr">
        <is>
          <t>fuel cell system, 1 kWe, proton exchange membrane (PEM)</t>
        </is>
      </c>
      <c r="H47" t="inlineStr">
        <is>
          <t>LCI taken from premise for road vehicles. Knibbe et al. (2023) suggest a optimal fuell cell sizing of 860kW. The average lifetime of the fuel cell system is 30,000 h (Knibbe et al., 2023), with a assumed lifetime operation of 240,000h, the fuel cell system has to be replaced 8 times. This can only be seen as an approximation as lifetime strongly depends on operating conditions (as shown for road vehicles in Bae et al., 2012)
Knibbe, R., Harding, D., Burton, J., Cooper, E., Amir Zadeh, Z., Sagulenko, M., Meehan, P. A., &amp; Buckley, R. (2023). Optimal battery and hydrogen fuel cell sizing in heavy-haul locomotives. Journal of Energy Storage, 71, 108090. https://doi.org/10.1016/j.est.2023.108090
Bae S., Kim S-J., Park JI., Park .C, Lee J-H., Song .I (2012). Lifetime prediction of a polymer electrolyte membrane fuel cell via an accelerated startupeshutdown cycle test. Int J Hydrogen Energy 2012;37:9775e81. https://doi.org/10.1016/ j.ijhydene.2012.03.104.</t>
        </is>
      </c>
    </row>
    <row r="48">
      <c r="A48" t="inlineStr">
        <is>
          <t>Fuel tank, compressed hydrogen gas, 700bar, with aluminium liner</t>
        </is>
      </c>
      <c r="B48" t="n">
        <v>30323.84571428572</v>
      </c>
      <c r="C48" t="inlineStr">
        <is>
          <t>RER</t>
        </is>
      </c>
      <c r="D48" t="inlineStr">
        <is>
          <t>kilogram</t>
        </is>
      </c>
      <c r="F48" t="inlineStr">
        <is>
          <t>technosphere</t>
        </is>
      </c>
      <c r="G48" t="inlineStr">
        <is>
          <t>Hydrogen tank</t>
        </is>
      </c>
      <c r="H48" t="inlineStr">
        <is>
          <t>premise inventory for 1kg of tank; premise bases its inventory on Stropnik et al. (2022). These state that 1,237 kg of hydrogen is consumed by the 1kWe fuel cell over 20,000h of operation producing 1kW per h. This assumes that the tank is filled so that the 860kW fuell cell canproduce 860kW per h. This might not reflect reality as the fuel cell is not always run on full capacity.
Evangelisti et al. (2017) states that for an aluminium lined  Type III hydrogen tank 5.6kg hydrogen is carried in a 93kg tank.
According to Agostini et al. (2018) expected lifespans of type III and type IV hydrogen tanks is assumed to be 10 years. This equals 4 tanks used over the lifetime of 40 years of the locomotive.
Evangelisti, S., Tagliaferri, C., Brett, D. J. L., &amp; Lettieri, P. (2017). Life cycle assessment of a polymer electrolyte membrane fuel cell system for passenger vehicles. Journal of Cleaner Production, 142, 4339–4355. https://doi.org/10.1016/j.jclepro.2016.11.159
Rok Stropnik, Nejc Mlakar, Andrej Lotrič, Mihael Sekavčnik, Mitja Mori (2022). The influence of degradation effects in proton exchange membrane fuel cells on life cycle assessment modelling and environmental impact indicators, International Journal of Hydrogen Energy, Volume 47, Issue 57, https://doi.org/10.1016/j.ijhydene.2022.04.011</t>
        </is>
      </c>
    </row>
    <row r="49">
      <c r="A49" t="inlineStr">
        <is>
          <t>market for battery cell, Li-ion, NMC622</t>
        </is>
      </c>
      <c r="B49" t="n">
        <v>67404.25531914894</v>
      </c>
      <c r="C49" t="inlineStr">
        <is>
          <t>GLO</t>
        </is>
      </c>
      <c r="D49" t="inlineStr">
        <is>
          <t>kilogram</t>
        </is>
      </c>
      <c r="F49" t="inlineStr">
        <is>
          <t>technosphere</t>
        </is>
      </c>
      <c r="G49" t="inlineStr">
        <is>
          <t>battery cell, Li-ion, NMC622</t>
        </is>
      </c>
      <c r="H49" t="inlineStr">
        <is>
          <t>premise inventory for 1kg of battery ,23.5 kWh (165 kg) made of 140 3.6 V- 46Ah. Knibbe et al. (2023) suggest a optimal battery sizing of 3.6 MWh.
The NMC-622 battery was chosen in contrast to the LPF battery in Knibbe et al. (2023) because of its higher engergy density taken from Dai et al. (2019)  (premise truck batteries built on this study)
The average lifetime of a battery highly depends on the operating conditions and charging cycles. Shafique et al. (2023) assumed a lifetime of 15 years (taking into consideration future developments) for a NMC-622 battery. This equals ~2.67 batteries for a 40 years lifetime of the locomotive. 
Dai, Q., Kelly, J. C., Gaines, L., &amp; Wang, M. (2019). Life cycle analysis of lithium-ion batteries for automotive applications. Batteries, 5(2), 48
Knibbe, R., Harding, D., Burton, J., Cooper, E., Amir Zadeh, Z., Sagulenko, M., Meehan, P. A., &amp; Buckley, R. (2023). Optimal battery and hydrogen fuel cell sizing in heavy-haul locomotives. Journal of Energy Storage, 71, 108090. https://doi.org/10.1016/j.est.2023.108090
Shafique, M., Akbar, A., Rafiq, M., Azam, A., &amp; Luo, X. (2023). Global material flow analysis of end-of-life of lithium nickel manganese cobalt oxide batteries from battery electric vehicles. Waste Management &amp; Research, 41(2), 376–388. https://doi.org/10.1177/0734242X221127175</t>
        </is>
      </c>
    </row>
    <row r="50">
      <c r="A50" t="inlineStr">
        <is>
          <t>market for goods wagon</t>
        </is>
      </c>
      <c r="B50" t="n">
        <v>1</v>
      </c>
      <c r="C50" t="inlineStr">
        <is>
          <t>GLO</t>
        </is>
      </c>
      <c r="D50" t="inlineStr">
        <is>
          <t>unit</t>
        </is>
      </c>
      <c r="F50" t="inlineStr">
        <is>
          <t>technosphere</t>
        </is>
      </c>
      <c r="G50" t="inlineStr">
        <is>
          <t>goods wagon</t>
        </is>
      </c>
      <c r="H50" t="inlineStr">
        <is>
          <t>As the fuel cell and the battery require significant storage space an additional goods wagon (baseframe) is added to transport the HFC system externally behind the locomotive. Designs like this are already in development and production (Alstom, 2022).
Alstom. (2022). From 2025, Nestlé Waters France will use the first hydrogen-powered freight train through an innovative solution developed by Alstom and ENGIE. Alstom. https://www.alstom.com/press-releases-news/2022/11/2025-nestle-waters-france-will-use-first-hydrogen-powered-freight-train-through-innovative-solution-developed-alstom-and-engie</t>
        </is>
      </c>
    </row>
    <row r="51">
      <c r="A51" t="inlineStr">
        <is>
          <t>production of locomotive, fuel cell, hydrogen</t>
        </is>
      </c>
      <c r="B51" t="n">
        <v>1</v>
      </c>
      <c r="C51" t="inlineStr">
        <is>
          <t>GLO</t>
        </is>
      </c>
      <c r="D51" t="inlineStr">
        <is>
          <t>unit</t>
        </is>
      </c>
      <c r="F51" t="inlineStr">
        <is>
          <t>production</t>
        </is>
      </c>
      <c r="G51" t="inlineStr">
        <is>
          <t>locomotive fuel cell, hydrogen</t>
        </is>
      </c>
    </row>
    <row r="52"/>
    <row r="53">
      <c r="A53" s="2" t="inlineStr">
        <is>
          <t>Activity</t>
        </is>
      </c>
      <c r="B53" s="2" t="inlineStr">
        <is>
          <t>transport, freight train, diesel-electric</t>
        </is>
      </c>
    </row>
    <row r="54">
      <c r="A54" t="inlineStr">
        <is>
          <t>location</t>
        </is>
      </c>
      <c r="B54" t="inlineStr">
        <is>
          <t>Europe without Switzerland</t>
        </is>
      </c>
    </row>
    <row r="55">
      <c r="A55" t="inlineStr">
        <is>
          <t>production amount</t>
        </is>
      </c>
      <c r="B55" t="n">
        <v>1</v>
      </c>
    </row>
    <row r="56">
      <c r="A56" t="inlineStr">
        <is>
          <t>reference product</t>
        </is>
      </c>
      <c r="B56" t="inlineStr">
        <is>
          <t>transport, freight train</t>
        </is>
      </c>
    </row>
    <row r="57">
      <c r="A57" t="inlineStr">
        <is>
          <t>type</t>
        </is>
      </c>
      <c r="B57" t="inlineStr">
        <is>
          <t>process</t>
        </is>
      </c>
    </row>
    <row r="58">
      <c r="A58" t="inlineStr">
        <is>
          <t>unit</t>
        </is>
      </c>
      <c r="B58" t="inlineStr">
        <is>
          <t>ton kilometer</t>
        </is>
      </c>
    </row>
    <row r="59">
      <c r="A59" t="inlineStr">
        <is>
          <t>Exchanges</t>
        </is>
      </c>
    </row>
    <row r="60">
      <c r="A60" s="2" t="inlineStr">
        <is>
          <t>name</t>
        </is>
      </c>
      <c r="B60" s="2" t="inlineStr">
        <is>
          <t>amount</t>
        </is>
      </c>
      <c r="C60" s="2" t="inlineStr">
        <is>
          <t>location</t>
        </is>
      </c>
      <c r="D60" s="2" t="inlineStr">
        <is>
          <t>unit</t>
        </is>
      </c>
      <c r="E60" s="2" t="inlineStr">
        <is>
          <t>categories</t>
        </is>
      </c>
      <c r="F60" s="2" t="inlineStr">
        <is>
          <t>type</t>
        </is>
      </c>
      <c r="G60" s="2" t="inlineStr">
        <is>
          <t>reference product</t>
        </is>
      </c>
      <c r="H60" s="2" t="inlineStr">
        <is>
          <t>comment</t>
        </is>
      </c>
    </row>
    <row r="61">
      <c r="A61" t="inlineStr">
        <is>
          <t>market for diesel</t>
        </is>
      </c>
      <c r="B61" t="n">
        <v>0.00910936784019916</v>
      </c>
      <c r="C61" t="inlineStr">
        <is>
          <t>Europe without Switzerland</t>
        </is>
      </c>
      <c r="D61" t="inlineStr">
        <is>
          <t>kilogram</t>
        </is>
      </c>
      <c r="F61" t="inlineStr">
        <is>
          <t>technosphere</t>
        </is>
      </c>
      <c r="G61" t="inlineStr">
        <is>
          <t>diesel</t>
        </is>
      </c>
      <c r="H61"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
Additional the energy consumption for shunting processes is added. The shunting processe is assumed to be done by diesel shunting locomotives exclusivley. The specific diesel consumption for the shunting is taken from the regional ecoinvent datasets "transport, freight train, electric".</t>
        </is>
      </c>
    </row>
    <row r="62">
      <c r="A62" t="inlineStr">
        <is>
          <t>production of locomotive, diesel-electric</t>
        </is>
      </c>
      <c r="B62" t="n">
        <v>7.11e-10</v>
      </c>
      <c r="C62" t="inlineStr">
        <is>
          <t>GLO</t>
        </is>
      </c>
      <c r="D62" t="inlineStr">
        <is>
          <t>unit</t>
        </is>
      </c>
      <c r="F62" t="inlineStr">
        <is>
          <t>technosphere</t>
        </is>
      </c>
      <c r="G62" t="inlineStr">
        <is>
          <t>locomotive diesel-electric</t>
        </is>
      </c>
      <c r="H62" t="inlineStr">
        <is>
          <t>taken from ecoinvent, "transport, freight train, diesel</t>
        </is>
      </c>
    </row>
    <row r="63">
      <c r="A63" t="inlineStr">
        <is>
          <t>maintenance, locomotive</t>
        </is>
      </c>
      <c r="B63" t="n">
        <v>7.11e-10</v>
      </c>
      <c r="C63" t="inlineStr">
        <is>
          <t>RER</t>
        </is>
      </c>
      <c r="D63" t="inlineStr">
        <is>
          <t>unit</t>
        </is>
      </c>
      <c r="F63" t="inlineStr">
        <is>
          <t>technosphere</t>
        </is>
      </c>
      <c r="G63" t="inlineStr">
        <is>
          <t>maintenance, locomotive</t>
        </is>
      </c>
      <c r="H63" t="inlineStr">
        <is>
          <t>taken from ecoinvent, "transport, freight train, diesel</t>
        </is>
      </c>
    </row>
    <row r="64">
      <c r="A64" t="inlineStr">
        <is>
          <t>market for goods wagon</t>
        </is>
      </c>
      <c r="B64" t="n">
        <v>4.59e-08</v>
      </c>
      <c r="C64" t="inlineStr">
        <is>
          <t>GLO</t>
        </is>
      </c>
      <c r="D64" t="inlineStr">
        <is>
          <t>unit</t>
        </is>
      </c>
      <c r="F64" t="inlineStr">
        <is>
          <t>technosphere</t>
        </is>
      </c>
      <c r="G64" t="inlineStr">
        <is>
          <t>goods wagon</t>
        </is>
      </c>
      <c r="H64" t="inlineStr">
        <is>
          <t>taken from ecoinvent, "transport, freight train, diesel</t>
        </is>
      </c>
    </row>
    <row r="65">
      <c r="A65" t="inlineStr">
        <is>
          <t>maintenance, goods wagon</t>
        </is>
      </c>
      <c r="B65" t="n">
        <v>4.59e-08</v>
      </c>
      <c r="C65" t="inlineStr">
        <is>
          <t>RER</t>
        </is>
      </c>
      <c r="D65" t="inlineStr">
        <is>
          <t>unit</t>
        </is>
      </c>
      <c r="F65" t="inlineStr">
        <is>
          <t>technosphere</t>
        </is>
      </c>
      <c r="G65" t="inlineStr">
        <is>
          <t>maintenance, goods wagon</t>
        </is>
      </c>
      <c r="H65" t="inlineStr">
        <is>
          <t>taken from ecoinvent, "transport, freight train, diesel</t>
        </is>
      </c>
    </row>
    <row r="66">
      <c r="A66" t="inlineStr">
        <is>
          <t>market for railway track</t>
        </is>
      </c>
      <c r="B66" t="n">
        <v>9.3e-05</v>
      </c>
      <c r="C66" t="inlineStr">
        <is>
          <t>GLO</t>
        </is>
      </c>
      <c r="D66" t="inlineStr">
        <is>
          <t>meter-year</t>
        </is>
      </c>
      <c r="F66" t="inlineStr">
        <is>
          <t>technosphere</t>
        </is>
      </c>
      <c r="G66" t="inlineStr">
        <is>
          <t>railway track</t>
        </is>
      </c>
      <c r="H66" t="inlineStr">
        <is>
          <t>taken from ecoinvent, "transport, freight train, diesel</t>
        </is>
      </c>
    </row>
    <row r="67">
      <c r="A67" t="inlineStr">
        <is>
          <t>Ammonia</t>
        </is>
      </c>
      <c r="B67" t="n">
        <v>1.631338284271745e-07</v>
      </c>
      <c r="D67" t="inlineStr">
        <is>
          <t>kilogram</t>
        </is>
      </c>
      <c r="E67" t="inlineStr">
        <is>
          <t>air</t>
        </is>
      </c>
      <c r="F67" t="inlineStr">
        <is>
          <t>biosphere</t>
        </is>
      </c>
      <c r="H67" t="inlineStr">
        <is>
          <t>2.0E-05 kg/kg fuel for diesel locomotives, according to Spielmann et al. (2007)
Spielmann, M., Bauer, C., Dones, R., Institut, P. S., &amp; Tuchschmid, M. (2007). Transport Services. Swiss Centre for Life Cycle Inventories, ecoinvent report No. 14.</t>
        </is>
      </c>
    </row>
    <row r="68">
      <c r="A68" t="inlineStr">
        <is>
          <t>Benzene</t>
        </is>
      </c>
      <c r="B68" t="n">
        <v>8.156691421358727e-07</v>
      </c>
      <c r="D68" t="inlineStr">
        <is>
          <t>kilogram</t>
        </is>
      </c>
      <c r="E68" t="inlineStr">
        <is>
          <t>air</t>
        </is>
      </c>
      <c r="F68" t="inlineStr">
        <is>
          <t>biosphere</t>
        </is>
      </c>
      <c r="H68" t="inlineStr">
        <is>
          <t>1.0E-04 kg/kg fuel for diesel locomotives, according to Spielmann et al. (2007)
Spielmann, M., Bauer, C., Dones, R., Institut, P. S., &amp; Tuchschmid, M. (2007). Transport Services. Swiss Centre for Life Cycle Inventories, ecoinvent report No. 14.</t>
        </is>
      </c>
    </row>
    <row r="69">
      <c r="A69" t="inlineStr">
        <is>
          <t>Cadmium II</t>
        </is>
      </c>
      <c r="B69" t="n">
        <v>8.156691421358726e-11</v>
      </c>
      <c r="D69" t="inlineStr">
        <is>
          <t>kilogram</t>
        </is>
      </c>
      <c r="E69" t="inlineStr">
        <is>
          <t>air</t>
        </is>
      </c>
      <c r="F69" t="inlineStr">
        <is>
          <t>biosphere</t>
        </is>
      </c>
      <c r="H69" t="inlineStr">
        <is>
          <t>1.0E-08 kg/kg fuel for diesel locomotives, according to Spielmann et al. (2007)
Spielmann, M., Bauer, C., Dones, R., Institut, P. S., &amp; Tuchschmid, M. (2007). Transport Services. Swiss Centre for Life Cycle Inventories, ecoinvent report No. 14.</t>
        </is>
      </c>
    </row>
    <row r="70">
      <c r="A70" t="inlineStr">
        <is>
          <t>Carbon dioxide, fossil</t>
        </is>
      </c>
      <c r="B70" t="n">
        <v>0.02566095121159455</v>
      </c>
      <c r="D70" t="inlineStr">
        <is>
          <t>kilogram</t>
        </is>
      </c>
      <c r="E70" t="inlineStr">
        <is>
          <t>air</t>
        </is>
      </c>
      <c r="F70" t="inlineStr">
        <is>
          <t>biosphere</t>
        </is>
      </c>
      <c r="H70" t="inlineStr">
        <is>
          <t>3.146 kg/kg fuel for diesel locomotives, according to Spielmann et al. (2007)
Spielmann, M., Bauer, C., Dones, R., Institut, P. S., &amp; Tuchschmid, M. (2007). Transport Services. Swiss Centre for Life Cycle Inventories, ecoinvent report No. 14.</t>
        </is>
      </c>
    </row>
    <row r="71">
      <c r="A71" t="inlineStr">
        <is>
          <t>Carbon monoxide, fossil</t>
        </is>
      </c>
      <c r="B71" t="n">
        <v>0.0001288757244574679</v>
      </c>
      <c r="D71" t="inlineStr">
        <is>
          <t>kilogram</t>
        </is>
      </c>
      <c r="E71" t="inlineStr">
        <is>
          <t>air</t>
        </is>
      </c>
      <c r="F71" t="inlineStr">
        <is>
          <t>biosphere</t>
        </is>
      </c>
      <c r="H71" t="inlineStr">
        <is>
          <t>1.58E-02 kg/kg fuel for diesel locomotives, according to Spielmann et al. (2007)
Spielmann, M., Bauer, C., Dones, R., Institut, P. S., &amp; Tuchschmid, M. (2007). Transport Services. Swiss Centre for Life Cycle Inventories, ecoinvent report No. 14.</t>
        </is>
      </c>
    </row>
    <row r="72">
      <c r="A72" t="inlineStr">
        <is>
          <t>Chromium III</t>
        </is>
      </c>
      <c r="B72" t="n">
        <v>4.078345710679363e-10</v>
      </c>
      <c r="D72" t="inlineStr">
        <is>
          <t>kilogram</t>
        </is>
      </c>
      <c r="E72" t="inlineStr">
        <is>
          <t>air</t>
        </is>
      </c>
      <c r="F72" t="inlineStr">
        <is>
          <t>biosphere</t>
        </is>
      </c>
      <c r="H72" t="inlineStr">
        <is>
          <t>5.0E-08 kg/kg fuel for diesel locomotives, according to Spielmann et al. (2007)
Spielmann, M., Bauer, C., Dones, R., Institut, P. S., &amp; Tuchschmid, M. (2007). Transport Services. Swiss Centre for Life Cycle Inventories, ecoinvent report No. 14.</t>
        </is>
      </c>
    </row>
    <row r="73">
      <c r="A73" t="inlineStr">
        <is>
          <t>Copper ion</t>
        </is>
      </c>
      <c r="B73" t="n">
        <v>1.386637541630983e-08</v>
      </c>
      <c r="D73" t="inlineStr">
        <is>
          <t>kilogram</t>
        </is>
      </c>
      <c r="E73" t="inlineStr">
        <is>
          <t>air</t>
        </is>
      </c>
      <c r="F73" t="inlineStr">
        <is>
          <t>biosphere</t>
        </is>
      </c>
      <c r="H73" t="inlineStr">
        <is>
          <t>1.7E-06 kg/kg fuel for diesel locomotives, according to Spielmann et al. (2007)
Spielmann, M., Bauer, C., Dones, R., Institut, P. S., &amp; Tuchschmid, M. (2007). Transport Services. Swiss Centre for Life Cycle Inventories, ecoinvent report No. 14.</t>
        </is>
      </c>
    </row>
    <row r="74">
      <c r="A74" t="inlineStr">
        <is>
          <t>Dinitrogen monoxide</t>
        </is>
      </c>
      <c r="B74" t="n">
        <v>8.156691421358727e-07</v>
      </c>
      <c r="D74" t="inlineStr">
        <is>
          <t>kilogram</t>
        </is>
      </c>
      <c r="E74" t="inlineStr">
        <is>
          <t>air</t>
        </is>
      </c>
      <c r="F74" t="inlineStr">
        <is>
          <t>biosphere</t>
        </is>
      </c>
      <c r="H74" t="inlineStr">
        <is>
          <t>1.0E-04 kg/kg fuel for diesel locomotives, according to Spielmann et al. (2007)
Spielmann, M., Bauer, C., Dones, R., Institut, P. S., &amp; Tuchschmid, M. (2007). Transport Services. Swiss Centre for Life Cycle Inventories, ecoinvent report No. 14.</t>
        </is>
      </c>
    </row>
    <row r="75">
      <c r="A75" t="inlineStr">
        <is>
          <t>Iron ion</t>
        </is>
      </c>
      <c r="B75" t="n">
        <v>1.24e-05</v>
      </c>
      <c r="D75" t="inlineStr">
        <is>
          <t>kilogram</t>
        </is>
      </c>
      <c r="E75" t="inlineStr">
        <is>
          <t>soil</t>
        </is>
      </c>
      <c r="F75" t="inlineStr">
        <is>
          <t>biosphere</t>
        </is>
      </c>
      <c r="H75" t="inlineStr">
        <is>
          <t>1.24E-05 kg/tkm, emission of particulates due to abrasion from rail tracks, wheels,and brakes Spielmann et al. (2007)
Spielmann, M., Bauer, C., Dones, R., Institut, P. S., &amp; Tuchschmid, M. (2007). Transport Services. Swiss Centre for Life Cycle Inventories, ecoinvent report No. 14.</t>
        </is>
      </c>
    </row>
    <row r="76">
      <c r="A76" t="inlineStr">
        <is>
          <t>Lead II</t>
        </is>
      </c>
      <c r="B76" t="n">
        <v>8.972360563494599e-13</v>
      </c>
      <c r="D76" t="inlineStr">
        <is>
          <t>kilogram</t>
        </is>
      </c>
      <c r="E76" t="inlineStr">
        <is>
          <t>air</t>
        </is>
      </c>
      <c r="F76" t="inlineStr">
        <is>
          <t>biosphere</t>
        </is>
      </c>
      <c r="H76" t="inlineStr">
        <is>
          <t>1.1E-10 kg/kg fuel for diesel locomotives, according to Spielmann et al. (2007)
Spielmann, M., Bauer, C., Dones, R., Institut, P. S., &amp; Tuchschmid, M. (2007). Transport Services. Swiss Centre for Life Cycle Inventories, ecoinvent report No. 14.</t>
        </is>
      </c>
    </row>
    <row r="77">
      <c r="A77" t="inlineStr">
        <is>
          <t>Mercury II</t>
        </is>
      </c>
      <c r="B77" t="n">
        <v>1.631338284271745e-13</v>
      </c>
      <c r="D77" t="inlineStr">
        <is>
          <t>kilogram</t>
        </is>
      </c>
      <c r="E77" t="inlineStr">
        <is>
          <t>air</t>
        </is>
      </c>
      <c r="F77" t="inlineStr">
        <is>
          <t>biosphere</t>
        </is>
      </c>
      <c r="H77" t="inlineStr">
        <is>
          <t>2.0E-11 kg/kg fuel for diesel locomotives, according to Spielmann et al. (2007)
Spielmann, M., Bauer, C., Dones, R., Institut, P. S., &amp; Tuchschmid, M. (2007). Transport Services. Swiss Centre for Life Cycle Inventories, ecoinvent report No. 14.</t>
        </is>
      </c>
    </row>
    <row r="78">
      <c r="A78" t="inlineStr">
        <is>
          <t>Methane, fossil</t>
        </is>
      </c>
      <c r="B78" t="n">
        <v>1.060369884776634e-06</v>
      </c>
      <c r="D78" t="inlineStr">
        <is>
          <t>kilogram</t>
        </is>
      </c>
      <c r="E78" t="inlineStr">
        <is>
          <t>air</t>
        </is>
      </c>
      <c r="F78" t="inlineStr">
        <is>
          <t>biosphere</t>
        </is>
      </c>
      <c r="H78" t="inlineStr">
        <is>
          <t>1.3E-04 kg/kg fuel for diesel locomotives, according to Spielmann et al. (2007)
Spielmann, M., Bauer, C., Dones, R., Institut, P. S., &amp; Tuchschmid, M. (2007). Transport Services. Swiss Centre for Life Cycle Inventories, ecoinvent report No. 14.</t>
        </is>
      </c>
    </row>
    <row r="79">
      <c r="A79" t="inlineStr">
        <is>
          <t>NMVOC, non-methane volatile organic compounds</t>
        </is>
      </c>
      <c r="B79" t="n">
        <v>4.282262996213332e-05</v>
      </c>
      <c r="D79" t="inlineStr">
        <is>
          <t>kilogram</t>
        </is>
      </c>
      <c r="E79" t="inlineStr">
        <is>
          <t>air</t>
        </is>
      </c>
      <c r="F79" t="inlineStr">
        <is>
          <t>biosphere</t>
        </is>
      </c>
      <c r="H79" t="inlineStr">
        <is>
          <t>5.25E-03 kg/kg fuel for diesel locomotives, according to Spielmann et al. (2007)
Spielmann, M., Bauer, C., Dones, R., Institut, P. S., &amp; Tuchschmid, M. (2007). Transport Services. Swiss Centre for Life Cycle Inventories, ecoinvent report No. 14.</t>
        </is>
      </c>
    </row>
    <row r="80">
      <c r="A80" t="inlineStr">
        <is>
          <t>Nickel II</t>
        </is>
      </c>
      <c r="B80" t="n">
        <v>5.709683994951109e-10</v>
      </c>
      <c r="D80" t="inlineStr">
        <is>
          <t>kilogram</t>
        </is>
      </c>
      <c r="E80" t="inlineStr">
        <is>
          <t>air</t>
        </is>
      </c>
      <c r="F80" t="inlineStr">
        <is>
          <t>biosphere</t>
        </is>
      </c>
      <c r="H80" t="inlineStr">
        <is>
          <t>7.0E-08 kg/kg fuel for diesel locomotives, according to Spielmann et al. (2007)
Spielmann, M., Bauer, C., Dones, R., Institut, P. S., &amp; Tuchschmid, M. (2007). Transport Services. Swiss Centre for Life Cycle Inventories, ecoinvent report No. 14.</t>
        </is>
      </c>
    </row>
    <row r="81">
      <c r="A81" t="inlineStr">
        <is>
          <t>Nitrogen oxides</t>
        </is>
      </c>
      <c r="B81" t="n">
        <v>0.0004486180281747299</v>
      </c>
      <c r="D81" t="inlineStr">
        <is>
          <t>kilogram</t>
        </is>
      </c>
      <c r="E81" t="inlineStr">
        <is>
          <t>air</t>
        </is>
      </c>
      <c r="F81" t="inlineStr">
        <is>
          <t>biosphere</t>
        </is>
      </c>
      <c r="H81" t="inlineStr">
        <is>
          <t>5.5E-02 kg/kg fuel for diesel locomotives, according to Spielmann et al. (2007)
Spielmann, M., Bauer, C., Dones, R., Institut, P. S., &amp; Tuchschmid, M. (2007). Transport Services. Swiss Centre for Life Cycle Inventories, ecoinvent report No. 14.</t>
        </is>
      </c>
    </row>
    <row r="82">
      <c r="A82" t="inlineStr">
        <is>
          <t>Particulate Matter, &lt; 2.5 um</t>
        </is>
      </c>
      <c r="B82" t="n">
        <v>1.003273044827123e-05</v>
      </c>
      <c r="D82" t="inlineStr">
        <is>
          <t>kilogram</t>
        </is>
      </c>
      <c r="E82" t="inlineStr">
        <is>
          <t>air</t>
        </is>
      </c>
      <c r="F82" t="inlineStr">
        <is>
          <t>biosphere</t>
        </is>
      </c>
      <c r="H82" t="inlineStr">
        <is>
          <t>1.28E-03 kg/kg fuel for diesel locomotives, according to Spielmann et al. (2007)
Spielmann, M., Bauer, C., Dones, R., Institut, P. S., &amp; Tuchschmid, M. (2007). Transport Services. Swiss Centre for Life Cycle Inventories, ecoinvent report No. 14.</t>
        </is>
      </c>
    </row>
    <row r="83">
      <c r="A83" t="inlineStr">
        <is>
          <t>Particulate Matter, &gt; 10 um</t>
        </is>
      </c>
      <c r="B83" t="n">
        <v>1.81478023590326e-05</v>
      </c>
      <c r="D83" t="inlineStr">
        <is>
          <t>kilogram</t>
        </is>
      </c>
      <c r="E83" t="inlineStr">
        <is>
          <t>air</t>
        </is>
      </c>
      <c r="F83" t="inlineStr">
        <is>
          <t>biosphere</t>
        </is>
      </c>
      <c r="H83" t="inlineStr">
        <is>
          <t>4.59E-05 kg/kg fuel for diesel locomotives, according to Spielmann et al. (2007), plus
1.77E-05 kg/tkm, emission of particulates due to abrasion from rail tracks, wheels,and brakes Spielmann et al. (2007)
Spielmann, M., Bauer, C., Dones, R., Institut, P. S., &amp; Tuchschmid, M. (2007). Transport Services. Swiss Centre for Life Cycle Inventories, ecoinvent report No. 14.</t>
        </is>
      </c>
    </row>
    <row r="84">
      <c r="A84" t="inlineStr">
        <is>
          <t>Particulate Matter, &gt; 2.5 um and &lt; 10um</t>
        </is>
      </c>
      <c r="B84" t="n">
        <v>1.717276598208538e-05</v>
      </c>
      <c r="D84" t="inlineStr">
        <is>
          <t>kilogram</t>
        </is>
      </c>
      <c r="E84" t="inlineStr">
        <is>
          <t>air</t>
        </is>
      </c>
      <c r="F84" t="inlineStr">
        <is>
          <t>biosphere</t>
        </is>
      </c>
      <c r="H84" t="inlineStr">
        <is>
          <t>1.07E-04 kg/kg fuel for diesel locomotives, according to Spielmann et al. (2007), plus
1.63E-05 kg/tkm, emission of particulates due to abrasion from rail tracks, wheels,and brakes Spielmann et al. (2007)
Spielmann, M., Bauer, C., Dones, R., Institut, P. S., &amp; Tuchschmid, M. (2007). Transport Services. Swiss Centre for Life Cycle Inventories, ecoinvent report No. 14.</t>
        </is>
      </c>
    </row>
    <row r="85">
      <c r="A85" t="inlineStr">
        <is>
          <t>Selenium IV</t>
        </is>
      </c>
      <c r="B85" t="n">
        <v>8.156691421358726e-11</v>
      </c>
      <c r="D85" t="inlineStr">
        <is>
          <t>kilogram</t>
        </is>
      </c>
      <c r="E85" t="inlineStr">
        <is>
          <t>air</t>
        </is>
      </c>
      <c r="F85" t="inlineStr">
        <is>
          <t>biosphere</t>
        </is>
      </c>
      <c r="H85" t="inlineStr">
        <is>
          <t>1.0E-08 kg/kg fuel for diesel locomotives, according to Spielmann et al. (2007)
Spielmann, M., Bauer, C., Dones, R., Institut, P. S., &amp; Tuchschmid, M. (2007). Transport Services. Swiss Centre for Life Cycle Inventories, ecoinvent report No. 14.</t>
        </is>
      </c>
    </row>
    <row r="86">
      <c r="A86" t="inlineStr">
        <is>
          <t>Sulfur dioxide</t>
        </is>
      </c>
      <c r="B86" t="n">
        <v>4.894014852815235e-06</v>
      </c>
      <c r="D86" t="inlineStr">
        <is>
          <t>kilogram</t>
        </is>
      </c>
      <c r="E86" t="inlineStr">
        <is>
          <t>air</t>
        </is>
      </c>
      <c r="F86" t="inlineStr">
        <is>
          <t>biosphere</t>
        </is>
      </c>
      <c r="H86" t="inlineStr">
        <is>
          <t>6.0E-04 kg/kg fuel for diesel locomotives, according to Spielmann et al. (2007)
Spielmann, M., Bauer, C., Dones, R., Institut, P. S., &amp; Tuchschmid, M. (2007). Transport Services. Swiss Centre for Life Cycle Inventories, ecoinvent report No. 14.</t>
        </is>
      </c>
    </row>
    <row r="87">
      <c r="A87" t="inlineStr">
        <is>
          <t>Toluene</t>
        </is>
      </c>
      <c r="B87" t="n">
        <v>3.262676568543491e-07</v>
      </c>
      <c r="D87" t="inlineStr">
        <is>
          <t>kilogram</t>
        </is>
      </c>
      <c r="E87" t="inlineStr">
        <is>
          <t>air</t>
        </is>
      </c>
      <c r="F87" t="inlineStr">
        <is>
          <t>biosphere</t>
        </is>
      </c>
      <c r="H87" t="inlineStr">
        <is>
          <t>4.0E-05 kg/kg fuel for diesel locomotives, according to Spielmann et al. (2007)
Spielmann, M., Bauer, C., Dones, R., Institut, P. S., &amp; Tuchschmid, M. (2007). Transport Services. Swiss Centre for Life Cycle Inventories, ecoinvent report No. 14.</t>
        </is>
      </c>
    </row>
    <row r="88">
      <c r="A88" t="inlineStr">
        <is>
          <t>Xylene</t>
        </is>
      </c>
      <c r="B88" t="n">
        <v>3.262676568543491e-07</v>
      </c>
      <c r="D88" t="inlineStr">
        <is>
          <t>kilogram</t>
        </is>
      </c>
      <c r="E88" t="inlineStr">
        <is>
          <t>air</t>
        </is>
      </c>
      <c r="F88" t="inlineStr">
        <is>
          <t>biosphere</t>
        </is>
      </c>
      <c r="H88" t="inlineStr">
        <is>
          <t>4.0E-05 kg/kg fuel for diesel locomotives, according to Spielmann et al. (2007)
Spielmann, M., Bauer, C., Dones, R., Institut, P. S., &amp; Tuchschmid, M. (2007). Transport Services. Swiss Centre for Life Cycle Inventories, ecoinvent report No. 14.</t>
        </is>
      </c>
    </row>
    <row r="89">
      <c r="A89" t="inlineStr">
        <is>
          <t>Zinc II</t>
        </is>
      </c>
      <c r="B89" t="n">
        <v>8.156691421358726e-09</v>
      </c>
      <c r="D89" t="inlineStr">
        <is>
          <t>kilogram</t>
        </is>
      </c>
      <c r="E89" t="inlineStr">
        <is>
          <t>air</t>
        </is>
      </c>
      <c r="F89" t="inlineStr">
        <is>
          <t>biosphere</t>
        </is>
      </c>
      <c r="H89" t="inlineStr">
        <is>
          <t>1.0E-06 kg/kg fuel for diesel locomotives, according to Spielmann et al. (2007)
Spielmann, M., Bauer, C., Dones, R., Institut, P. S., &amp; Tuchschmid, M. (2007). Transport Services. Swiss Centre for Life Cycle Inventories, ecoinvent report No. 14.</t>
        </is>
      </c>
    </row>
    <row r="90">
      <c r="A90" t="inlineStr">
        <is>
          <t>transport, freight train, diesel-electric</t>
        </is>
      </c>
      <c r="B90" t="n">
        <v>1</v>
      </c>
      <c r="C90" t="inlineStr">
        <is>
          <t>Europe without Switzerland</t>
        </is>
      </c>
      <c r="D90" t="inlineStr">
        <is>
          <t>ton kilometer</t>
        </is>
      </c>
      <c r="F90" t="inlineStr">
        <is>
          <t>production</t>
        </is>
      </c>
      <c r="G90" t="inlineStr">
        <is>
          <t>transport, freight train</t>
        </is>
      </c>
    </row>
    <row r="91"/>
    <row r="92">
      <c r="A92" s="2" t="inlineStr">
        <is>
          <t>Activity</t>
        </is>
      </c>
      <c r="B92" s="2" t="inlineStr">
        <is>
          <t>transport, freight train, electric</t>
        </is>
      </c>
    </row>
    <row r="93">
      <c r="A93" t="inlineStr">
        <is>
          <t>location</t>
        </is>
      </c>
      <c r="B93" t="inlineStr">
        <is>
          <t>Europe without Switzerland</t>
        </is>
      </c>
    </row>
    <row r="94">
      <c r="A94" t="inlineStr">
        <is>
          <t>production amount</t>
        </is>
      </c>
      <c r="B94" t="n">
        <v>1</v>
      </c>
    </row>
    <row r="95">
      <c r="A95" t="inlineStr">
        <is>
          <t>reference product</t>
        </is>
      </c>
      <c r="B95" t="inlineStr">
        <is>
          <t>transport, freight train</t>
        </is>
      </c>
    </row>
    <row r="96">
      <c r="A96" t="inlineStr">
        <is>
          <t>type</t>
        </is>
      </c>
      <c r="B96" t="inlineStr">
        <is>
          <t>process</t>
        </is>
      </c>
    </row>
    <row r="97">
      <c r="A97" t="inlineStr">
        <is>
          <t>unit</t>
        </is>
      </c>
      <c r="B97" t="inlineStr">
        <is>
          <t>ton kilometer</t>
        </is>
      </c>
    </row>
    <row r="98">
      <c r="A98" t="inlineStr">
        <is>
          <t>Exchanges</t>
        </is>
      </c>
    </row>
    <row r="99">
      <c r="A99" s="2" t="inlineStr">
        <is>
          <t>name</t>
        </is>
      </c>
      <c r="B99" s="2" t="inlineStr">
        <is>
          <t>amount</t>
        </is>
      </c>
      <c r="C99" s="2" t="inlineStr">
        <is>
          <t>location</t>
        </is>
      </c>
      <c r="D99" s="2" t="inlineStr">
        <is>
          <t>unit</t>
        </is>
      </c>
      <c r="E99" s="2" t="inlineStr">
        <is>
          <t>categories</t>
        </is>
      </c>
      <c r="F99" s="2" t="inlineStr">
        <is>
          <t>type</t>
        </is>
      </c>
      <c r="G99" s="2" t="inlineStr">
        <is>
          <t>reference product</t>
        </is>
      </c>
      <c r="H99" s="2" t="inlineStr">
        <is>
          <t>comment</t>
        </is>
      </c>
    </row>
    <row r="100">
      <c r="A100" t="inlineStr">
        <is>
          <t>market for diesel</t>
        </is>
      </c>
      <c r="B100" t="n">
        <v>0.000677</v>
      </c>
      <c r="C100" t="inlineStr">
        <is>
          <t>Europe without Switzerland</t>
        </is>
      </c>
      <c r="D100" t="inlineStr">
        <is>
          <t>kilogram</t>
        </is>
      </c>
      <c r="F100" t="inlineStr">
        <is>
          <t>technosphere</t>
        </is>
      </c>
      <c r="G100" t="inlineStr">
        <is>
          <t>diesel</t>
        </is>
      </c>
      <c r="H100" t="inlineStr">
        <is>
          <t>The energy consumption for shunting processes is added. The shunting process is assumed to be done by diesel shunting locomotives exclusivley. The specific diesel consumption for the shunting is taken from the regional ecoinvent datasets "transport, freight train, electric".</t>
        </is>
      </c>
    </row>
    <row r="101">
      <c r="A101" t="inlineStr">
        <is>
          <t>market group for electricity, high voltage</t>
        </is>
      </c>
      <c r="B101" t="n">
        <v>0.05897541823160834</v>
      </c>
      <c r="C101" t="inlineStr">
        <is>
          <t>Europe without Switzerland</t>
        </is>
      </c>
      <c r="D101" t="inlineStr">
        <is>
          <t>kilowatt hour</t>
        </is>
      </c>
      <c r="F101" t="inlineStr">
        <is>
          <t>technosphere</t>
        </is>
      </c>
      <c r="G101" t="inlineStr">
        <is>
          <t>electricity, high voltage</t>
        </is>
      </c>
      <c r="H101"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t>
        </is>
      </c>
    </row>
    <row r="102">
      <c r="A102" t="inlineStr">
        <is>
          <t>production of locomotive, electric catenary</t>
        </is>
      </c>
      <c r="B102" t="n">
        <v>7.11e-10</v>
      </c>
      <c r="C102" t="inlineStr">
        <is>
          <t>GLO</t>
        </is>
      </c>
      <c r="D102" t="inlineStr">
        <is>
          <t>unit</t>
        </is>
      </c>
      <c r="F102" t="inlineStr">
        <is>
          <t>technosphere</t>
        </is>
      </c>
      <c r="G102" t="inlineStr">
        <is>
          <t>locomotive electric, catenary</t>
        </is>
      </c>
    </row>
    <row r="103">
      <c r="A103" t="inlineStr">
        <is>
          <t>maintenance, locomotive</t>
        </is>
      </c>
      <c r="B103" t="n">
        <v>7.11e-10</v>
      </c>
      <c r="C103" t="inlineStr">
        <is>
          <t>RER</t>
        </is>
      </c>
      <c r="D103" t="inlineStr">
        <is>
          <t>unit</t>
        </is>
      </c>
      <c r="F103" t="inlineStr">
        <is>
          <t>technosphere</t>
        </is>
      </c>
      <c r="G103" t="inlineStr">
        <is>
          <t>maintenance, locomotive</t>
        </is>
      </c>
      <c r="H103" t="inlineStr">
        <is>
          <t>taken from ecoinvent, "transport, freight train, diesel</t>
        </is>
      </c>
    </row>
    <row r="104">
      <c r="A104" t="inlineStr">
        <is>
          <t>market for goods wagon</t>
        </is>
      </c>
      <c r="B104" t="n">
        <v>4.59e-08</v>
      </c>
      <c r="C104" t="inlineStr">
        <is>
          <t>GLO</t>
        </is>
      </c>
      <c r="D104" t="inlineStr">
        <is>
          <t>unit</t>
        </is>
      </c>
      <c r="F104" t="inlineStr">
        <is>
          <t>technosphere</t>
        </is>
      </c>
      <c r="G104" t="inlineStr">
        <is>
          <t>goods wagon</t>
        </is>
      </c>
      <c r="H104" t="inlineStr">
        <is>
          <t>taken from ecoinvent, "transport, freight train, diesel</t>
        </is>
      </c>
    </row>
    <row r="105">
      <c r="A105" t="inlineStr">
        <is>
          <t>maintenance, goods wagon</t>
        </is>
      </c>
      <c r="B105" t="n">
        <v>4.59e-08</v>
      </c>
      <c r="C105" t="inlineStr">
        <is>
          <t>RER</t>
        </is>
      </c>
      <c r="D105" t="inlineStr">
        <is>
          <t>unit</t>
        </is>
      </c>
      <c r="F105" t="inlineStr">
        <is>
          <t>technosphere</t>
        </is>
      </c>
      <c r="G105" t="inlineStr">
        <is>
          <t>maintenance, goods wagon</t>
        </is>
      </c>
      <c r="H105" t="inlineStr">
        <is>
          <t>taken from ecoinvent, "transport, freight train, diesel</t>
        </is>
      </c>
    </row>
    <row r="106">
      <c r="A106" t="inlineStr">
        <is>
          <t>market for railway track</t>
        </is>
      </c>
      <c r="B106" t="n">
        <v>9.3e-05</v>
      </c>
      <c r="C106" t="inlineStr">
        <is>
          <t>GLO</t>
        </is>
      </c>
      <c r="D106" t="inlineStr">
        <is>
          <t>meter-year</t>
        </is>
      </c>
      <c r="F106" t="inlineStr">
        <is>
          <t>technosphere</t>
        </is>
      </c>
      <c r="G106" t="inlineStr">
        <is>
          <t>railway track</t>
        </is>
      </c>
      <c r="H106" t="inlineStr">
        <is>
          <t>taken from ecoinvent, "transport, freight train, diesel</t>
        </is>
      </c>
    </row>
    <row r="107">
      <c r="A107" t="inlineStr">
        <is>
          <t>Ammonia</t>
        </is>
      </c>
      <c r="B107" t="n">
        <v>1.354e-08</v>
      </c>
      <c r="D107" t="inlineStr">
        <is>
          <t>kilogram</t>
        </is>
      </c>
      <c r="E107" t="inlineStr">
        <is>
          <t>air</t>
        </is>
      </c>
      <c r="F107" t="inlineStr">
        <is>
          <t>biosphere</t>
        </is>
      </c>
      <c r="H107" t="inlineStr">
        <is>
          <t>2.0E-05 kg/kg fuel for diesel locomotives, according to Spielmann et al. (2007)
Spielmann, M., Bauer, C., Dones, R., Institut, P. S., &amp; Tuchschmid, M. (2007). Transport Services. Swiss Centre for Life Cycle Inventories, ecoinvent report No. 14.</t>
        </is>
      </c>
    </row>
    <row r="108">
      <c r="A108" t="inlineStr">
        <is>
          <t>Benzene</t>
        </is>
      </c>
      <c r="B108" t="n">
        <v>6.77e-08</v>
      </c>
      <c r="D108" t="inlineStr">
        <is>
          <t>kilogram</t>
        </is>
      </c>
      <c r="E108" t="inlineStr">
        <is>
          <t>air</t>
        </is>
      </c>
      <c r="F108" t="inlineStr">
        <is>
          <t>biosphere</t>
        </is>
      </c>
      <c r="H108" t="inlineStr">
        <is>
          <t>1.0E-04 kg/kg fuel for diesel locomotives, according to Spielmann et al. (2007)
Spielmann, M., Bauer, C., Dones, R., Institut, P. S., &amp; Tuchschmid, M. (2007). Transport Services. Swiss Centre for Life Cycle Inventories, ecoinvent report No. 14.</t>
        </is>
      </c>
    </row>
    <row r="109">
      <c r="A109" t="inlineStr">
        <is>
          <t>Cadmium II</t>
        </is>
      </c>
      <c r="B109" t="n">
        <v>6.77e-12</v>
      </c>
      <c r="D109" t="inlineStr">
        <is>
          <t>kilogram</t>
        </is>
      </c>
      <c r="E109" t="inlineStr">
        <is>
          <t>air</t>
        </is>
      </c>
      <c r="F109" t="inlineStr">
        <is>
          <t>biosphere</t>
        </is>
      </c>
      <c r="H109" t="inlineStr">
        <is>
          <t>1.0E-08 kg/kg fuel for diesel locomotives, according to Spielmann et al. (2007)
Spielmann, M., Bauer, C., Dones, R., Institut, P. S., &amp; Tuchschmid, M. (2007). Transport Services. Swiss Centre for Life Cycle Inventories, ecoinvent report No. 14.</t>
        </is>
      </c>
    </row>
    <row r="110">
      <c r="A110" t="inlineStr">
        <is>
          <t>Carbon dioxide, fossil</t>
        </is>
      </c>
      <c r="B110" t="n">
        <v>0.002129842</v>
      </c>
      <c r="D110" t="inlineStr">
        <is>
          <t>kilogram</t>
        </is>
      </c>
      <c r="E110" t="inlineStr">
        <is>
          <t>air</t>
        </is>
      </c>
      <c r="F110" t="inlineStr">
        <is>
          <t>biosphere</t>
        </is>
      </c>
      <c r="H110" t="inlineStr">
        <is>
          <t>3.146 kg/kg fuel for diesel locomotives, according to Spielmann et al. (2007)
Spielmann, M., Bauer, C., Dones, R., Institut, P. S., &amp; Tuchschmid, M. (2007). Transport Services. Swiss Centre for Life Cycle Inventories, ecoinvent report No. 14.</t>
        </is>
      </c>
    </row>
    <row r="111">
      <c r="A111" t="inlineStr">
        <is>
          <t>Carbon monoxide, fossil</t>
        </is>
      </c>
      <c r="B111" t="n">
        <v>1.06966e-05</v>
      </c>
      <c r="D111" t="inlineStr">
        <is>
          <t>kilogram</t>
        </is>
      </c>
      <c r="E111" t="inlineStr">
        <is>
          <t>air</t>
        </is>
      </c>
      <c r="F111" t="inlineStr">
        <is>
          <t>biosphere</t>
        </is>
      </c>
      <c r="H111" t="inlineStr">
        <is>
          <t>1.58E-02 kg/kg fuel for diesel locomotives, according to Spielmann et al. (2007)
Spielmann, M., Bauer, C., Dones, R., Institut, P. S., &amp; Tuchschmid, M. (2007). Transport Services. Swiss Centre for Life Cycle Inventories, ecoinvent report No. 14.</t>
        </is>
      </c>
    </row>
    <row r="112">
      <c r="A112" t="inlineStr">
        <is>
          <t>Chromium III</t>
        </is>
      </c>
      <c r="B112" t="n">
        <v>3.385e-11</v>
      </c>
      <c r="D112" t="inlineStr">
        <is>
          <t>kilogram</t>
        </is>
      </c>
      <c r="E112" t="inlineStr">
        <is>
          <t>air</t>
        </is>
      </c>
      <c r="F112" t="inlineStr">
        <is>
          <t>biosphere</t>
        </is>
      </c>
      <c r="H112" t="inlineStr">
        <is>
          <t>5.0E-08 kg/kg fuel for diesel locomotives, according to Spielmann et al. (2007)
Spielmann, M., Bauer, C., Dones, R., Institut, P. S., &amp; Tuchschmid, M. (2007). Transport Services. Swiss Centre for Life Cycle Inventories, ecoinvent report No. 14.</t>
        </is>
      </c>
    </row>
    <row r="113">
      <c r="A113" t="inlineStr">
        <is>
          <t>Copper ion</t>
        </is>
      </c>
      <c r="B113" t="n">
        <v>1.1509e-09</v>
      </c>
      <c r="D113" t="inlineStr">
        <is>
          <t>kilogram</t>
        </is>
      </c>
      <c r="E113" t="inlineStr">
        <is>
          <t>air</t>
        </is>
      </c>
      <c r="F113" t="inlineStr">
        <is>
          <t>biosphere</t>
        </is>
      </c>
      <c r="H113" t="inlineStr">
        <is>
          <t>1.7E-06 kg/kg fuel for diesel locomotives, according to Spielmann et al. (2007)
Spielmann, M., Bauer, C., Dones, R., Institut, P. S., &amp; Tuchschmid, M. (2007). Transport Services. Swiss Centre for Life Cycle Inventories, ecoinvent report No. 14.</t>
        </is>
      </c>
    </row>
    <row r="114">
      <c r="A114" t="inlineStr">
        <is>
          <t>Dinitrogen monoxide</t>
        </is>
      </c>
      <c r="B114" t="n">
        <v>6.77e-08</v>
      </c>
      <c r="D114" t="inlineStr">
        <is>
          <t>kilogram</t>
        </is>
      </c>
      <c r="E114" t="inlineStr">
        <is>
          <t>air</t>
        </is>
      </c>
      <c r="F114" t="inlineStr">
        <is>
          <t>biosphere</t>
        </is>
      </c>
      <c r="H114" t="inlineStr">
        <is>
          <t>1.0E-04 kg/kg fuel for diesel locomotives, according to Spielmann et al. (2007)
Spielmann, M., Bauer, C., Dones, R., Institut, P. S., &amp; Tuchschmid, M. (2007). Transport Services. Swiss Centre for Life Cycle Inventories, ecoinvent report No. 14.</t>
        </is>
      </c>
    </row>
    <row r="115">
      <c r="A115" t="inlineStr">
        <is>
          <t>Iron ion</t>
        </is>
      </c>
      <c r="B115" t="n">
        <v>1.24e-05</v>
      </c>
      <c r="D115" t="inlineStr">
        <is>
          <t>kilogram</t>
        </is>
      </c>
      <c r="E115" t="inlineStr">
        <is>
          <t>soil</t>
        </is>
      </c>
      <c r="F115" t="inlineStr">
        <is>
          <t>biosphere</t>
        </is>
      </c>
      <c r="H115" t="inlineStr">
        <is>
          <t>1.24E-05 kg/tkm, emission of particulates due to abrasion from rail tracks, wheels,and brakes Spielmann et al. (2007)
Spielmann, M., Bauer, C., Dones, R., Institut, P. S., &amp; Tuchschmid, M. (2007). Transport Services. Swiss Centre for Life Cycle Inventories, ecoinvent report No. 14.</t>
        </is>
      </c>
    </row>
    <row r="116">
      <c r="A116" t="inlineStr">
        <is>
          <t>Lead II</t>
        </is>
      </c>
      <c r="B116" t="n">
        <v>7.447e-14</v>
      </c>
      <c r="D116" t="inlineStr">
        <is>
          <t>kilogram</t>
        </is>
      </c>
      <c r="E116" t="inlineStr">
        <is>
          <t>air</t>
        </is>
      </c>
      <c r="F116" t="inlineStr">
        <is>
          <t>biosphere</t>
        </is>
      </c>
      <c r="H116" t="inlineStr">
        <is>
          <t>1.1E-10 kg/kg fuel for diesel locomotives, according to Spielmann et al. (2007)
Spielmann, M., Bauer, C., Dones, R., Institut, P. S., &amp; Tuchschmid, M. (2007). Transport Services. Swiss Centre for Life Cycle Inventories, ecoinvent report No. 14.</t>
        </is>
      </c>
    </row>
    <row r="117">
      <c r="A117" t="inlineStr">
        <is>
          <t>Mercury II</t>
        </is>
      </c>
      <c r="B117" t="n">
        <v>1.354e-14</v>
      </c>
      <c r="D117" t="inlineStr">
        <is>
          <t>kilogram</t>
        </is>
      </c>
      <c r="E117" t="inlineStr">
        <is>
          <t>air</t>
        </is>
      </c>
      <c r="F117" t="inlineStr">
        <is>
          <t>biosphere</t>
        </is>
      </c>
      <c r="H117" t="inlineStr">
        <is>
          <t>2.0E-11 kg/kg fuel for diesel locomotives, according to Spielmann et al. (2007)
Spielmann, M., Bauer, C., Dones, R., Institut, P. S., &amp; Tuchschmid, M. (2007). Transport Services. Swiss Centre for Life Cycle Inventories, ecoinvent report No. 14.</t>
        </is>
      </c>
    </row>
    <row r="118">
      <c r="A118" t="inlineStr">
        <is>
          <t>Methane, fossil</t>
        </is>
      </c>
      <c r="B118" t="n">
        <v>8.800999999999999e-08</v>
      </c>
      <c r="D118" t="inlineStr">
        <is>
          <t>kilogram</t>
        </is>
      </c>
      <c r="E118" t="inlineStr">
        <is>
          <t>air</t>
        </is>
      </c>
      <c r="F118" t="inlineStr">
        <is>
          <t>biosphere</t>
        </is>
      </c>
      <c r="H118" t="inlineStr">
        <is>
          <t>1.3E-04 kg/kg fuel for diesel locomotives, according to Spielmann et al. (2007)
Spielmann, M., Bauer, C., Dones, R., Institut, P. S., &amp; Tuchschmid, M. (2007). Transport Services. Swiss Centre for Life Cycle Inventories, ecoinvent report No. 14.</t>
        </is>
      </c>
    </row>
    <row r="119">
      <c r="A119" t="inlineStr">
        <is>
          <t>NMVOC, non-methane volatile organic compounds</t>
        </is>
      </c>
      <c r="B119" t="n">
        <v>3.55425e-06</v>
      </c>
      <c r="D119" t="inlineStr">
        <is>
          <t>kilogram</t>
        </is>
      </c>
      <c r="E119" t="inlineStr">
        <is>
          <t>air</t>
        </is>
      </c>
      <c r="F119" t="inlineStr">
        <is>
          <t>biosphere</t>
        </is>
      </c>
      <c r="H119" t="inlineStr">
        <is>
          <t>5.25E-03 kg/kg fuel for diesel locomotives, according to Spielmann et al. (2007)
Spielmann, M., Bauer, C., Dones, R., Institut, P. S., &amp; Tuchschmid, M. (2007). Transport Services. Swiss Centre for Life Cycle Inventories, ecoinvent report No. 14.</t>
        </is>
      </c>
    </row>
    <row r="120">
      <c r="A120" t="inlineStr">
        <is>
          <t>Nickel II</t>
        </is>
      </c>
      <c r="B120" t="n">
        <v>4.739e-11</v>
      </c>
      <c r="D120" t="inlineStr">
        <is>
          <t>kilogram</t>
        </is>
      </c>
      <c r="E120" t="inlineStr">
        <is>
          <t>air</t>
        </is>
      </c>
      <c r="F120" t="inlineStr">
        <is>
          <t>biosphere</t>
        </is>
      </c>
      <c r="H120" t="inlineStr">
        <is>
          <t>7.0E-08 kg/kg fuel for diesel locomotives, according to Spielmann et al. (2007)
Spielmann, M., Bauer, C., Dones, R., Institut, P. S., &amp; Tuchschmid, M. (2007). Transport Services. Swiss Centre for Life Cycle Inventories, ecoinvent report No. 14.</t>
        </is>
      </c>
    </row>
    <row r="121">
      <c r="A121" t="inlineStr">
        <is>
          <t>Nitrogen oxides</t>
        </is>
      </c>
      <c r="B121" t="n">
        <v>3.7235e-05</v>
      </c>
      <c r="D121" t="inlineStr">
        <is>
          <t>kilogram</t>
        </is>
      </c>
      <c r="E121" t="inlineStr">
        <is>
          <t>air</t>
        </is>
      </c>
      <c r="F121" t="inlineStr">
        <is>
          <t>biosphere</t>
        </is>
      </c>
      <c r="H121" t="inlineStr">
        <is>
          <t>5.5E-02 kg/kg fuel for diesel locomotives, according to Spielmann et al. (2007)
Spielmann, M., Bauer, C., Dones, R., Institut, P. S., &amp; Tuchschmid, M. (2007). Transport Services. Swiss Centre for Life Cycle Inventories, ecoinvent report No. 14.</t>
        </is>
      </c>
    </row>
    <row r="122">
      <c r="A122" t="inlineStr">
        <is>
          <t>Particulate Matter, &lt; 2.5 um</t>
        </is>
      </c>
      <c r="B122" t="n">
        <v>8.327099999999999e-07</v>
      </c>
      <c r="D122" t="inlineStr">
        <is>
          <t>kilogram</t>
        </is>
      </c>
      <c r="E122" t="inlineStr">
        <is>
          <t>air</t>
        </is>
      </c>
      <c r="F122" t="inlineStr">
        <is>
          <t>biosphere</t>
        </is>
      </c>
      <c r="H122" t="inlineStr">
        <is>
          <t>1.28E-03 kg/kg fuel for diesel locomotives, according to Spielmann et al. (2007)
Spielmann, M., Bauer, C., Dones, R., Institut, P. S., &amp; Tuchschmid, M. (2007). Transport Services. Swiss Centre for Life Cycle Inventories, ecoinvent report No. 14.</t>
        </is>
      </c>
    </row>
    <row r="123">
      <c r="A123" t="inlineStr">
        <is>
          <t>Particulate Matter, &gt; 10 um</t>
        </is>
      </c>
      <c r="B123" t="n">
        <v>1.77371673e-05</v>
      </c>
      <c r="D123" t="inlineStr">
        <is>
          <t>kilogram</t>
        </is>
      </c>
      <c r="E123" t="inlineStr">
        <is>
          <t>air</t>
        </is>
      </c>
      <c r="F123" t="inlineStr">
        <is>
          <t>biosphere</t>
        </is>
      </c>
      <c r="H123" t="inlineStr">
        <is>
          <t>4.59E-05 kg/kg fuel for diesel locomotives, according to Spielmann et al. (2007), plus
1.77E-05 kg/tkm, emission of particulates due to abrasion from rail tracks, wheels,and brakes Spielmann et al. (2007)
Spielmann, M., Bauer, C., Dones, R., Institut, P. S., &amp; Tuchschmid, M. (2007). Transport Services. Swiss Centre for Life Cycle Inventories, ecoinvent report No. 14.</t>
        </is>
      </c>
    </row>
    <row r="124">
      <c r="A124" t="inlineStr">
        <is>
          <t>Particulate Matter, &gt; 2.5 um and &lt; 10um</t>
        </is>
      </c>
      <c r="B124" t="n">
        <v>1.6372439e-05</v>
      </c>
      <c r="D124" t="inlineStr">
        <is>
          <t>kilogram</t>
        </is>
      </c>
      <c r="E124" t="inlineStr">
        <is>
          <t>air</t>
        </is>
      </c>
      <c r="F124" t="inlineStr">
        <is>
          <t>biosphere</t>
        </is>
      </c>
      <c r="H124" t="inlineStr">
        <is>
          <t>1.07E-04 kg/kg fuel for diesel locomotives, according to Spielmann et al. (2007), plus
1.63E-05 kg/tkm, emission of particulates due to abrasion from rail tracks, wheels,and brakes Spielmann et al. (2007)
Spielmann, M., Bauer, C., Dones, R., Institut, P. S., &amp; Tuchschmid, M. (2007). Transport Services. Swiss Centre for Life Cycle Inventories, ecoinvent report No. 14.</t>
        </is>
      </c>
    </row>
    <row r="125">
      <c r="A125" t="inlineStr">
        <is>
          <t>Selenium IV</t>
        </is>
      </c>
      <c r="B125" t="n">
        <v>6.77e-12</v>
      </c>
      <c r="D125" t="inlineStr">
        <is>
          <t>kilogram</t>
        </is>
      </c>
      <c r="E125" t="inlineStr">
        <is>
          <t>air</t>
        </is>
      </c>
      <c r="F125" t="inlineStr">
        <is>
          <t>biosphere</t>
        </is>
      </c>
      <c r="H125" t="inlineStr">
        <is>
          <t>1.0E-08 kg/kg fuel for diesel locomotives, according to Spielmann et al. (2007)
Spielmann, M., Bauer, C., Dones, R., Institut, P. S., &amp; Tuchschmid, M. (2007). Transport Services. Swiss Centre for Life Cycle Inventories, ecoinvent report No. 14.</t>
        </is>
      </c>
    </row>
    <row r="126">
      <c r="A126" t="inlineStr">
        <is>
          <t>Sulfur dioxide</t>
        </is>
      </c>
      <c r="B126" t="n">
        <v>4.062e-07</v>
      </c>
      <c r="D126" t="inlineStr">
        <is>
          <t>kilogram</t>
        </is>
      </c>
      <c r="E126" t="inlineStr">
        <is>
          <t>air</t>
        </is>
      </c>
      <c r="F126" t="inlineStr">
        <is>
          <t>biosphere</t>
        </is>
      </c>
      <c r="H126" t="inlineStr">
        <is>
          <t>6.0E-04 kg/kg fuel for diesel locomotives, according to Spielmann et al. (2007)
Spielmann, M., Bauer, C., Dones, R., Institut, P. S., &amp; Tuchschmid, M. (2007). Transport Services. Swiss Centre for Life Cycle Inventories, ecoinvent report No. 14.</t>
        </is>
      </c>
    </row>
    <row r="127">
      <c r="A127" t="inlineStr">
        <is>
          <t>Sulfur hexafluoride</t>
        </is>
      </c>
      <c r="B127" t="n">
        <v>3.14e-09</v>
      </c>
      <c r="D127" t="inlineStr">
        <is>
          <t>kilogram</t>
        </is>
      </c>
      <c r="E127" t="inlineStr">
        <is>
          <t>air</t>
        </is>
      </c>
      <c r="F127" t="inlineStr">
        <is>
          <t>biosphere</t>
        </is>
      </c>
      <c r="H127" t="inlineStr">
        <is>
          <t>3.14E-09 kg/tkm, emission of particulates due to abrasion from rail tracks, wheels,and brakes Spielmann et al. (2007)
Spielmann, M., Bauer, C., Dones, R., Institut, P. S., &amp; Tuchschmid, M. (2007). Transport Services. Swiss Centre for Life Cycle Inventories, ecoinvent report No. 14.</t>
        </is>
      </c>
    </row>
    <row r="128">
      <c r="A128" t="inlineStr">
        <is>
          <t>Toluene</t>
        </is>
      </c>
      <c r="B128" t="n">
        <v>2.708e-08</v>
      </c>
      <c r="D128" t="inlineStr">
        <is>
          <t>kilogram</t>
        </is>
      </c>
      <c r="E128" t="inlineStr">
        <is>
          <t>air</t>
        </is>
      </c>
      <c r="F128" t="inlineStr">
        <is>
          <t>biosphere</t>
        </is>
      </c>
      <c r="H128" t="inlineStr">
        <is>
          <t>4.0E-05 kg/kg fuel for diesel locomotives, according to Spielmann et al. (2007)
Spielmann, M., Bauer, C., Dones, R., Institut, P. S., &amp; Tuchschmid, M. (2007). Transport Services. Swiss Centre for Life Cycle Inventories, ecoinvent report No. 14.</t>
        </is>
      </c>
    </row>
    <row r="129">
      <c r="A129" t="inlineStr">
        <is>
          <t>Xylene</t>
        </is>
      </c>
      <c r="B129" t="n">
        <v>2.708e-08</v>
      </c>
      <c r="D129" t="inlineStr">
        <is>
          <t>kilogram</t>
        </is>
      </c>
      <c r="E129" t="inlineStr">
        <is>
          <t>air</t>
        </is>
      </c>
      <c r="F129" t="inlineStr">
        <is>
          <t>biosphere</t>
        </is>
      </c>
      <c r="H129" t="inlineStr">
        <is>
          <t>4.0E-05 kg/kg fuel for diesel locomotives, according to Spielmann et al. (2007)
Spielmann, M., Bauer, C., Dones, R., Institut, P. S., &amp; Tuchschmid, M. (2007). Transport Services. Swiss Centre for Life Cycle Inventories, ecoinvent report No. 14.</t>
        </is>
      </c>
    </row>
    <row r="130">
      <c r="A130" t="inlineStr">
        <is>
          <t>Zinc II</t>
        </is>
      </c>
      <c r="B130" t="n">
        <v>6.769999999999999e-10</v>
      </c>
      <c r="D130" t="inlineStr">
        <is>
          <t>kilogram</t>
        </is>
      </c>
      <c r="E130" t="inlineStr">
        <is>
          <t>air</t>
        </is>
      </c>
      <c r="F130" t="inlineStr">
        <is>
          <t>biosphere</t>
        </is>
      </c>
      <c r="H130" t="inlineStr">
        <is>
          <t>1.0E-06 kg/kg fuel for diesel locomotives, according to Spielmann et al. (2007)
Spielmann, M., Bauer, C., Dones, R., Institut, P. S., &amp; Tuchschmid, M. (2007). Transport Services. Swiss Centre for Life Cycle Inventories, ecoinvent report No. 14.</t>
        </is>
      </c>
    </row>
    <row r="131">
      <c r="A131" t="inlineStr">
        <is>
          <t>transport, freight train, electric</t>
        </is>
      </c>
      <c r="B131" t="n">
        <v>1</v>
      </c>
      <c r="C131" t="inlineStr">
        <is>
          <t>Europe without Switzerland</t>
        </is>
      </c>
      <c r="D131" t="inlineStr">
        <is>
          <t>ton kilometer</t>
        </is>
      </c>
      <c r="F131" t="inlineStr">
        <is>
          <t>production</t>
        </is>
      </c>
      <c r="G131" t="inlineStr">
        <is>
          <t>transport, freight train</t>
        </is>
      </c>
    </row>
    <row r="132"/>
    <row r="133">
      <c r="A133" s="2" t="inlineStr">
        <is>
          <t>Activity</t>
        </is>
      </c>
      <c r="B133" s="2" t="inlineStr">
        <is>
          <t>transport, freight train, fuel cell, hydrogen</t>
        </is>
      </c>
    </row>
    <row r="134">
      <c r="A134" t="inlineStr">
        <is>
          <t>location</t>
        </is>
      </c>
      <c r="B134" t="inlineStr">
        <is>
          <t>Europe without Switzerland</t>
        </is>
      </c>
    </row>
    <row r="135">
      <c r="A135" t="inlineStr">
        <is>
          <t>production amount</t>
        </is>
      </c>
      <c r="B135" t="n">
        <v>1</v>
      </c>
    </row>
    <row r="136">
      <c r="A136" t="inlineStr">
        <is>
          <t>reference product</t>
        </is>
      </c>
      <c r="B136" t="inlineStr">
        <is>
          <t>transport, freight train</t>
        </is>
      </c>
    </row>
    <row r="137">
      <c r="A137" t="inlineStr">
        <is>
          <t>type</t>
        </is>
      </c>
      <c r="B137" t="inlineStr">
        <is>
          <t>process</t>
        </is>
      </c>
    </row>
    <row r="138">
      <c r="A138" t="inlineStr">
        <is>
          <t>unit</t>
        </is>
      </c>
      <c r="B138" t="inlineStr">
        <is>
          <t>ton kilometer</t>
        </is>
      </c>
    </row>
    <row r="139">
      <c r="A139" t="inlineStr">
        <is>
          <t>Exchanges</t>
        </is>
      </c>
    </row>
    <row r="140">
      <c r="A140" s="2" t="inlineStr">
        <is>
          <t>name</t>
        </is>
      </c>
      <c r="B140" s="2" t="inlineStr">
        <is>
          <t>amount</t>
        </is>
      </c>
      <c r="C140" s="2" t="inlineStr">
        <is>
          <t>location</t>
        </is>
      </c>
      <c r="D140" s="2" t="inlineStr">
        <is>
          <t>unit</t>
        </is>
      </c>
      <c r="E140" s="2" t="inlineStr">
        <is>
          <t>categories</t>
        </is>
      </c>
      <c r="F140" s="2" t="inlineStr">
        <is>
          <t>type</t>
        </is>
      </c>
      <c r="G140" s="2" t="inlineStr">
        <is>
          <t>reference product</t>
        </is>
      </c>
      <c r="H140" s="2" t="inlineStr">
        <is>
          <t>comment</t>
        </is>
      </c>
    </row>
    <row r="141">
      <c r="A141" t="inlineStr">
        <is>
          <t>market for diesel</t>
        </is>
      </c>
      <c r="B141" t="n">
        <v>0.000677</v>
      </c>
      <c r="C141" t="inlineStr">
        <is>
          <t>Europe without Switzerland</t>
        </is>
      </c>
      <c r="D141" t="inlineStr">
        <is>
          <t>kilogram</t>
        </is>
      </c>
      <c r="F141" t="inlineStr">
        <is>
          <t>technosphere</t>
        </is>
      </c>
      <c r="G141" t="inlineStr">
        <is>
          <t>diesel</t>
        </is>
      </c>
      <c r="H141" t="inlineStr">
        <is>
          <t>The energy consumption for shunting processes is added. The shunting process is assumed to be done by diesel shunting locomotives exclusivley. The specific diesel consumption for the shunting is taken from the regional ecoinvent datasets "transport, freight train, electric".</t>
        </is>
      </c>
    </row>
    <row r="142">
      <c r="A142" t="inlineStr">
        <is>
          <t>market for hydrogen, gaseous</t>
        </is>
      </c>
      <c r="B142" t="n">
        <v>0.002640700841956715</v>
      </c>
      <c r="C142" t="inlineStr">
        <is>
          <t>GLO</t>
        </is>
      </c>
      <c r="D142" t="inlineStr">
        <is>
          <t>kilogram</t>
        </is>
      </c>
      <c r="F142" t="inlineStr">
        <is>
          <t>technosphere</t>
        </is>
      </c>
      <c r="G142" t="inlineStr">
        <is>
          <t>hydrogen, gaseous</t>
        </is>
      </c>
      <c r="H142"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t>
        </is>
      </c>
    </row>
    <row r="143">
      <c r="A143" t="inlineStr">
        <is>
          <t>production of locomotive, fuel cell, hydrogen</t>
        </is>
      </c>
      <c r="B143" t="n">
        <v>7.11e-10</v>
      </c>
      <c r="C143" t="inlineStr">
        <is>
          <t>GLO</t>
        </is>
      </c>
      <c r="D143" t="inlineStr">
        <is>
          <t>unit</t>
        </is>
      </c>
      <c r="F143" t="inlineStr">
        <is>
          <t>technosphere</t>
        </is>
      </c>
      <c r="G143" t="inlineStr">
        <is>
          <t>locomotive fuel cell, hydrogen</t>
        </is>
      </c>
    </row>
    <row r="144">
      <c r="A144" t="inlineStr">
        <is>
          <t>maintenance, locomotive</t>
        </is>
      </c>
      <c r="B144" t="n">
        <v>7.11e-10</v>
      </c>
      <c r="C144" t="inlineStr">
        <is>
          <t>RER</t>
        </is>
      </c>
      <c r="D144" t="inlineStr">
        <is>
          <t>unit</t>
        </is>
      </c>
      <c r="F144" t="inlineStr">
        <is>
          <t>technosphere</t>
        </is>
      </c>
      <c r="G144" t="inlineStr">
        <is>
          <t>maintenance, locomotive</t>
        </is>
      </c>
      <c r="H144" t="inlineStr">
        <is>
          <t>taken from ecoinvent, "transport, freight train, diesel</t>
        </is>
      </c>
    </row>
    <row r="145">
      <c r="A145" t="inlineStr">
        <is>
          <t>market for goods wagon</t>
        </is>
      </c>
      <c r="B145" t="n">
        <v>4.59e-08</v>
      </c>
      <c r="C145" t="inlineStr">
        <is>
          <t>GLO</t>
        </is>
      </c>
      <c r="D145" t="inlineStr">
        <is>
          <t>unit</t>
        </is>
      </c>
      <c r="F145" t="inlineStr">
        <is>
          <t>technosphere</t>
        </is>
      </c>
      <c r="G145" t="inlineStr">
        <is>
          <t>goods wagon</t>
        </is>
      </c>
      <c r="H145" t="inlineStr">
        <is>
          <t>taken from ecoinvent, "transport, freight train, diesel</t>
        </is>
      </c>
    </row>
    <row r="146">
      <c r="A146" t="inlineStr">
        <is>
          <t>maintenance, goods wagon</t>
        </is>
      </c>
      <c r="B146" t="n">
        <v>4.59e-08</v>
      </c>
      <c r="C146" t="inlineStr">
        <is>
          <t>RER</t>
        </is>
      </c>
      <c r="D146" t="inlineStr">
        <is>
          <t>unit</t>
        </is>
      </c>
      <c r="F146" t="inlineStr">
        <is>
          <t>technosphere</t>
        </is>
      </c>
      <c r="G146" t="inlineStr">
        <is>
          <t>maintenance, goods wagon</t>
        </is>
      </c>
      <c r="H146" t="inlineStr">
        <is>
          <t>taken from ecoinvent, "transport, freight train, diesel</t>
        </is>
      </c>
    </row>
    <row r="147">
      <c r="A147" t="inlineStr">
        <is>
          <t>market for railway track</t>
        </is>
      </c>
      <c r="B147" t="n">
        <v>9.3e-05</v>
      </c>
      <c r="C147" t="inlineStr">
        <is>
          <t>GLO</t>
        </is>
      </c>
      <c r="D147" t="inlineStr">
        <is>
          <t>meter-year</t>
        </is>
      </c>
      <c r="F147" t="inlineStr">
        <is>
          <t>technosphere</t>
        </is>
      </c>
      <c r="G147" t="inlineStr">
        <is>
          <t>railway track</t>
        </is>
      </c>
      <c r="H147" t="inlineStr">
        <is>
          <t>taken from ecoinvent, "transport, freight train, diesel</t>
        </is>
      </c>
    </row>
    <row r="148">
      <c r="A148" t="inlineStr">
        <is>
          <t>transport, freight train, fuel cell, hydrogen</t>
        </is>
      </c>
      <c r="B148" t="n">
        <v>1</v>
      </c>
      <c r="C148" t="inlineStr">
        <is>
          <t>Europe without Switzerland</t>
        </is>
      </c>
      <c r="D148" t="inlineStr">
        <is>
          <t>ton kilometer</t>
        </is>
      </c>
      <c r="F148" t="inlineStr">
        <is>
          <t>production</t>
        </is>
      </c>
      <c r="G148" t="inlineStr">
        <is>
          <t>transport, freight train</t>
        </is>
      </c>
    </row>
    <row r="149">
      <c r="A149" t="inlineStr">
        <is>
          <t>Water</t>
        </is>
      </c>
      <c r="B149">
        <f>9*B142/1000</f>
        <v>2.3766307577610438E-5</v>
      </c>
      <c r="D149" t="inlineStr">
        <is>
          <t>cubic meter</t>
        </is>
      </c>
      <c r="E149" t="inlineStr">
        <is>
          <t>air</t>
        </is>
      </c>
      <c r="F149" t="inlineStr">
        <is>
          <t>biosphere</t>
        </is>
      </c>
      <c r="H149" t="inlineStr">
        <is>
          <t>9kg H2O per kg H2 converted.</t>
        </is>
      </c>
    </row>
    <row r="150"/>
    <row r="151">
      <c r="A151" s="2" t="inlineStr">
        <is>
          <t>Activity</t>
        </is>
      </c>
      <c r="B151" s="2" t="inlineStr">
        <is>
          <t>transport, freight train, diesel-electric</t>
        </is>
      </c>
    </row>
    <row r="152">
      <c r="A152" t="inlineStr">
        <is>
          <t>location</t>
        </is>
      </c>
      <c r="B152" t="inlineStr">
        <is>
          <t>IN</t>
        </is>
      </c>
    </row>
    <row r="153">
      <c r="A153" t="inlineStr">
        <is>
          <t>production amount</t>
        </is>
      </c>
      <c r="B153" t="n">
        <v>1</v>
      </c>
    </row>
    <row r="154">
      <c r="A154" t="inlineStr">
        <is>
          <t>reference product</t>
        </is>
      </c>
      <c r="B154" t="inlineStr">
        <is>
          <t>transport, freight train</t>
        </is>
      </c>
    </row>
    <row r="155">
      <c r="A155" t="inlineStr">
        <is>
          <t>type</t>
        </is>
      </c>
      <c r="B155" t="inlineStr">
        <is>
          <t>process</t>
        </is>
      </c>
    </row>
    <row r="156">
      <c r="A156" t="inlineStr">
        <is>
          <t>unit</t>
        </is>
      </c>
      <c r="B156" t="inlineStr">
        <is>
          <t>ton kilometer</t>
        </is>
      </c>
    </row>
    <row r="157">
      <c r="A157" t="inlineStr">
        <is>
          <t>Exchanges</t>
        </is>
      </c>
    </row>
    <row r="158">
      <c r="A158" s="2" t="inlineStr">
        <is>
          <t>name</t>
        </is>
      </c>
      <c r="B158" s="2" t="inlineStr">
        <is>
          <t>amount</t>
        </is>
      </c>
      <c r="C158" s="2" t="inlineStr">
        <is>
          <t>location</t>
        </is>
      </c>
      <c r="D158" s="2" t="inlineStr">
        <is>
          <t>unit</t>
        </is>
      </c>
      <c r="E158" s="2" t="inlineStr">
        <is>
          <t>categories</t>
        </is>
      </c>
      <c r="F158" s="2" t="inlineStr">
        <is>
          <t>type</t>
        </is>
      </c>
      <c r="G158" s="2" t="inlineStr">
        <is>
          <t>reference product</t>
        </is>
      </c>
      <c r="H158" s="2" t="inlineStr">
        <is>
          <t>comment</t>
        </is>
      </c>
    </row>
    <row r="159">
      <c r="A159" t="inlineStr">
        <is>
          <t>market for diesel</t>
        </is>
      </c>
      <c r="B159" t="n">
        <v>0.006458012590195489</v>
      </c>
      <c r="C159" t="inlineStr">
        <is>
          <t>IN</t>
        </is>
      </c>
      <c r="D159" t="inlineStr">
        <is>
          <t>kilogram</t>
        </is>
      </c>
      <c r="F159" t="inlineStr">
        <is>
          <t>technosphere</t>
        </is>
      </c>
      <c r="G159" t="inlineStr">
        <is>
          <t>diesel</t>
        </is>
      </c>
      <c r="H159"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
Additional the energy consumption for shunting processes is added. The shunting processe is assumed to be done by diesel shunting locomotives exclusivley. The specific diesel consumption for the shunting is taken from the regional ecoinvent datasets "transport, freight train, electric".</t>
        </is>
      </c>
    </row>
    <row r="160">
      <c r="A160" t="inlineStr">
        <is>
          <t>production of locomotive, diesel-electric</t>
        </is>
      </c>
      <c r="B160" t="n">
        <v>3.5159e-10</v>
      </c>
      <c r="C160" t="inlineStr">
        <is>
          <t>GLO</t>
        </is>
      </c>
      <c r="D160" t="inlineStr">
        <is>
          <t>unit</t>
        </is>
      </c>
      <c r="F160" t="inlineStr">
        <is>
          <t>technosphere</t>
        </is>
      </c>
      <c r="G160" t="inlineStr">
        <is>
          <t>locomotive diesel-electric</t>
        </is>
      </c>
      <c r="H160" t="inlineStr">
        <is>
          <t>taken from ecoinvent "transport, freight train, diesel - IN"</t>
        </is>
      </c>
    </row>
    <row r="161">
      <c r="A161" t="inlineStr">
        <is>
          <t>market for maintenance, locomotive</t>
        </is>
      </c>
      <c r="B161" t="n">
        <v>3.5159e-10</v>
      </c>
      <c r="C161" t="inlineStr">
        <is>
          <t>GLO</t>
        </is>
      </c>
      <c r="D161" t="inlineStr">
        <is>
          <t>unit</t>
        </is>
      </c>
      <c r="F161" t="inlineStr">
        <is>
          <t>technosphere</t>
        </is>
      </c>
      <c r="G161" t="inlineStr">
        <is>
          <t>maintenance, locomotive</t>
        </is>
      </c>
      <c r="H161" t="inlineStr">
        <is>
          <t>taken from ecoinvent "transport, freight train, diesel - IN"</t>
        </is>
      </c>
    </row>
    <row r="162">
      <c r="A162" t="inlineStr">
        <is>
          <t>market for goods wagon</t>
        </is>
      </c>
      <c r="B162" t="n">
        <v>1.1206e-08</v>
      </c>
      <c r="C162" t="inlineStr">
        <is>
          <t>GLO</t>
        </is>
      </c>
      <c r="D162" t="inlineStr">
        <is>
          <t>unit</t>
        </is>
      </c>
      <c r="F162" t="inlineStr">
        <is>
          <t>technosphere</t>
        </is>
      </c>
      <c r="G162" t="inlineStr">
        <is>
          <t>goods wagon</t>
        </is>
      </c>
      <c r="H162" t="inlineStr">
        <is>
          <t>taken from ecoinvent "transport, freight train, diesel - IN"</t>
        </is>
      </c>
    </row>
    <row r="163">
      <c r="A163" t="inlineStr">
        <is>
          <t>market for maintenance, goods wagon</t>
        </is>
      </c>
      <c r="B163" t="n">
        <v>1.1206e-08</v>
      </c>
      <c r="C163" t="inlineStr">
        <is>
          <t>GLO</t>
        </is>
      </c>
      <c r="D163" t="inlineStr">
        <is>
          <t>unit</t>
        </is>
      </c>
      <c r="F163" t="inlineStr">
        <is>
          <t>technosphere</t>
        </is>
      </c>
      <c r="G163" t="inlineStr">
        <is>
          <t>maintenance, goods wagon</t>
        </is>
      </c>
      <c r="H163" t="inlineStr">
        <is>
          <t>taken from ecoinvent "transport, freight train, diesel - IN"</t>
        </is>
      </c>
    </row>
    <row r="164">
      <c r="A164" t="inlineStr">
        <is>
          <t>market for railway track</t>
        </is>
      </c>
      <c r="B164" t="n">
        <v>4.505e-05</v>
      </c>
      <c r="C164" t="inlineStr">
        <is>
          <t>GLO</t>
        </is>
      </c>
      <c r="D164" t="inlineStr">
        <is>
          <t>meter-year</t>
        </is>
      </c>
      <c r="F164" t="inlineStr">
        <is>
          <t>technosphere</t>
        </is>
      </c>
      <c r="G164" t="inlineStr">
        <is>
          <t>railway track</t>
        </is>
      </c>
      <c r="H164" t="inlineStr">
        <is>
          <t>taken from ecoinvent "transport, freight train, diesel - IN"</t>
        </is>
      </c>
    </row>
    <row r="165">
      <c r="A165" t="inlineStr">
        <is>
          <t>Ammonia</t>
        </is>
      </c>
      <c r="B165" t="n">
        <v>1.075952471451244e-07</v>
      </c>
      <c r="D165" t="inlineStr">
        <is>
          <t>kilogram</t>
        </is>
      </c>
      <c r="E165" t="inlineStr">
        <is>
          <t>air</t>
        </is>
      </c>
      <c r="F165" t="inlineStr">
        <is>
          <t>biosphere</t>
        </is>
      </c>
      <c r="H165" t="inlineStr">
        <is>
          <t>2.0E-05 kg/kg fuel for diesel locomotives, according to Spielmann et al. (2007)
Spielmann, M., Bauer, C., Dones, R., Institut, P. S., &amp; Tuchschmid, M. (2007). Transport Services. Swiss Centre for Life Cycle Inventories, ecoinvent report No. 14.</t>
        </is>
      </c>
    </row>
    <row r="166">
      <c r="A166" t="inlineStr">
        <is>
          <t>Benzene</t>
        </is>
      </c>
      <c r="B166" t="n">
        <v>5.379762357256219e-07</v>
      </c>
      <c r="D166" t="inlineStr">
        <is>
          <t>kilogram</t>
        </is>
      </c>
      <c r="E166" t="inlineStr">
        <is>
          <t>air</t>
        </is>
      </c>
      <c r="F166" t="inlineStr">
        <is>
          <t>biosphere</t>
        </is>
      </c>
      <c r="H166" t="inlineStr">
        <is>
          <t>1.0E-04 kg/kg fuel for diesel locomotives, according to Spielmann et al. (2007)
Spielmann, M., Bauer, C., Dones, R., Institut, P. S., &amp; Tuchschmid, M. (2007). Transport Services. Swiss Centre for Life Cycle Inventories, ecoinvent report No. 14.</t>
        </is>
      </c>
    </row>
    <row r="167">
      <c r="A167" t="inlineStr">
        <is>
          <t>Cadmium II</t>
        </is>
      </c>
      <c r="B167" t="n">
        <v>5.37976235725622e-11</v>
      </c>
      <c r="D167" t="inlineStr">
        <is>
          <t>kilogram</t>
        </is>
      </c>
      <c r="E167" t="inlineStr">
        <is>
          <t>air</t>
        </is>
      </c>
      <c r="F167" t="inlineStr">
        <is>
          <t>biosphere</t>
        </is>
      </c>
      <c r="H167" t="inlineStr">
        <is>
          <t>1.0E-08 kg/kg fuel for diesel locomotives, according to Spielmann et al. (2007)
Spielmann, M., Bauer, C., Dones, R., Institut, P. S., &amp; Tuchschmid, M. (2007). Transport Services. Swiss Centre for Life Cycle Inventories, ecoinvent report No. 14.</t>
        </is>
      </c>
    </row>
    <row r="168">
      <c r="A168" t="inlineStr">
        <is>
          <t>Carbon dioxide, fossil</t>
        </is>
      </c>
      <c r="B168" t="n">
        <v>0.01692473237592806</v>
      </c>
      <c r="D168" t="inlineStr">
        <is>
          <t>kilogram</t>
        </is>
      </c>
      <c r="E168" t="inlineStr">
        <is>
          <t>air</t>
        </is>
      </c>
      <c r="F168" t="inlineStr">
        <is>
          <t>biosphere</t>
        </is>
      </c>
      <c r="H168" t="inlineStr">
        <is>
          <t>3.146 kg/kg fuel for diesel locomotives, according to Spielmann et al. (2007)
Spielmann, M., Bauer, C., Dones, R., Institut, P. S., &amp; Tuchschmid, M. (2007). Transport Services. Swiss Centre for Life Cycle Inventories, ecoinvent report No. 14.</t>
        </is>
      </c>
    </row>
    <row r="169">
      <c r="A169" t="inlineStr">
        <is>
          <t>Carbon monoxide, fossil</t>
        </is>
      </c>
      <c r="B169" t="n">
        <v>8.500024524464827e-05</v>
      </c>
      <c r="D169" t="inlineStr">
        <is>
          <t>kilogram</t>
        </is>
      </c>
      <c r="E169" t="inlineStr">
        <is>
          <t>air</t>
        </is>
      </c>
      <c r="F169" t="inlineStr">
        <is>
          <t>biosphere</t>
        </is>
      </c>
      <c r="H169" t="inlineStr">
        <is>
          <t>1.58E-02 kg/kg fuel for diesel locomotives, according to Spielmann et al. (2007)
Spielmann, M., Bauer, C., Dones, R., Institut, P. S., &amp; Tuchschmid, M. (2007). Transport Services. Swiss Centre for Life Cycle Inventories, ecoinvent report No. 14.</t>
        </is>
      </c>
    </row>
    <row r="170">
      <c r="A170" t="inlineStr">
        <is>
          <t>Chromium III</t>
        </is>
      </c>
      <c r="B170" t="n">
        <v>2.689881178628109e-10</v>
      </c>
      <c r="D170" t="inlineStr">
        <is>
          <t>kilogram</t>
        </is>
      </c>
      <c r="E170" t="inlineStr">
        <is>
          <t>air</t>
        </is>
      </c>
      <c r="F170" t="inlineStr">
        <is>
          <t>biosphere</t>
        </is>
      </c>
      <c r="H170" t="inlineStr">
        <is>
          <t>5.0E-08 kg/kg fuel for diesel locomotives, according to Spielmann et al. (2007)
Spielmann, M., Bauer, C., Dones, R., Institut, P. S., &amp; Tuchschmid, M. (2007). Transport Services. Swiss Centre for Life Cycle Inventories, ecoinvent report No. 14.</t>
        </is>
      </c>
    </row>
    <row r="171">
      <c r="A171" t="inlineStr">
        <is>
          <t>Copper ion</t>
        </is>
      </c>
      <c r="B171" t="n">
        <v>9.145596007335573e-09</v>
      </c>
      <c r="D171" t="inlineStr">
        <is>
          <t>kilogram</t>
        </is>
      </c>
      <c r="E171" t="inlineStr">
        <is>
          <t>air</t>
        </is>
      </c>
      <c r="F171" t="inlineStr">
        <is>
          <t>biosphere</t>
        </is>
      </c>
      <c r="H171" t="inlineStr">
        <is>
          <t>1.7E-06 kg/kg fuel for diesel locomotives, according to Spielmann et al. (2007)
Spielmann, M., Bauer, C., Dones, R., Institut, P. S., &amp; Tuchschmid, M. (2007). Transport Services. Swiss Centre for Life Cycle Inventories, ecoinvent report No. 14.</t>
        </is>
      </c>
    </row>
    <row r="172">
      <c r="A172" t="inlineStr">
        <is>
          <t>Dinitrogen monoxide</t>
        </is>
      </c>
      <c r="B172" t="n">
        <v>5.379762357256219e-07</v>
      </c>
      <c r="D172" t="inlineStr">
        <is>
          <t>kilogram</t>
        </is>
      </c>
      <c r="E172" t="inlineStr">
        <is>
          <t>air</t>
        </is>
      </c>
      <c r="F172" t="inlineStr">
        <is>
          <t>biosphere</t>
        </is>
      </c>
      <c r="H172" t="inlineStr">
        <is>
          <t>1.0E-04 kg/kg fuel for diesel locomotives, according to Spielmann et al. (2007)
Spielmann, M., Bauer, C., Dones, R., Institut, P. S., &amp; Tuchschmid, M. (2007). Transport Services. Swiss Centre for Life Cycle Inventories, ecoinvent report No. 14.</t>
        </is>
      </c>
    </row>
    <row r="173">
      <c r="A173" t="inlineStr">
        <is>
          <t>Iron ion</t>
        </is>
      </c>
      <c r="B173" t="n">
        <v>1.24e-05</v>
      </c>
      <c r="D173" t="inlineStr">
        <is>
          <t>kilogram</t>
        </is>
      </c>
      <c r="E173" t="inlineStr">
        <is>
          <t>soil</t>
        </is>
      </c>
      <c r="F173" t="inlineStr">
        <is>
          <t>biosphere</t>
        </is>
      </c>
      <c r="H173" t="inlineStr">
        <is>
          <t>1.24E-05 kg/tkm, emission of particulates due to abrasion from rail tracks, wheels,and brakes Spielmann et al. (2007)
Spielmann, M., Bauer, C., Dones, R., Institut, P. S., &amp; Tuchschmid, M. (2007). Transport Services. Swiss Centre for Life Cycle Inventories, ecoinvent report No. 14.</t>
        </is>
      </c>
    </row>
    <row r="174">
      <c r="A174" t="inlineStr">
        <is>
          <t>Lead II</t>
        </is>
      </c>
      <c r="B174" t="n">
        <v>5.917738592981841e-13</v>
      </c>
      <c r="D174" t="inlineStr">
        <is>
          <t>kilogram</t>
        </is>
      </c>
      <c r="E174" t="inlineStr">
        <is>
          <t>air</t>
        </is>
      </c>
      <c r="F174" t="inlineStr">
        <is>
          <t>biosphere</t>
        </is>
      </c>
      <c r="H174" t="inlineStr">
        <is>
          <t>1.1E-10 kg/kg fuel for diesel locomotives, according to Spielmann et al. (2007)
Spielmann, M., Bauer, C., Dones, R., Institut, P. S., &amp; Tuchschmid, M. (2007). Transport Services. Swiss Centre for Life Cycle Inventories, ecoinvent report No. 14.</t>
        </is>
      </c>
    </row>
    <row r="175">
      <c r="A175" t="inlineStr">
        <is>
          <t>Mercury II</t>
        </is>
      </c>
      <c r="B175" t="n">
        <v>1.075952471451244e-13</v>
      </c>
      <c r="D175" t="inlineStr">
        <is>
          <t>kilogram</t>
        </is>
      </c>
      <c r="E175" t="inlineStr">
        <is>
          <t>air</t>
        </is>
      </c>
      <c r="F175" t="inlineStr">
        <is>
          <t>biosphere</t>
        </is>
      </c>
      <c r="H175" t="inlineStr">
        <is>
          <t>2.0E-11 kg/kg fuel for diesel locomotives, according to Spielmann et al. (2007)
Spielmann, M., Bauer, C., Dones, R., Institut, P. S., &amp; Tuchschmid, M. (2007). Transport Services. Swiss Centre for Life Cycle Inventories, ecoinvent report No. 14.</t>
        </is>
      </c>
    </row>
    <row r="176">
      <c r="A176" t="inlineStr">
        <is>
          <t>Methane, fossil</t>
        </is>
      </c>
      <c r="B176" t="n">
        <v>6.993691064433084e-07</v>
      </c>
      <c r="D176" t="inlineStr">
        <is>
          <t>kilogram</t>
        </is>
      </c>
      <c r="E176" t="inlineStr">
        <is>
          <t>air</t>
        </is>
      </c>
      <c r="F176" t="inlineStr">
        <is>
          <t>biosphere</t>
        </is>
      </c>
      <c r="H176" t="inlineStr">
        <is>
          <t>1.3E-04 kg/kg fuel for diesel locomotives, according to Spielmann et al. (2007)
Spielmann, M., Bauer, C., Dones, R., Institut, P. S., &amp; Tuchschmid, M. (2007). Transport Services. Swiss Centre for Life Cycle Inventories, ecoinvent report No. 14.</t>
        </is>
      </c>
    </row>
    <row r="177">
      <c r="A177" t="inlineStr">
        <is>
          <t>NMVOC, non-methane volatile organic compounds</t>
        </is>
      </c>
      <c r="B177" t="n">
        <v>2.824375237559515e-05</v>
      </c>
      <c r="D177" t="inlineStr">
        <is>
          <t>kilogram</t>
        </is>
      </c>
      <c r="E177" t="inlineStr">
        <is>
          <t>air</t>
        </is>
      </c>
      <c r="F177" t="inlineStr">
        <is>
          <t>biosphere</t>
        </is>
      </c>
      <c r="H177" t="inlineStr">
        <is>
          <t>5.25E-03 kg/kg fuel for diesel locomotives, according to Spielmann et al. (2007)
Spielmann, M., Bauer, C., Dones, R., Institut, P. S., &amp; Tuchschmid, M. (2007). Transport Services. Swiss Centre for Life Cycle Inventories, ecoinvent report No. 14.</t>
        </is>
      </c>
    </row>
    <row r="178">
      <c r="A178" t="inlineStr">
        <is>
          <t>Nickel II</t>
        </is>
      </c>
      <c r="B178" t="n">
        <v>3.765833650079354e-10</v>
      </c>
      <c r="D178" t="inlineStr">
        <is>
          <t>kilogram</t>
        </is>
      </c>
      <c r="E178" t="inlineStr">
        <is>
          <t>air</t>
        </is>
      </c>
      <c r="F178" t="inlineStr">
        <is>
          <t>biosphere</t>
        </is>
      </c>
      <c r="H178" t="inlineStr">
        <is>
          <t>7.0E-08 kg/kg fuel for diesel locomotives, according to Spielmann et al. (2007)
Spielmann, M., Bauer, C., Dones, R., Institut, P. S., &amp; Tuchschmid, M. (2007). Transport Services. Swiss Centre for Life Cycle Inventories, ecoinvent report No. 14.</t>
        </is>
      </c>
    </row>
    <row r="179">
      <c r="A179" t="inlineStr">
        <is>
          <t>Nitrogen oxides</t>
        </is>
      </c>
      <c r="B179" t="n">
        <v>0.0002958869296490921</v>
      </c>
      <c r="D179" t="inlineStr">
        <is>
          <t>kilogram</t>
        </is>
      </c>
      <c r="E179" t="inlineStr">
        <is>
          <t>air</t>
        </is>
      </c>
      <c r="F179" t="inlineStr">
        <is>
          <t>biosphere</t>
        </is>
      </c>
      <c r="H179" t="inlineStr">
        <is>
          <t>5.5E-02 kg/kg fuel for diesel locomotives, according to Spielmann et al. (2007)
Spielmann, M., Bauer, C., Dones, R., Institut, P. S., &amp; Tuchschmid, M. (2007). Transport Services. Swiss Centre for Life Cycle Inventories, ecoinvent report No. 14.</t>
        </is>
      </c>
    </row>
    <row r="180">
      <c r="A180" t="inlineStr">
        <is>
          <t>Particulate Matter, &lt; 2.5 um</t>
        </is>
      </c>
      <c r="B180" t="n">
        <v>6.617107699425149e-06</v>
      </c>
      <c r="D180" t="inlineStr">
        <is>
          <t>kilogram</t>
        </is>
      </c>
      <c r="E180" t="inlineStr">
        <is>
          <t>air</t>
        </is>
      </c>
      <c r="F180" t="inlineStr">
        <is>
          <t>biosphere</t>
        </is>
      </c>
      <c r="H180" t="inlineStr">
        <is>
          <t>1.28E-03 kg/kg fuel for diesel locomotives, according to Spielmann et al. (2007)
Spielmann, M., Bauer, C., Dones, R., Institut, P. S., &amp; Tuchschmid, M. (2007). Transport Services. Swiss Centre for Life Cycle Inventories, ecoinvent report No. 14.</t>
        </is>
      </c>
    </row>
    <row r="181">
      <c r="A181" t="inlineStr">
        <is>
          <t>Particulate Matter, &gt; 10 um</t>
        </is>
      </c>
      <c r="B181" t="n">
        <v>1.799534895341337e-05</v>
      </c>
      <c r="D181" t="inlineStr">
        <is>
          <t>kilogram</t>
        </is>
      </c>
      <c r="E181" t="inlineStr">
        <is>
          <t>air</t>
        </is>
      </c>
      <c r="F181" t="inlineStr">
        <is>
          <t>biosphere</t>
        </is>
      </c>
      <c r="H181" t="inlineStr">
        <is>
          <t>4.59E-05 kg/kg fuel for diesel locomotives, according to Spielmann et al. (2007), plus
1.77E-05 kg/tkm, emission of particulates due to abrasion from rail tracks, wheels,and brakes Spielmann et al. (2007)
Spielmann, M., Bauer, C., Dones, R., Institut, P. S., &amp; Tuchschmid, M. (2007). Transport Services. Swiss Centre for Life Cycle Inventories, ecoinvent report No. 14.</t>
        </is>
      </c>
    </row>
    <row r="182">
      <c r="A182" t="inlineStr">
        <is>
          <t>Particulate Matter, &gt; 2.5 um and &lt; 10um</t>
        </is>
      </c>
      <c r="B182" t="n">
        <v>1.687563457222641e-05</v>
      </c>
      <c r="D182" t="inlineStr">
        <is>
          <t>kilogram</t>
        </is>
      </c>
      <c r="E182" t="inlineStr">
        <is>
          <t>air</t>
        </is>
      </c>
      <c r="F182" t="inlineStr">
        <is>
          <t>biosphere</t>
        </is>
      </c>
      <c r="H182" t="inlineStr">
        <is>
          <t>1.07E-04 kg/kg fuel for diesel locomotives, according to Spielmann et al. (2007), plus
1.63E-05 kg/tkm, emission of particulates due to abrasion from rail tracks, wheels,and brakes Spielmann et al. (2007)
Spielmann, M., Bauer, C., Dones, R., Institut, P. S., &amp; Tuchschmid, M. (2007). Transport Services. Swiss Centre for Life Cycle Inventories, ecoinvent report No. 14.</t>
        </is>
      </c>
    </row>
    <row r="183">
      <c r="A183" t="inlineStr">
        <is>
          <t>Selenium IV</t>
        </is>
      </c>
      <c r="B183" t="n">
        <v>5.37976235725622e-11</v>
      </c>
      <c r="D183" t="inlineStr">
        <is>
          <t>kilogram</t>
        </is>
      </c>
      <c r="E183" t="inlineStr">
        <is>
          <t>air</t>
        </is>
      </c>
      <c r="F183" t="inlineStr">
        <is>
          <t>biosphere</t>
        </is>
      </c>
      <c r="H183" t="inlineStr">
        <is>
          <t>1.0E-08 kg/kg fuel for diesel locomotives, according to Spielmann et al. (2007)
Spielmann, M., Bauer, C., Dones, R., Institut, P. S., &amp; Tuchschmid, M. (2007). Transport Services. Swiss Centre for Life Cycle Inventories, ecoinvent report No. 14.</t>
        </is>
      </c>
    </row>
    <row r="184">
      <c r="A184" t="inlineStr">
        <is>
          <t>Sulfur dioxide</t>
        </is>
      </c>
      <c r="B184" t="n">
        <v>3.227857414353731e-06</v>
      </c>
      <c r="D184" t="inlineStr">
        <is>
          <t>kilogram</t>
        </is>
      </c>
      <c r="E184" t="inlineStr">
        <is>
          <t>air</t>
        </is>
      </c>
      <c r="F184" t="inlineStr">
        <is>
          <t>biosphere</t>
        </is>
      </c>
      <c r="H184" t="inlineStr">
        <is>
          <t>6.0E-04 kg/kg fuel for diesel locomotives, according to Spielmann et al. (2007)
Spielmann, M., Bauer, C., Dones, R., Institut, P. S., &amp; Tuchschmid, M. (2007). Transport Services. Swiss Centre for Life Cycle Inventories, ecoinvent report No. 14.</t>
        </is>
      </c>
    </row>
    <row r="185">
      <c r="A185" t="inlineStr">
        <is>
          <t>Toluene</t>
        </is>
      </c>
      <c r="B185" t="n">
        <v>2.151904942902488e-07</v>
      </c>
      <c r="D185" t="inlineStr">
        <is>
          <t>kilogram</t>
        </is>
      </c>
      <c r="E185" t="inlineStr">
        <is>
          <t>air</t>
        </is>
      </c>
      <c r="F185" t="inlineStr">
        <is>
          <t>biosphere</t>
        </is>
      </c>
      <c r="H185" t="inlineStr">
        <is>
          <t>4.0E-05 kg/kg fuel for diesel locomotives, according to Spielmann et al. (2007)
Spielmann, M., Bauer, C., Dones, R., Institut, P. S., &amp; Tuchschmid, M. (2007). Transport Services. Swiss Centre for Life Cycle Inventories, ecoinvent report No. 14.</t>
        </is>
      </c>
    </row>
    <row r="186">
      <c r="A186" t="inlineStr">
        <is>
          <t>Xylene</t>
        </is>
      </c>
      <c r="B186" t="n">
        <v>2.151904942902488e-07</v>
      </c>
      <c r="D186" t="inlineStr">
        <is>
          <t>kilogram</t>
        </is>
      </c>
      <c r="E186" t="inlineStr">
        <is>
          <t>air</t>
        </is>
      </c>
      <c r="F186" t="inlineStr">
        <is>
          <t>biosphere</t>
        </is>
      </c>
      <c r="H186" t="inlineStr">
        <is>
          <t>4.0E-05 kg/kg fuel for diesel locomotives, according to Spielmann et al. (2007)
Spielmann, M., Bauer, C., Dones, R., Institut, P. S., &amp; Tuchschmid, M. (2007). Transport Services. Swiss Centre for Life Cycle Inventories, ecoinvent report No. 14.</t>
        </is>
      </c>
    </row>
    <row r="187">
      <c r="A187" t="inlineStr">
        <is>
          <t>Zinc II</t>
        </is>
      </c>
      <c r="B187" t="n">
        <v>5.379762357256219e-09</v>
      </c>
      <c r="D187" t="inlineStr">
        <is>
          <t>kilogram</t>
        </is>
      </c>
      <c r="E187" t="inlineStr">
        <is>
          <t>air</t>
        </is>
      </c>
      <c r="F187" t="inlineStr">
        <is>
          <t>biosphere</t>
        </is>
      </c>
      <c r="H187" t="inlineStr">
        <is>
          <t>1.0E-06 kg/kg fuel for diesel locomotives, according to Spielmann et al. (2007)
Spielmann, M., Bauer, C., Dones, R., Institut, P. S., &amp; Tuchschmid, M. (2007). Transport Services. Swiss Centre for Life Cycle Inventories, ecoinvent report No. 14.</t>
        </is>
      </c>
    </row>
    <row r="188">
      <c r="A188" t="inlineStr">
        <is>
          <t>transport, freight train, diesel-electric</t>
        </is>
      </c>
      <c r="B188" t="n">
        <v>1</v>
      </c>
      <c r="C188" t="inlineStr">
        <is>
          <t>IN</t>
        </is>
      </c>
      <c r="D188" t="inlineStr">
        <is>
          <t>ton kilometer</t>
        </is>
      </c>
      <c r="F188" t="inlineStr">
        <is>
          <t>production</t>
        </is>
      </c>
      <c r="G188" t="inlineStr">
        <is>
          <t>transport, freight train</t>
        </is>
      </c>
    </row>
    <row r="189"/>
    <row r="190">
      <c r="A190" s="2" t="inlineStr">
        <is>
          <t>Activity</t>
        </is>
      </c>
      <c r="B190" s="2" t="inlineStr">
        <is>
          <t>transport, freight train, electric</t>
        </is>
      </c>
    </row>
    <row r="191">
      <c r="A191" t="inlineStr">
        <is>
          <t>location</t>
        </is>
      </c>
      <c r="B191" t="inlineStr">
        <is>
          <t>IN</t>
        </is>
      </c>
    </row>
    <row r="192">
      <c r="A192" t="inlineStr">
        <is>
          <t>production amount</t>
        </is>
      </c>
      <c r="B192" t="n">
        <v>1</v>
      </c>
    </row>
    <row r="193">
      <c r="A193" t="inlineStr">
        <is>
          <t>reference product</t>
        </is>
      </c>
      <c r="B193" t="inlineStr">
        <is>
          <t>transport, freight train</t>
        </is>
      </c>
    </row>
    <row r="194">
      <c r="A194" t="inlineStr">
        <is>
          <t>type</t>
        </is>
      </c>
      <c r="B194" t="inlineStr">
        <is>
          <t>process</t>
        </is>
      </c>
    </row>
    <row r="195">
      <c r="A195" t="inlineStr">
        <is>
          <t>unit</t>
        </is>
      </c>
      <c r="B195" t="inlineStr">
        <is>
          <t>ton kilometer</t>
        </is>
      </c>
    </row>
    <row r="196">
      <c r="A196" t="inlineStr">
        <is>
          <t>Exchanges</t>
        </is>
      </c>
    </row>
    <row r="197">
      <c r="A197" s="2" t="inlineStr">
        <is>
          <t>name</t>
        </is>
      </c>
      <c r="B197" s="2" t="inlineStr">
        <is>
          <t>amount</t>
        </is>
      </c>
      <c r="C197" s="2" t="inlineStr">
        <is>
          <t>location</t>
        </is>
      </c>
      <c r="D197" s="2" t="inlineStr">
        <is>
          <t>unit</t>
        </is>
      </c>
      <c r="E197" s="2" t="inlineStr">
        <is>
          <t>categories</t>
        </is>
      </c>
      <c r="F197" s="2" t="inlineStr">
        <is>
          <t>type</t>
        </is>
      </c>
      <c r="G197" s="2" t="inlineStr">
        <is>
          <t>reference product</t>
        </is>
      </c>
      <c r="H197" s="2" t="inlineStr">
        <is>
          <t>comment</t>
        </is>
      </c>
    </row>
    <row r="198">
      <c r="A198" t="inlineStr">
        <is>
          <t>market for diesel</t>
        </is>
      </c>
      <c r="B198" t="n">
        <v>0.00025188</v>
      </c>
      <c r="C198" t="inlineStr">
        <is>
          <t>IN</t>
        </is>
      </c>
      <c r="D198" t="inlineStr">
        <is>
          <t>kilogram</t>
        </is>
      </c>
      <c r="F198" t="inlineStr">
        <is>
          <t>technosphere</t>
        </is>
      </c>
      <c r="G198" t="inlineStr">
        <is>
          <t>diesel</t>
        </is>
      </c>
      <c r="H198" t="inlineStr">
        <is>
          <t>The energy consumption for shunting processes is added. The shunting process is assumed to be done by diesel shunting locomotives exclusivley. The specific diesel consumption for the shunting is taken from the regional ecoinvent datasets "transport, freight train, electric".</t>
        </is>
      </c>
    </row>
    <row r="199">
      <c r="A199" t="inlineStr">
        <is>
          <t>market group for electricity, high voltage</t>
        </is>
      </c>
      <c r="B199" t="n">
        <v>0.007931566814524614</v>
      </c>
      <c r="C199" t="inlineStr">
        <is>
          <t>IN</t>
        </is>
      </c>
      <c r="D199" t="inlineStr">
        <is>
          <t>kilowatt hour</t>
        </is>
      </c>
      <c r="F199" t="inlineStr">
        <is>
          <t>technosphere</t>
        </is>
      </c>
      <c r="G199" t="inlineStr">
        <is>
          <t>electricity, high voltage</t>
        </is>
      </c>
      <c r="H199"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
Similar to the ecoinvent process the electricity consumed is split 50/50 between high and medium voltage as precise data was not available.</t>
        </is>
      </c>
    </row>
    <row r="200">
      <c r="A200" t="inlineStr">
        <is>
          <t>market group for electricity, medium voltage</t>
        </is>
      </c>
      <c r="B200" t="n">
        <v>0.007931566814524614</v>
      </c>
      <c r="C200" t="inlineStr">
        <is>
          <t>IN</t>
        </is>
      </c>
      <c r="D200" t="inlineStr">
        <is>
          <t>kilowatt hour</t>
        </is>
      </c>
      <c r="F200" t="inlineStr">
        <is>
          <t>technosphere</t>
        </is>
      </c>
      <c r="G200" t="inlineStr">
        <is>
          <t>electricity, medium voltage</t>
        </is>
      </c>
      <c r="H200"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
Similar to the ecoinvent process the electricity consumed is split 50/50 between high and medium voltage as precise data was not available.</t>
        </is>
      </c>
    </row>
    <row r="201">
      <c r="A201" t="inlineStr">
        <is>
          <t>production of locomotive, electric catenary</t>
        </is>
      </c>
      <c r="B201" t="n">
        <v>2.2077e-10</v>
      </c>
      <c r="C201" t="inlineStr">
        <is>
          <t>GLO</t>
        </is>
      </c>
      <c r="D201" t="inlineStr">
        <is>
          <t>unit</t>
        </is>
      </c>
      <c r="F201" t="inlineStr">
        <is>
          <t>technosphere</t>
        </is>
      </c>
      <c r="G201" t="inlineStr">
        <is>
          <t>locomotive electric, catenary</t>
        </is>
      </c>
      <c r="H201" t="inlineStr">
        <is>
          <t>taken from ecoinvent process "transport, freight train, electricity - IN"</t>
        </is>
      </c>
    </row>
    <row r="202">
      <c r="A202" t="inlineStr">
        <is>
          <t>market for maintenance, locomotive</t>
        </is>
      </c>
      <c r="B202" t="n">
        <v>2.2077e-10</v>
      </c>
      <c r="C202" t="inlineStr">
        <is>
          <t>GLO</t>
        </is>
      </c>
      <c r="D202" t="inlineStr">
        <is>
          <t>unit</t>
        </is>
      </c>
      <c r="F202" t="inlineStr">
        <is>
          <t>technosphere</t>
        </is>
      </c>
      <c r="G202" t="inlineStr">
        <is>
          <t>maintenance, locomotive</t>
        </is>
      </c>
      <c r="H202" t="inlineStr">
        <is>
          <t>taken from ecoinvent process "transport, freight train, electricity - IN"</t>
        </is>
      </c>
    </row>
    <row r="203">
      <c r="A203" t="inlineStr">
        <is>
          <t>market for goods wagon</t>
        </is>
      </c>
      <c r="B203" t="n">
        <v>1.1206e-08</v>
      </c>
      <c r="C203" t="inlineStr">
        <is>
          <t>GLO</t>
        </is>
      </c>
      <c r="D203" t="inlineStr">
        <is>
          <t>unit</t>
        </is>
      </c>
      <c r="F203" t="inlineStr">
        <is>
          <t>technosphere</t>
        </is>
      </c>
      <c r="G203" t="inlineStr">
        <is>
          <t>goods wagon</t>
        </is>
      </c>
      <c r="H203" t="inlineStr">
        <is>
          <t>taken from ecoinvent process "transport, freight train, electricity - IN"</t>
        </is>
      </c>
    </row>
    <row r="204">
      <c r="A204" t="inlineStr">
        <is>
          <t>market for maintenance, goods wagon</t>
        </is>
      </c>
      <c r="B204" t="n">
        <v>1.1206e-08</v>
      </c>
      <c r="C204" t="inlineStr">
        <is>
          <t>GLO</t>
        </is>
      </c>
      <c r="D204" t="inlineStr">
        <is>
          <t>unit</t>
        </is>
      </c>
      <c r="F204" t="inlineStr">
        <is>
          <t>technosphere</t>
        </is>
      </c>
      <c r="G204" t="inlineStr">
        <is>
          <t>maintenance, goods wagon</t>
        </is>
      </c>
      <c r="H204" t="inlineStr">
        <is>
          <t>taken from ecoinvent process "transport, freight train, electricity - IN"</t>
        </is>
      </c>
    </row>
    <row r="205">
      <c r="A205" t="inlineStr">
        <is>
          <t>market for railway track</t>
        </is>
      </c>
      <c r="B205" t="n">
        <v>4.5238e-05</v>
      </c>
      <c r="C205" t="inlineStr">
        <is>
          <t>GLO</t>
        </is>
      </c>
      <c r="D205" t="inlineStr">
        <is>
          <t>meter-year</t>
        </is>
      </c>
      <c r="F205" t="inlineStr">
        <is>
          <t>technosphere</t>
        </is>
      </c>
      <c r="G205" t="inlineStr">
        <is>
          <t>railway track</t>
        </is>
      </c>
      <c r="H205" t="inlineStr">
        <is>
          <t>taken from ecoinvent process "transport, freight train, electricity - IN"</t>
        </is>
      </c>
    </row>
    <row r="206">
      <c r="A206" t="inlineStr">
        <is>
          <t>Ammonia</t>
        </is>
      </c>
      <c r="B206" t="n">
        <v>5.037600000000001e-09</v>
      </c>
      <c r="D206" t="inlineStr">
        <is>
          <t>kilogram</t>
        </is>
      </c>
      <c r="E206" t="inlineStr">
        <is>
          <t>air</t>
        </is>
      </c>
      <c r="F206" t="inlineStr">
        <is>
          <t>biosphere</t>
        </is>
      </c>
      <c r="H206" t="inlineStr">
        <is>
          <t>2.0E-05 kg/kg fuel for diesel locomotives, according to Spielmann et al. (2007)
Spielmann, M., Bauer, C., Dones, R., Institut, P. S., &amp; Tuchschmid, M. (2007). Transport Services. Swiss Centre for Life Cycle Inventories, ecoinvent report No. 14.</t>
        </is>
      </c>
    </row>
    <row r="207">
      <c r="A207" t="inlineStr">
        <is>
          <t>Benzene</t>
        </is>
      </c>
      <c r="B207" t="n">
        <v>2.5188e-08</v>
      </c>
      <c r="D207" t="inlineStr">
        <is>
          <t>kilogram</t>
        </is>
      </c>
      <c r="E207" t="inlineStr">
        <is>
          <t>air</t>
        </is>
      </c>
      <c r="F207" t="inlineStr">
        <is>
          <t>biosphere</t>
        </is>
      </c>
      <c r="H207" t="inlineStr">
        <is>
          <t>1.0E-04 kg/kg fuel for diesel locomotives, according to Spielmann et al. (2007)
Spielmann, M., Bauer, C., Dones, R., Institut, P. S., &amp; Tuchschmid, M. (2007). Transport Services. Swiss Centre for Life Cycle Inventories, ecoinvent report No. 14.</t>
        </is>
      </c>
    </row>
    <row r="208">
      <c r="A208" t="inlineStr">
        <is>
          <t>Cadmium II</t>
        </is>
      </c>
      <c r="B208" t="n">
        <v>2.5188e-12</v>
      </c>
      <c r="D208" t="inlineStr">
        <is>
          <t>kilogram</t>
        </is>
      </c>
      <c r="E208" t="inlineStr">
        <is>
          <t>air</t>
        </is>
      </c>
      <c r="F208" t="inlineStr">
        <is>
          <t>biosphere</t>
        </is>
      </c>
      <c r="H208" t="inlineStr">
        <is>
          <t>1.0E-08 kg/kg fuel for diesel locomotives, according to Spielmann et al. (2007)
Spielmann, M., Bauer, C., Dones, R., Institut, P. S., &amp; Tuchschmid, M. (2007). Transport Services. Swiss Centre for Life Cycle Inventories, ecoinvent report No. 14.</t>
        </is>
      </c>
    </row>
    <row r="209">
      <c r="A209" t="inlineStr">
        <is>
          <t>Carbon dioxide, fossil</t>
        </is>
      </c>
      <c r="B209" t="n">
        <v>0.00079241448</v>
      </c>
      <c r="D209" t="inlineStr">
        <is>
          <t>kilogram</t>
        </is>
      </c>
      <c r="E209" t="inlineStr">
        <is>
          <t>air</t>
        </is>
      </c>
      <c r="F209" t="inlineStr">
        <is>
          <t>biosphere</t>
        </is>
      </c>
      <c r="H209" t="inlineStr">
        <is>
          <t>3.146 kg/kg fuel for diesel locomotives, according to Spielmann et al. (2007)
Spielmann, M., Bauer, C., Dones, R., Institut, P. S., &amp; Tuchschmid, M. (2007). Transport Services. Swiss Centre for Life Cycle Inventories, ecoinvent report No. 14.</t>
        </is>
      </c>
    </row>
    <row r="210">
      <c r="A210" t="inlineStr">
        <is>
          <t>Carbon monoxide, fossil</t>
        </is>
      </c>
      <c r="B210" t="n">
        <v>3.979704e-06</v>
      </c>
      <c r="D210" t="inlineStr">
        <is>
          <t>kilogram</t>
        </is>
      </c>
      <c r="E210" t="inlineStr">
        <is>
          <t>air</t>
        </is>
      </c>
      <c r="F210" t="inlineStr">
        <is>
          <t>biosphere</t>
        </is>
      </c>
      <c r="H210" t="inlineStr">
        <is>
          <t>1.58E-02 kg/kg fuel for diesel locomotives, according to Spielmann et al. (2007)
Spielmann, M., Bauer, C., Dones, R., Institut, P. S., &amp; Tuchschmid, M. (2007). Transport Services. Swiss Centre for Life Cycle Inventories, ecoinvent report No. 14.</t>
        </is>
      </c>
    </row>
    <row r="211">
      <c r="A211" t="inlineStr">
        <is>
          <t>Chromium III</t>
        </is>
      </c>
      <c r="B211" t="n">
        <v>1.2594e-11</v>
      </c>
      <c r="D211" t="inlineStr">
        <is>
          <t>kilogram</t>
        </is>
      </c>
      <c r="E211" t="inlineStr">
        <is>
          <t>air</t>
        </is>
      </c>
      <c r="F211" t="inlineStr">
        <is>
          <t>biosphere</t>
        </is>
      </c>
      <c r="H211" t="inlineStr">
        <is>
          <t>5.0E-08 kg/kg fuel for diesel locomotives, according to Spielmann et al. (2007)
Spielmann, M., Bauer, C., Dones, R., Institut, P. S., &amp; Tuchschmid, M. (2007). Transport Services. Swiss Centre for Life Cycle Inventories, ecoinvent report No. 14.</t>
        </is>
      </c>
    </row>
    <row r="212">
      <c r="A212" t="inlineStr">
        <is>
          <t>Copper ion</t>
        </is>
      </c>
      <c r="B212" t="n">
        <v>4.28196e-10</v>
      </c>
      <c r="D212" t="inlineStr">
        <is>
          <t>kilogram</t>
        </is>
      </c>
      <c r="E212" t="inlineStr">
        <is>
          <t>air</t>
        </is>
      </c>
      <c r="F212" t="inlineStr">
        <is>
          <t>biosphere</t>
        </is>
      </c>
      <c r="H212" t="inlineStr">
        <is>
          <t>1.7E-06 kg/kg fuel for diesel locomotives, according to Spielmann et al. (2007)
Spielmann, M., Bauer, C., Dones, R., Institut, P. S., &amp; Tuchschmid, M. (2007). Transport Services. Swiss Centre for Life Cycle Inventories, ecoinvent report No. 14.</t>
        </is>
      </c>
    </row>
    <row r="213">
      <c r="A213" t="inlineStr">
        <is>
          <t>Dinitrogen monoxide</t>
        </is>
      </c>
      <c r="B213" t="n">
        <v>2.5188e-08</v>
      </c>
      <c r="D213" t="inlineStr">
        <is>
          <t>kilogram</t>
        </is>
      </c>
      <c r="E213" t="inlineStr">
        <is>
          <t>air</t>
        </is>
      </c>
      <c r="F213" t="inlineStr">
        <is>
          <t>biosphere</t>
        </is>
      </c>
      <c r="H213" t="inlineStr">
        <is>
          <t>1.0E-04 kg/kg fuel for diesel locomotives, according to Spielmann et al. (2007)
Spielmann, M., Bauer, C., Dones, R., Institut, P. S., &amp; Tuchschmid, M. (2007). Transport Services. Swiss Centre for Life Cycle Inventories, ecoinvent report No. 14.</t>
        </is>
      </c>
    </row>
    <row r="214">
      <c r="A214" t="inlineStr">
        <is>
          <t>Iron ion</t>
        </is>
      </c>
      <c r="B214" t="n">
        <v>1.24e-05</v>
      </c>
      <c r="D214" t="inlineStr">
        <is>
          <t>kilogram</t>
        </is>
      </c>
      <c r="E214" t="inlineStr">
        <is>
          <t>soil</t>
        </is>
      </c>
      <c r="F214" t="inlineStr">
        <is>
          <t>biosphere</t>
        </is>
      </c>
      <c r="H214" t="inlineStr">
        <is>
          <t>1.24E-05 kg/tkm, emission of particulates due to abrasion from rail tracks, wheels,and brakes Spielmann et al. (2007)
Spielmann, M., Bauer, C., Dones, R., Institut, P. S., &amp; Tuchschmid, M. (2007). Transport Services. Swiss Centre for Life Cycle Inventories, ecoinvent report No. 14.</t>
        </is>
      </c>
    </row>
    <row r="215">
      <c r="A215" t="inlineStr">
        <is>
          <t>Lead II</t>
        </is>
      </c>
      <c r="B215" t="n">
        <v>2.77068e-14</v>
      </c>
      <c r="D215" t="inlineStr">
        <is>
          <t>kilogram</t>
        </is>
      </c>
      <c r="E215" t="inlineStr">
        <is>
          <t>air</t>
        </is>
      </c>
      <c r="F215" t="inlineStr">
        <is>
          <t>biosphere</t>
        </is>
      </c>
      <c r="H215" t="inlineStr">
        <is>
          <t>1.1E-10 kg/kg fuel for diesel locomotives, according to Spielmann et al. (2007)
Spielmann, M., Bauer, C., Dones, R., Institut, P. S., &amp; Tuchschmid, M. (2007). Transport Services. Swiss Centre for Life Cycle Inventories, ecoinvent report No. 14.</t>
        </is>
      </c>
    </row>
    <row r="216">
      <c r="A216" t="inlineStr">
        <is>
          <t>Mercury II</t>
        </is>
      </c>
      <c r="B216" t="n">
        <v>5.0376e-15</v>
      </c>
      <c r="D216" t="inlineStr">
        <is>
          <t>kilogram</t>
        </is>
      </c>
      <c r="E216" t="inlineStr">
        <is>
          <t>air</t>
        </is>
      </c>
      <c r="F216" t="inlineStr">
        <is>
          <t>biosphere</t>
        </is>
      </c>
      <c r="H216" t="inlineStr">
        <is>
          <t>2.0E-11 kg/kg fuel for diesel locomotives, according to Spielmann et al. (2007)
Spielmann, M., Bauer, C., Dones, R., Institut, P. S., &amp; Tuchschmid, M. (2007). Transport Services. Swiss Centre for Life Cycle Inventories, ecoinvent report No. 14.</t>
        </is>
      </c>
    </row>
    <row r="217">
      <c r="A217" t="inlineStr">
        <is>
          <t>Methane, fossil</t>
        </is>
      </c>
      <c r="B217" t="n">
        <v>3.27444e-08</v>
      </c>
      <c r="D217" t="inlineStr">
        <is>
          <t>kilogram</t>
        </is>
      </c>
      <c r="E217" t="inlineStr">
        <is>
          <t>air</t>
        </is>
      </c>
      <c r="F217" t="inlineStr">
        <is>
          <t>biosphere</t>
        </is>
      </c>
      <c r="H217" t="inlineStr">
        <is>
          <t>1.3E-04 kg/kg fuel for diesel locomotives, according to Spielmann et al. (2007)
Spielmann, M., Bauer, C., Dones, R., Institut, P. S., &amp; Tuchschmid, M. (2007). Transport Services. Swiss Centre for Life Cycle Inventories, ecoinvent report No. 14.</t>
        </is>
      </c>
    </row>
    <row r="218">
      <c r="A218" t="inlineStr">
        <is>
          <t>NMVOC, non-methane volatile organic compounds</t>
        </is>
      </c>
      <c r="B218" t="n">
        <v>1.32237e-06</v>
      </c>
      <c r="D218" t="inlineStr">
        <is>
          <t>kilogram</t>
        </is>
      </c>
      <c r="E218" t="inlineStr">
        <is>
          <t>air</t>
        </is>
      </c>
      <c r="F218" t="inlineStr">
        <is>
          <t>biosphere</t>
        </is>
      </c>
      <c r="H218" t="inlineStr">
        <is>
          <t>5.25E-03 kg/kg fuel for diesel locomotives, according to Spielmann et al. (2007)
Spielmann, M., Bauer, C., Dones, R., Institut, P. S., &amp; Tuchschmid, M. (2007). Transport Services. Swiss Centre for Life Cycle Inventories, ecoinvent report No. 14.</t>
        </is>
      </c>
    </row>
    <row r="219">
      <c r="A219" t="inlineStr">
        <is>
          <t>Nickel II</t>
        </is>
      </c>
      <c r="B219" t="n">
        <v>1.76316e-11</v>
      </c>
      <c r="D219" t="inlineStr">
        <is>
          <t>kilogram</t>
        </is>
      </c>
      <c r="E219" t="inlineStr">
        <is>
          <t>air</t>
        </is>
      </c>
      <c r="F219" t="inlineStr">
        <is>
          <t>biosphere</t>
        </is>
      </c>
      <c r="H219" t="inlineStr">
        <is>
          <t>7.0E-08 kg/kg fuel for diesel locomotives, according to Spielmann et al. (2007)
Spielmann, M., Bauer, C., Dones, R., Institut, P. S., &amp; Tuchschmid, M. (2007). Transport Services. Swiss Centre for Life Cycle Inventories, ecoinvent report No. 14.</t>
        </is>
      </c>
    </row>
    <row r="220">
      <c r="A220" t="inlineStr">
        <is>
          <t>Nitrogen oxides</t>
        </is>
      </c>
      <c r="B220" t="n">
        <v>1.38534e-05</v>
      </c>
      <c r="D220" t="inlineStr">
        <is>
          <t>kilogram</t>
        </is>
      </c>
      <c r="E220" t="inlineStr">
        <is>
          <t>air</t>
        </is>
      </c>
      <c r="F220" t="inlineStr">
        <is>
          <t>biosphere</t>
        </is>
      </c>
      <c r="H220" t="inlineStr">
        <is>
          <t>5.5E-02 kg/kg fuel for diesel locomotives, according to Spielmann et al. (2007)
Spielmann, M., Bauer, C., Dones, R., Institut, P. S., &amp; Tuchschmid, M. (2007). Transport Services. Swiss Centre for Life Cycle Inventories, ecoinvent report No. 14.</t>
        </is>
      </c>
    </row>
    <row r="221">
      <c r="A221" t="inlineStr">
        <is>
          <t>Particulate Matter, &lt; 2.5 um</t>
        </is>
      </c>
      <c r="B221" t="n">
        <v>3.098124e-07</v>
      </c>
      <c r="D221" t="inlineStr">
        <is>
          <t>kilogram</t>
        </is>
      </c>
      <c r="E221" t="inlineStr">
        <is>
          <t>air</t>
        </is>
      </c>
      <c r="F221" t="inlineStr">
        <is>
          <t>biosphere</t>
        </is>
      </c>
      <c r="H221" t="inlineStr">
        <is>
          <t>1.28E-03 kg/kg fuel for diesel locomotives, according to Spielmann et al. (2007)
Spielmann, M., Bauer, C., Dones, R., Institut, P. S., &amp; Tuchschmid, M. (2007). Transport Services. Swiss Centre for Life Cycle Inventories, ecoinvent report No. 14.</t>
        </is>
      </c>
    </row>
    <row r="222">
      <c r="A222" t="inlineStr">
        <is>
          <t>Particulate Matter, &gt; 10 um</t>
        </is>
      </c>
      <c r="B222" t="n">
        <v>1.7713828212e-05</v>
      </c>
      <c r="D222" t="inlineStr">
        <is>
          <t>kilogram</t>
        </is>
      </c>
      <c r="E222" t="inlineStr">
        <is>
          <t>air</t>
        </is>
      </c>
      <c r="F222" t="inlineStr">
        <is>
          <t>biosphere</t>
        </is>
      </c>
      <c r="H222" t="inlineStr">
        <is>
          <t>4.59E-05 kg/kg fuel for diesel locomotives, according to Spielmann et al. (2007), plus
1.77E-05 kg/tkm, emission of particulates due to abrasion from rail tracks, wheels,and brakes Spielmann et al. (2007)
Spielmann, M., Bauer, C., Dones, R., Institut, P. S., &amp; Tuchschmid, M. (2007). Transport Services. Swiss Centre for Life Cycle Inventories, ecoinvent report No. 14.</t>
        </is>
      </c>
    </row>
    <row r="223">
      <c r="A223" t="inlineStr">
        <is>
          <t>Particulate Matter, &gt; 2.5 um and &lt; 10um</t>
        </is>
      </c>
      <c r="B223" t="n">
        <v>1.632695116e-05</v>
      </c>
      <c r="D223" t="inlineStr">
        <is>
          <t>kilogram</t>
        </is>
      </c>
      <c r="E223" t="inlineStr">
        <is>
          <t>air</t>
        </is>
      </c>
      <c r="F223" t="inlineStr">
        <is>
          <t>biosphere</t>
        </is>
      </c>
      <c r="H223" t="inlineStr">
        <is>
          <t>1.07E-04 kg/kg fuel for diesel locomotives, according to Spielmann et al. (2007), plus
1.63E-05 kg/tkm, emission of particulates due to abrasion from rail tracks, wheels,and brakes Spielmann et al. (2007)
Spielmann, M., Bauer, C., Dones, R., Institut, P. S., &amp; Tuchschmid, M. (2007). Transport Services. Swiss Centre for Life Cycle Inventories, ecoinvent report No. 14.</t>
        </is>
      </c>
    </row>
    <row r="224">
      <c r="A224" t="inlineStr">
        <is>
          <t>Selenium IV</t>
        </is>
      </c>
      <c r="B224" t="n">
        <v>2.5188e-12</v>
      </c>
      <c r="D224" t="inlineStr">
        <is>
          <t>kilogram</t>
        </is>
      </c>
      <c r="E224" t="inlineStr">
        <is>
          <t>air</t>
        </is>
      </c>
      <c r="F224" t="inlineStr">
        <is>
          <t>biosphere</t>
        </is>
      </c>
      <c r="H224" t="inlineStr">
        <is>
          <t>1.0E-08 kg/kg fuel for diesel locomotives, according to Spielmann et al. (2007)
Spielmann, M., Bauer, C., Dones, R., Institut, P. S., &amp; Tuchschmid, M. (2007). Transport Services. Swiss Centre for Life Cycle Inventories, ecoinvent report No. 14.</t>
        </is>
      </c>
    </row>
    <row r="225">
      <c r="A225" t="inlineStr">
        <is>
          <t>Sulfur dioxide</t>
        </is>
      </c>
      <c r="B225" t="n">
        <v>1.51128e-07</v>
      </c>
      <c r="D225" t="inlineStr">
        <is>
          <t>kilogram</t>
        </is>
      </c>
      <c r="E225" t="inlineStr">
        <is>
          <t>air</t>
        </is>
      </c>
      <c r="F225" t="inlineStr">
        <is>
          <t>biosphere</t>
        </is>
      </c>
      <c r="H225" t="inlineStr">
        <is>
          <t>6.0E-04 kg/kg fuel for diesel locomotives, according to Spielmann et al. (2007)
Spielmann, M., Bauer, C., Dones, R., Institut, P. S., &amp; Tuchschmid, M. (2007). Transport Services. Swiss Centre for Life Cycle Inventories, ecoinvent report No. 14.</t>
        </is>
      </c>
    </row>
    <row r="226">
      <c r="A226" t="inlineStr">
        <is>
          <t>Sulfur hexafluoride</t>
        </is>
      </c>
      <c r="B226" t="n">
        <v>3.14e-09</v>
      </c>
      <c r="D226" t="inlineStr">
        <is>
          <t>kilogram</t>
        </is>
      </c>
      <c r="E226" t="inlineStr">
        <is>
          <t>air</t>
        </is>
      </c>
      <c r="F226" t="inlineStr">
        <is>
          <t>biosphere</t>
        </is>
      </c>
      <c r="H226" t="inlineStr">
        <is>
          <t>3.14E-09 kg/tkm, emission of particulates due to abrasion from rail tracks, wheels,and brakes Spielmann et al. (2007)
Spielmann, M., Bauer, C., Dones, R., Institut, P. S., &amp; Tuchschmid, M. (2007). Transport Services. Swiss Centre for Life Cycle Inventories, ecoinvent report No. 14.</t>
        </is>
      </c>
    </row>
    <row r="227">
      <c r="A227" t="inlineStr">
        <is>
          <t>Toluene</t>
        </is>
      </c>
      <c r="B227" t="n">
        <v>1.00752e-08</v>
      </c>
      <c r="D227" t="inlineStr">
        <is>
          <t>kilogram</t>
        </is>
      </c>
      <c r="E227" t="inlineStr">
        <is>
          <t>air</t>
        </is>
      </c>
      <c r="F227" t="inlineStr">
        <is>
          <t>biosphere</t>
        </is>
      </c>
      <c r="H227" t="inlineStr">
        <is>
          <t>4.0E-05 kg/kg fuel for diesel locomotives, according to Spielmann et al. (2007)
Spielmann, M., Bauer, C., Dones, R., Institut, P. S., &amp; Tuchschmid, M. (2007). Transport Services. Swiss Centre for Life Cycle Inventories, ecoinvent report No. 14.</t>
        </is>
      </c>
    </row>
    <row r="228">
      <c r="A228" t="inlineStr">
        <is>
          <t>Xylene</t>
        </is>
      </c>
      <c r="B228" t="n">
        <v>1.00752e-08</v>
      </c>
      <c r="D228" t="inlineStr">
        <is>
          <t>kilogram</t>
        </is>
      </c>
      <c r="E228" t="inlineStr">
        <is>
          <t>air</t>
        </is>
      </c>
      <c r="F228" t="inlineStr">
        <is>
          <t>biosphere</t>
        </is>
      </c>
      <c r="H228" t="inlineStr">
        <is>
          <t>4.0E-05 kg/kg fuel for diesel locomotives, according to Spielmann et al. (2007)
Spielmann, M., Bauer, C., Dones, R., Institut, P. S., &amp; Tuchschmid, M. (2007). Transport Services. Swiss Centre for Life Cycle Inventories, ecoinvent report No. 14.</t>
        </is>
      </c>
    </row>
    <row r="229">
      <c r="A229" t="inlineStr">
        <is>
          <t>Zinc II</t>
        </is>
      </c>
      <c r="B229" t="n">
        <v>2.5188e-10</v>
      </c>
      <c r="D229" t="inlineStr">
        <is>
          <t>kilogram</t>
        </is>
      </c>
      <c r="E229" t="inlineStr">
        <is>
          <t>air</t>
        </is>
      </c>
      <c r="F229" t="inlineStr">
        <is>
          <t>biosphere</t>
        </is>
      </c>
      <c r="H229" t="inlineStr">
        <is>
          <t>1.0E-06 kg/kg fuel for diesel locomotives, according to Spielmann et al. (2007)
Spielmann, M., Bauer, C., Dones, R., Institut, P. S., &amp; Tuchschmid, M. (2007). Transport Services. Swiss Centre for Life Cycle Inventories, ecoinvent report No. 14.</t>
        </is>
      </c>
    </row>
    <row r="230">
      <c r="A230" t="inlineStr">
        <is>
          <t>transport, freight train, electric</t>
        </is>
      </c>
      <c r="B230" t="n">
        <v>1</v>
      </c>
      <c r="C230" t="inlineStr">
        <is>
          <t>IN</t>
        </is>
      </c>
      <c r="D230" t="inlineStr">
        <is>
          <t>ton kilometer</t>
        </is>
      </c>
      <c r="F230" t="inlineStr">
        <is>
          <t>production</t>
        </is>
      </c>
      <c r="G230" t="inlineStr">
        <is>
          <t>transport, freight train</t>
        </is>
      </c>
    </row>
    <row r="231"/>
    <row r="232">
      <c r="A232" s="2" t="inlineStr">
        <is>
          <t>Activity</t>
        </is>
      </c>
      <c r="B232" s="2" t="inlineStr">
        <is>
          <t>transport, freight train, fuel cell, hydrogen</t>
        </is>
      </c>
    </row>
    <row r="233">
      <c r="A233" t="inlineStr">
        <is>
          <t>location</t>
        </is>
      </c>
      <c r="B233" t="inlineStr">
        <is>
          <t>IN</t>
        </is>
      </c>
    </row>
    <row r="234">
      <c r="A234" t="inlineStr">
        <is>
          <t>production amount</t>
        </is>
      </c>
      <c r="B234" t="n">
        <v>1</v>
      </c>
    </row>
    <row r="235">
      <c r="A235" t="inlineStr">
        <is>
          <t>reference product</t>
        </is>
      </c>
      <c r="B235" t="inlineStr">
        <is>
          <t>transport, freight train</t>
        </is>
      </c>
    </row>
    <row r="236">
      <c r="A236" t="inlineStr">
        <is>
          <t>type</t>
        </is>
      </c>
      <c r="B236" t="inlineStr">
        <is>
          <t>process</t>
        </is>
      </c>
    </row>
    <row r="237">
      <c r="A237" t="inlineStr">
        <is>
          <t>unit</t>
        </is>
      </c>
      <c r="B237" t="inlineStr">
        <is>
          <t>ton kilometer</t>
        </is>
      </c>
    </row>
    <row r="238">
      <c r="A238" t="inlineStr">
        <is>
          <t>Exchanges</t>
        </is>
      </c>
    </row>
    <row r="239">
      <c r="A239" s="2" t="inlineStr">
        <is>
          <t>name</t>
        </is>
      </c>
      <c r="B239" s="2" t="inlineStr">
        <is>
          <t>amount</t>
        </is>
      </c>
      <c r="C239" s="2" t="inlineStr">
        <is>
          <t>location</t>
        </is>
      </c>
      <c r="D239" s="2" t="inlineStr">
        <is>
          <t>unit</t>
        </is>
      </c>
      <c r="E239" s="2" t="inlineStr">
        <is>
          <t>categories</t>
        </is>
      </c>
      <c r="F239" s="2" t="inlineStr">
        <is>
          <t>type</t>
        </is>
      </c>
      <c r="G239" s="2" t="inlineStr">
        <is>
          <t>reference product</t>
        </is>
      </c>
      <c r="H239" s="2" t="inlineStr">
        <is>
          <t>comment</t>
        </is>
      </c>
    </row>
    <row r="240">
      <c r="A240" t="inlineStr">
        <is>
          <t>market for diesel</t>
        </is>
      </c>
      <c r="B240" t="n">
        <v>0.00025188</v>
      </c>
      <c r="C240" t="inlineStr">
        <is>
          <t>IN</t>
        </is>
      </c>
      <c r="D240" t="inlineStr">
        <is>
          <t>kilogram</t>
        </is>
      </c>
      <c r="F240" t="inlineStr">
        <is>
          <t>technosphere</t>
        </is>
      </c>
      <c r="G240" t="inlineStr">
        <is>
          <t>diesel</t>
        </is>
      </c>
      <c r="H240" t="inlineStr">
        <is>
          <t>The energy consumption for shunting processes is added. The shunting process is assumed to be done by diesel shunting locomotives exclusivley. The specific diesel consumption for the shunting is taken from the regional ecoinvent datasets "transport, freight train, electric".</t>
        </is>
      </c>
    </row>
    <row r="241">
      <c r="A241" t="inlineStr">
        <is>
          <t>market for hydrogen, gaseous</t>
        </is>
      </c>
      <c r="B241" t="n">
        <v>0.001817155305147919</v>
      </c>
      <c r="C241" t="inlineStr">
        <is>
          <t>GLO</t>
        </is>
      </c>
      <c r="D241" t="inlineStr">
        <is>
          <t>kilogram</t>
        </is>
      </c>
      <c r="F241" t="inlineStr">
        <is>
          <t>technosphere</t>
        </is>
      </c>
      <c r="G241" t="inlineStr">
        <is>
          <t>hydrogen, gaseous</t>
        </is>
      </c>
      <c r="H241"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t>
        </is>
      </c>
    </row>
    <row r="242">
      <c r="A242" t="inlineStr">
        <is>
          <t>production of locomotive, fuel cell, hydrogen</t>
        </is>
      </c>
      <c r="B242" t="n">
        <v>3.5159e-10</v>
      </c>
      <c r="C242" t="inlineStr">
        <is>
          <t>GLO</t>
        </is>
      </c>
      <c r="D242" t="inlineStr">
        <is>
          <t>unit</t>
        </is>
      </c>
      <c r="F242" t="inlineStr">
        <is>
          <t>technosphere</t>
        </is>
      </c>
      <c r="G242" t="inlineStr">
        <is>
          <t>locomotive fuel cell, hydrogen</t>
        </is>
      </c>
      <c r="H242" t="inlineStr">
        <is>
          <t>taken from ecoinvent "transport, freight train, diesel - IN", as the hydrogen locomotive has similar output power as the diesel-electric train, and it is assumed that diesel trains can used for retrofitting HFC-systems</t>
        </is>
      </c>
    </row>
    <row r="243">
      <c r="A243" t="inlineStr">
        <is>
          <t>market for maintenance, locomotive</t>
        </is>
      </c>
      <c r="B243" t="n">
        <v>3.5159e-10</v>
      </c>
      <c r="C243" t="inlineStr">
        <is>
          <t>GLO</t>
        </is>
      </c>
      <c r="D243" t="inlineStr">
        <is>
          <t>unit</t>
        </is>
      </c>
      <c r="F243" t="inlineStr">
        <is>
          <t>technosphere</t>
        </is>
      </c>
      <c r="G243" t="inlineStr">
        <is>
          <t>maintenance, locomotive</t>
        </is>
      </c>
      <c r="H243" t="inlineStr">
        <is>
          <t>taken from ecoinvent "transport, freight train, diesel - IN", as the hydrogen locomotive has similar output power as the diesel-electric train, and it is assumed that diesel trains can used for retrofitting HFC-systems</t>
        </is>
      </c>
    </row>
    <row r="244">
      <c r="A244" t="inlineStr">
        <is>
          <t>market for goods wagon</t>
        </is>
      </c>
      <c r="B244" t="n">
        <v>1.1206e-08</v>
      </c>
      <c r="C244" t="inlineStr">
        <is>
          <t>GLO</t>
        </is>
      </c>
      <c r="D244" t="inlineStr">
        <is>
          <t>unit</t>
        </is>
      </c>
      <c r="F244" t="inlineStr">
        <is>
          <t>technosphere</t>
        </is>
      </c>
      <c r="G244" t="inlineStr">
        <is>
          <t>goods wagon</t>
        </is>
      </c>
      <c r="H244" t="inlineStr">
        <is>
          <t>taken from ecoinvent "transport, freight train, diesel - IN", as the hydrogen locomotive has similar output power as the diesel-electric train, and it is assumed that diesel trains can used for retrofitting HFC-systems</t>
        </is>
      </c>
    </row>
    <row r="245">
      <c r="A245" t="inlineStr">
        <is>
          <t>market for maintenance, goods wagon</t>
        </is>
      </c>
      <c r="B245" t="n">
        <v>1.1206e-08</v>
      </c>
      <c r="C245" t="inlineStr">
        <is>
          <t>GLO</t>
        </is>
      </c>
      <c r="D245" t="inlineStr">
        <is>
          <t>unit</t>
        </is>
      </c>
      <c r="F245" t="inlineStr">
        <is>
          <t>technosphere</t>
        </is>
      </c>
      <c r="G245" t="inlineStr">
        <is>
          <t>maintenance, goods wagon</t>
        </is>
      </c>
      <c r="H245" t="inlineStr">
        <is>
          <t>taken from ecoinvent "transport, freight train, diesel - IN", as the hydrogen locomotive has similar output power as the diesel-electric train, and it is assumed that diesel trains can used for retrofitting HFC-systems</t>
        </is>
      </c>
    </row>
    <row r="246">
      <c r="A246" t="inlineStr">
        <is>
          <t>market for railway track</t>
        </is>
      </c>
      <c r="B246" t="n">
        <v>4.505e-05</v>
      </c>
      <c r="C246" t="inlineStr">
        <is>
          <t>GLO</t>
        </is>
      </c>
      <c r="D246" t="inlineStr">
        <is>
          <t>meter-year</t>
        </is>
      </c>
      <c r="F246" t="inlineStr">
        <is>
          <t>technosphere</t>
        </is>
      </c>
      <c r="G246" t="inlineStr">
        <is>
          <t>railway track</t>
        </is>
      </c>
      <c r="H246" t="inlineStr">
        <is>
          <t>taken from ecoinvent "transport, freight train, diesel - IN", as the hydrogen locomotive has similar output power as the diesel-electric train, and it is assumed that diesel trains can used for retrofitting HFC-systems</t>
        </is>
      </c>
    </row>
    <row r="247">
      <c r="A247" t="inlineStr">
        <is>
          <t>Ammonia</t>
        </is>
      </c>
      <c r="B247" t="n">
        <v>5.037600000000001e-09</v>
      </c>
      <c r="D247" t="inlineStr">
        <is>
          <t>kilogram</t>
        </is>
      </c>
      <c r="E247" t="inlineStr">
        <is>
          <t>air</t>
        </is>
      </c>
      <c r="F247" t="inlineStr">
        <is>
          <t>biosphere</t>
        </is>
      </c>
      <c r="H247" t="inlineStr">
        <is>
          <t>2.0E-05 kg/kg fuel for diesel locomotives, according to Spielmann et al. (2007)
Spielmann, M., Bauer, C., Dones, R., Institut, P. S., &amp; Tuchschmid, M. (2007). Transport Services. Swiss Centre for Life Cycle Inventories, ecoinvent report No. 14.</t>
        </is>
      </c>
    </row>
    <row r="248">
      <c r="A248" t="inlineStr">
        <is>
          <t>Benzene</t>
        </is>
      </c>
      <c r="B248" t="n">
        <v>2.5188e-08</v>
      </c>
      <c r="D248" t="inlineStr">
        <is>
          <t>kilogram</t>
        </is>
      </c>
      <c r="E248" t="inlineStr">
        <is>
          <t>air</t>
        </is>
      </c>
      <c r="F248" t="inlineStr">
        <is>
          <t>biosphere</t>
        </is>
      </c>
      <c r="H248" t="inlineStr">
        <is>
          <t>1.0E-04 kg/kg fuel for diesel locomotives, according to Spielmann et al. (2007)
Spielmann, M., Bauer, C., Dones, R., Institut, P. S., &amp; Tuchschmid, M. (2007). Transport Services. Swiss Centre for Life Cycle Inventories, ecoinvent report No. 14.</t>
        </is>
      </c>
    </row>
    <row r="249">
      <c r="A249" t="inlineStr">
        <is>
          <t>Cadmium II</t>
        </is>
      </c>
      <c r="B249" t="n">
        <v>2.5188e-12</v>
      </c>
      <c r="D249" t="inlineStr">
        <is>
          <t>kilogram</t>
        </is>
      </c>
      <c r="E249" t="inlineStr">
        <is>
          <t>air</t>
        </is>
      </c>
      <c r="F249" t="inlineStr">
        <is>
          <t>biosphere</t>
        </is>
      </c>
      <c r="H249" t="inlineStr">
        <is>
          <t>1.0E-08 kg/kg fuel for diesel locomotives, according to Spielmann et al. (2007)
Spielmann, M., Bauer, C., Dones, R., Institut, P. S., &amp; Tuchschmid, M. (2007). Transport Services. Swiss Centre for Life Cycle Inventories, ecoinvent report No. 14.</t>
        </is>
      </c>
    </row>
    <row r="250">
      <c r="A250" t="inlineStr">
        <is>
          <t>Carbon dioxide, fossil</t>
        </is>
      </c>
      <c r="B250" t="n">
        <v>0.00079241448</v>
      </c>
      <c r="D250" t="inlineStr">
        <is>
          <t>kilogram</t>
        </is>
      </c>
      <c r="E250" t="inlineStr">
        <is>
          <t>air</t>
        </is>
      </c>
      <c r="F250" t="inlineStr">
        <is>
          <t>biosphere</t>
        </is>
      </c>
      <c r="H250" t="inlineStr">
        <is>
          <t>3.146 kg/kg fuel for diesel locomotives, according to Spielmann et al. (2007)
Spielmann, M., Bauer, C., Dones, R., Institut, P. S., &amp; Tuchschmid, M. (2007). Transport Services. Swiss Centre for Life Cycle Inventories, ecoinvent report No. 14.</t>
        </is>
      </c>
    </row>
    <row r="251">
      <c r="A251" t="inlineStr">
        <is>
          <t>Carbon monoxide, fossil</t>
        </is>
      </c>
      <c r="B251" t="n">
        <v>3.979704e-06</v>
      </c>
      <c r="D251" t="inlineStr">
        <is>
          <t>kilogram</t>
        </is>
      </c>
      <c r="E251" t="inlineStr">
        <is>
          <t>air</t>
        </is>
      </c>
      <c r="F251" t="inlineStr">
        <is>
          <t>biosphere</t>
        </is>
      </c>
      <c r="H251" t="inlineStr">
        <is>
          <t>1.58E-02 kg/kg fuel for diesel locomotives, according to Spielmann et al. (2007)
Spielmann, M., Bauer, C., Dones, R., Institut, P. S., &amp; Tuchschmid, M. (2007). Transport Services. Swiss Centre for Life Cycle Inventories, ecoinvent report No. 14.</t>
        </is>
      </c>
    </row>
    <row r="252">
      <c r="A252" t="inlineStr">
        <is>
          <t>Chromium III</t>
        </is>
      </c>
      <c r="B252" t="n">
        <v>1.2594e-11</v>
      </c>
      <c r="D252" t="inlineStr">
        <is>
          <t>kilogram</t>
        </is>
      </c>
      <c r="E252" t="inlineStr">
        <is>
          <t>air</t>
        </is>
      </c>
      <c r="F252" t="inlineStr">
        <is>
          <t>biosphere</t>
        </is>
      </c>
      <c r="H252" t="inlineStr">
        <is>
          <t>5.0E-08 kg/kg fuel for diesel locomotives, according to Spielmann et al. (2007)
Spielmann, M., Bauer, C., Dones, R., Institut, P. S., &amp; Tuchschmid, M. (2007). Transport Services. Swiss Centre for Life Cycle Inventories, ecoinvent report No. 14.</t>
        </is>
      </c>
    </row>
    <row r="253">
      <c r="A253" t="inlineStr">
        <is>
          <t>Copper ion</t>
        </is>
      </c>
      <c r="B253" t="n">
        <v>4.28196e-10</v>
      </c>
      <c r="D253" t="inlineStr">
        <is>
          <t>kilogram</t>
        </is>
      </c>
      <c r="E253" t="inlineStr">
        <is>
          <t>air</t>
        </is>
      </c>
      <c r="F253" t="inlineStr">
        <is>
          <t>biosphere</t>
        </is>
      </c>
      <c r="H253" t="inlineStr">
        <is>
          <t>1.7E-06 kg/kg fuel for diesel locomotives, according to Spielmann et al. (2007)
Spielmann, M., Bauer, C., Dones, R., Institut, P. S., &amp; Tuchschmid, M. (2007). Transport Services. Swiss Centre for Life Cycle Inventories, ecoinvent report No. 14.</t>
        </is>
      </c>
    </row>
    <row r="254">
      <c r="A254" t="inlineStr">
        <is>
          <t>Dinitrogen monoxide</t>
        </is>
      </c>
      <c r="B254" t="n">
        <v>2.5188e-08</v>
      </c>
      <c r="D254" t="inlineStr">
        <is>
          <t>kilogram</t>
        </is>
      </c>
      <c r="E254" t="inlineStr">
        <is>
          <t>air</t>
        </is>
      </c>
      <c r="F254" t="inlineStr">
        <is>
          <t>biosphere</t>
        </is>
      </c>
      <c r="H254" t="inlineStr">
        <is>
          <t>1.0E-04 kg/kg fuel for diesel locomotives, according to Spielmann et al. (2007)
Spielmann, M., Bauer, C., Dones, R., Institut, P. S., &amp; Tuchschmid, M. (2007). Transport Services. Swiss Centre for Life Cycle Inventories, ecoinvent report No. 14.</t>
        </is>
      </c>
    </row>
    <row r="255">
      <c r="A255" t="inlineStr">
        <is>
          <t>Iron ion</t>
        </is>
      </c>
      <c r="B255" t="n">
        <v>0</v>
      </c>
      <c r="D255" t="inlineStr">
        <is>
          <t>kilogram</t>
        </is>
      </c>
      <c r="E255" t="inlineStr">
        <is>
          <t>soil</t>
        </is>
      </c>
      <c r="F255" t="inlineStr">
        <is>
          <t>biosphere</t>
        </is>
      </c>
      <c r="H255" t="inlineStr">
        <is>
          <t>1.24E-05 kg/tkm, emission of particulates due to abrasion from rail tracks, wheels,and brakes Spielmann et al. (2007)
Spielmann, M., Bauer, C., Dones, R., Institut, P. S., &amp; Tuchschmid, M. (2007). Transport Services. Swiss Centre for Life Cycle Inventories, ecoinvent report No. 14.</t>
        </is>
      </c>
    </row>
    <row r="256">
      <c r="A256" t="inlineStr">
        <is>
          <t>Lead II</t>
        </is>
      </c>
      <c r="B256" t="n">
        <v>2.77068e-14</v>
      </c>
      <c r="D256" t="inlineStr">
        <is>
          <t>kilogram</t>
        </is>
      </c>
      <c r="E256" t="inlineStr">
        <is>
          <t>air</t>
        </is>
      </c>
      <c r="F256" t="inlineStr">
        <is>
          <t>biosphere</t>
        </is>
      </c>
      <c r="H256" t="inlineStr">
        <is>
          <t>1.1E-10 kg/kg fuel for diesel locomotives, according to Spielmann et al. (2007)
Spielmann, M., Bauer, C., Dones, R., Institut, P. S., &amp; Tuchschmid, M. (2007). Transport Services. Swiss Centre for Life Cycle Inventories, ecoinvent report No. 14.</t>
        </is>
      </c>
    </row>
    <row r="257">
      <c r="A257" t="inlineStr">
        <is>
          <t>Mercury II</t>
        </is>
      </c>
      <c r="B257" t="n">
        <v>5.0376e-15</v>
      </c>
      <c r="D257" t="inlineStr">
        <is>
          <t>kilogram</t>
        </is>
      </c>
      <c r="E257" t="inlineStr">
        <is>
          <t>air</t>
        </is>
      </c>
      <c r="F257" t="inlineStr">
        <is>
          <t>biosphere</t>
        </is>
      </c>
      <c r="H257" t="inlineStr">
        <is>
          <t>2.0E-11 kg/kg fuel for diesel locomotives, according to Spielmann et al. (2007)
Spielmann, M., Bauer, C., Dones, R., Institut, P. S., &amp; Tuchschmid, M. (2007). Transport Services. Swiss Centre for Life Cycle Inventories, ecoinvent report No. 14.</t>
        </is>
      </c>
    </row>
    <row r="258">
      <c r="A258" t="inlineStr">
        <is>
          <t>Methane, fossil</t>
        </is>
      </c>
      <c r="B258" t="n">
        <v>3.27444e-08</v>
      </c>
      <c r="D258" t="inlineStr">
        <is>
          <t>kilogram</t>
        </is>
      </c>
      <c r="E258" t="inlineStr">
        <is>
          <t>air</t>
        </is>
      </c>
      <c r="F258" t="inlineStr">
        <is>
          <t>biosphere</t>
        </is>
      </c>
      <c r="H258" t="inlineStr">
        <is>
          <t>1.3E-04 kg/kg fuel for diesel locomotives, according to Spielmann et al. (2007)
Spielmann, M., Bauer, C., Dones, R., Institut, P. S., &amp; Tuchschmid, M. (2007). Transport Services. Swiss Centre for Life Cycle Inventories, ecoinvent report No. 14.</t>
        </is>
      </c>
    </row>
    <row r="259">
      <c r="A259" t="inlineStr">
        <is>
          <t>NMVOC, non-methane volatile organic compounds</t>
        </is>
      </c>
      <c r="B259" t="n">
        <v>1.32237e-06</v>
      </c>
      <c r="D259" t="inlineStr">
        <is>
          <t>kilogram</t>
        </is>
      </c>
      <c r="E259" t="inlineStr">
        <is>
          <t>air</t>
        </is>
      </c>
      <c r="F259" t="inlineStr">
        <is>
          <t>biosphere</t>
        </is>
      </c>
      <c r="H259" t="inlineStr">
        <is>
          <t>5.25E-03 kg/kg fuel for diesel locomotives, according to Spielmann et al. (2007)
Spielmann, M., Bauer, C., Dones, R., Institut, P. S., &amp; Tuchschmid, M. (2007). Transport Services. Swiss Centre for Life Cycle Inventories, ecoinvent report No. 14.</t>
        </is>
      </c>
    </row>
    <row r="260">
      <c r="A260" t="inlineStr">
        <is>
          <t>Nickel II</t>
        </is>
      </c>
      <c r="B260" t="n">
        <v>1.76316e-11</v>
      </c>
      <c r="D260" t="inlineStr">
        <is>
          <t>kilogram</t>
        </is>
      </c>
      <c r="E260" t="inlineStr">
        <is>
          <t>air</t>
        </is>
      </c>
      <c r="F260" t="inlineStr">
        <is>
          <t>biosphere</t>
        </is>
      </c>
      <c r="H260" t="inlineStr">
        <is>
          <t>7.0E-08 kg/kg fuel for diesel locomotives, according to Spielmann et al. (2007)
Spielmann, M., Bauer, C., Dones, R., Institut, P. S., &amp; Tuchschmid, M. (2007). Transport Services. Swiss Centre for Life Cycle Inventories, ecoinvent report No. 14.</t>
        </is>
      </c>
    </row>
    <row r="261">
      <c r="A261" t="inlineStr">
        <is>
          <t>Nitrogen oxides</t>
        </is>
      </c>
      <c r="B261" t="n">
        <v>1.38534e-05</v>
      </c>
      <c r="D261" t="inlineStr">
        <is>
          <t>kilogram</t>
        </is>
      </c>
      <c r="E261" t="inlineStr">
        <is>
          <t>air</t>
        </is>
      </c>
      <c r="F261" t="inlineStr">
        <is>
          <t>biosphere</t>
        </is>
      </c>
      <c r="H261" t="inlineStr">
        <is>
          <t>5.5E-02 kg/kg fuel for diesel locomotives, according to Spielmann et al. (2007)
Spielmann, M., Bauer, C., Dones, R., Institut, P. S., &amp; Tuchschmid, M. (2007). Transport Services. Swiss Centre for Life Cycle Inventories, ecoinvent report No. 14.</t>
        </is>
      </c>
    </row>
    <row r="262">
      <c r="A262" t="inlineStr">
        <is>
          <t>Particulate Matter, &lt; 2.5 um</t>
        </is>
      </c>
      <c r="B262" t="n">
        <v>3.098124e-07</v>
      </c>
      <c r="D262" t="inlineStr">
        <is>
          <t>kilogram</t>
        </is>
      </c>
      <c r="E262" t="inlineStr">
        <is>
          <t>air</t>
        </is>
      </c>
      <c r="F262" t="inlineStr">
        <is>
          <t>biosphere</t>
        </is>
      </c>
      <c r="H262" t="inlineStr">
        <is>
          <t>1.28E-03 kg/kg fuel for diesel locomotives, according to Spielmann et al. (2007)
Spielmann, M., Bauer, C., Dones, R., Institut, P. S., &amp; Tuchschmid, M. (2007). Transport Services. Swiss Centre for Life Cycle Inventories, ecoinvent report No. 14.</t>
        </is>
      </c>
    </row>
    <row r="263">
      <c r="A263" t="inlineStr">
        <is>
          <t>Particulate Matter, &gt; 10 um</t>
        </is>
      </c>
      <c r="B263" t="n">
        <v>1.7713828212e-05</v>
      </c>
      <c r="D263" t="inlineStr">
        <is>
          <t>kilogram</t>
        </is>
      </c>
      <c r="E263" t="inlineStr">
        <is>
          <t>air</t>
        </is>
      </c>
      <c r="F263" t="inlineStr">
        <is>
          <t>biosphere</t>
        </is>
      </c>
      <c r="H263" t="inlineStr">
        <is>
          <t>4.59E-05 kg/kg fuel for diesel locomotives, according to Spielmann et al. (2007), plus
1.77E-05 kg/tkm, emission of particulates due to abrasion from rail tracks, wheels,and brakes Spielmann et al. (2007)
Spielmann, M., Bauer, C., Dones, R., Institut, P. S., &amp; Tuchschmid, M. (2007). Transport Services. Swiss Centre for Life Cycle Inventories, ecoinvent report No. 14.</t>
        </is>
      </c>
    </row>
    <row r="264">
      <c r="A264" t="inlineStr">
        <is>
          <t>Particulate Matter, &gt; 2.5 um and &lt; 10um</t>
        </is>
      </c>
      <c r="B264" t="n">
        <v>1.632695116e-05</v>
      </c>
      <c r="D264" t="inlineStr">
        <is>
          <t>kilogram</t>
        </is>
      </c>
      <c r="E264" t="inlineStr">
        <is>
          <t>air</t>
        </is>
      </c>
      <c r="F264" t="inlineStr">
        <is>
          <t>biosphere</t>
        </is>
      </c>
      <c r="H264" t="inlineStr">
        <is>
          <t>1.07E-04 kg/kg fuel for diesel locomotives, according to Spielmann et al. (2007), plus
1.63E-05 kg/tkm, emission of particulates due to abrasion from rail tracks, wheels,and brakes Spielmann et al. (2007)
Spielmann, M., Bauer, C., Dones, R., Institut, P. S., &amp; Tuchschmid, M. (2007). Transport Services. Swiss Centre for Life Cycle Inventories, ecoinvent report No. 14.</t>
        </is>
      </c>
    </row>
    <row r="265">
      <c r="A265" t="inlineStr">
        <is>
          <t>Selenium IV</t>
        </is>
      </c>
      <c r="B265" t="n">
        <v>2.5188e-12</v>
      </c>
      <c r="D265" t="inlineStr">
        <is>
          <t>kilogram</t>
        </is>
      </c>
      <c r="E265" t="inlineStr">
        <is>
          <t>air</t>
        </is>
      </c>
      <c r="F265" t="inlineStr">
        <is>
          <t>biosphere</t>
        </is>
      </c>
      <c r="H265" t="inlineStr">
        <is>
          <t>1.0E-08 kg/kg fuel for diesel locomotives, according to Spielmann et al. (2007)
Spielmann, M., Bauer, C., Dones, R., Institut, P. S., &amp; Tuchschmid, M. (2007). Transport Services. Swiss Centre for Life Cycle Inventories, ecoinvent report No. 14.</t>
        </is>
      </c>
    </row>
    <row r="266">
      <c r="A266" t="inlineStr">
        <is>
          <t>Sulfur dioxide</t>
        </is>
      </c>
      <c r="B266" t="n">
        <v>1.51128e-07</v>
      </c>
      <c r="D266" t="inlineStr">
        <is>
          <t>kilogram</t>
        </is>
      </c>
      <c r="E266" t="inlineStr">
        <is>
          <t>air</t>
        </is>
      </c>
      <c r="F266" t="inlineStr">
        <is>
          <t>biosphere</t>
        </is>
      </c>
      <c r="H266" t="inlineStr">
        <is>
          <t>6.0E-04 kg/kg fuel for diesel locomotives, according to Spielmann et al. (2007)
Spielmann, M., Bauer, C., Dones, R., Institut, P. S., &amp; Tuchschmid, M. (2007). Transport Services. Swiss Centre for Life Cycle Inventories, ecoinvent report No. 14.</t>
        </is>
      </c>
    </row>
    <row r="267">
      <c r="A267" t="inlineStr">
        <is>
          <t>Toluene</t>
        </is>
      </c>
      <c r="B267" t="n">
        <v>1.00752e-08</v>
      </c>
      <c r="D267" t="inlineStr">
        <is>
          <t>kilogram</t>
        </is>
      </c>
      <c r="E267" t="inlineStr">
        <is>
          <t>air</t>
        </is>
      </c>
      <c r="F267" t="inlineStr">
        <is>
          <t>biosphere</t>
        </is>
      </c>
      <c r="H267" t="inlineStr">
        <is>
          <t>4.0E-05 kg/kg fuel for diesel locomotives, according to Spielmann et al. (2007)
Spielmann, M., Bauer, C., Dones, R., Institut, P. S., &amp; Tuchschmid, M. (2007). Transport Services. Swiss Centre for Life Cycle Inventories, ecoinvent report No. 14.</t>
        </is>
      </c>
    </row>
    <row r="268">
      <c r="A268" t="inlineStr">
        <is>
          <t>Xylene</t>
        </is>
      </c>
      <c r="B268" t="n">
        <v>1.00752e-08</v>
      </c>
      <c r="D268" t="inlineStr">
        <is>
          <t>kilogram</t>
        </is>
      </c>
      <c r="E268" t="inlineStr">
        <is>
          <t>air</t>
        </is>
      </c>
      <c r="F268" t="inlineStr">
        <is>
          <t>biosphere</t>
        </is>
      </c>
      <c r="H268" t="inlineStr">
        <is>
          <t>4.0E-05 kg/kg fuel for diesel locomotives, according to Spielmann et al. (2007)
Spielmann, M., Bauer, C., Dones, R., Institut, P. S., &amp; Tuchschmid, M. (2007). Transport Services. Swiss Centre for Life Cycle Inventories, ecoinvent report No. 14.</t>
        </is>
      </c>
    </row>
    <row r="269">
      <c r="A269" t="inlineStr">
        <is>
          <t>Zinc II</t>
        </is>
      </c>
      <c r="B269" t="n">
        <v>2.5188e-10</v>
      </c>
      <c r="D269" t="inlineStr">
        <is>
          <t>kilogram</t>
        </is>
      </c>
      <c r="E269" t="inlineStr">
        <is>
          <t>air</t>
        </is>
      </c>
      <c r="F269" t="inlineStr">
        <is>
          <t>biosphere</t>
        </is>
      </c>
      <c r="H269" t="inlineStr">
        <is>
          <t>1.0E-06 kg/kg fuel for diesel locomotives, according to Spielmann et al. (2007)
Spielmann, M., Bauer, C., Dones, R., Institut, P. S., &amp; Tuchschmid, M. (2007). Transport Services. Swiss Centre for Life Cycle Inventories, ecoinvent report No. 14.</t>
        </is>
      </c>
    </row>
    <row r="270">
      <c r="A270" t="inlineStr">
        <is>
          <t>transport, freight train, fuel cell, hydrogen</t>
        </is>
      </c>
      <c r="B270" t="n">
        <v>1</v>
      </c>
      <c r="C270" t="inlineStr">
        <is>
          <t>IN</t>
        </is>
      </c>
      <c r="D270" t="inlineStr">
        <is>
          <t>ton kilometer</t>
        </is>
      </c>
      <c r="F270" t="inlineStr">
        <is>
          <t>production</t>
        </is>
      </c>
      <c r="G270" t="inlineStr">
        <is>
          <t>transport, freight train</t>
        </is>
      </c>
    </row>
    <row r="271"/>
    <row r="272">
      <c r="A272" s="2" t="inlineStr">
        <is>
          <t>Activity</t>
        </is>
      </c>
      <c r="B272" s="2" t="inlineStr">
        <is>
          <t>transport, freight train, diesel-electric</t>
        </is>
      </c>
    </row>
    <row r="273">
      <c r="A273" t="inlineStr">
        <is>
          <t>location</t>
        </is>
      </c>
      <c r="B273" t="inlineStr">
        <is>
          <t>CN</t>
        </is>
      </c>
    </row>
    <row r="274">
      <c r="A274" t="inlineStr">
        <is>
          <t>production amount</t>
        </is>
      </c>
      <c r="B274" t="n">
        <v>1</v>
      </c>
    </row>
    <row r="275">
      <c r="A275" t="inlineStr">
        <is>
          <t>reference product</t>
        </is>
      </c>
      <c r="B275" t="inlineStr">
        <is>
          <t>transport, freight train</t>
        </is>
      </c>
    </row>
    <row r="276">
      <c r="A276" t="inlineStr">
        <is>
          <t>type</t>
        </is>
      </c>
      <c r="B276" t="inlineStr">
        <is>
          <t>process</t>
        </is>
      </c>
    </row>
    <row r="277">
      <c r="A277" t="inlineStr">
        <is>
          <t>unit</t>
        </is>
      </c>
      <c r="B277" t="inlineStr">
        <is>
          <t>ton kilometer</t>
        </is>
      </c>
    </row>
    <row r="278">
      <c r="A278" t="inlineStr">
        <is>
          <t>Exchanges</t>
        </is>
      </c>
    </row>
    <row r="279">
      <c r="A279" s="2" t="inlineStr">
        <is>
          <t>name</t>
        </is>
      </c>
      <c r="B279" s="2" t="inlineStr">
        <is>
          <t>amount</t>
        </is>
      </c>
      <c r="C279" s="2" t="inlineStr">
        <is>
          <t>location</t>
        </is>
      </c>
      <c r="D279" s="2" t="inlineStr">
        <is>
          <t>unit</t>
        </is>
      </c>
      <c r="E279" s="2" t="inlineStr">
        <is>
          <t>categories</t>
        </is>
      </c>
      <c r="F279" s="2" t="inlineStr">
        <is>
          <t>type</t>
        </is>
      </c>
      <c r="G279" s="2" t="inlineStr">
        <is>
          <t>reference product</t>
        </is>
      </c>
      <c r="H279" s="2" t="inlineStr">
        <is>
          <t>comment</t>
        </is>
      </c>
    </row>
    <row r="280">
      <c r="A280" t="inlineStr">
        <is>
          <t>market for diesel</t>
        </is>
      </c>
      <c r="B280" t="n">
        <v>0.004807254694579305</v>
      </c>
      <c r="C280" t="inlineStr">
        <is>
          <t>RoW</t>
        </is>
      </c>
      <c r="D280" t="inlineStr">
        <is>
          <t>kilogram</t>
        </is>
      </c>
      <c r="F280" t="inlineStr">
        <is>
          <t>technosphere</t>
        </is>
      </c>
      <c r="G280" t="inlineStr">
        <is>
          <t>diesel</t>
        </is>
      </c>
      <c r="H280"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
Additional the energy consumption for shunting processes is added. The shunting processe is assumed to be done by diesel shunting locomotives exclusivley. The specific diesel consumption for the shunting is taken from the regional ecoinvent datasets "transport, freight train, electric".</t>
        </is>
      </c>
    </row>
    <row r="281">
      <c r="A281" t="inlineStr">
        <is>
          <t>production of locomotive, diesel-electric</t>
        </is>
      </c>
      <c r="B281" t="n">
        <v>7.11e-10</v>
      </c>
      <c r="C281" t="inlineStr">
        <is>
          <t>GLO</t>
        </is>
      </c>
      <c r="D281" t="inlineStr">
        <is>
          <t>unit</t>
        </is>
      </c>
      <c r="F281" t="inlineStr">
        <is>
          <t>technosphere</t>
        </is>
      </c>
      <c r="G281" t="inlineStr">
        <is>
          <t>locomotive diesel-electric</t>
        </is>
      </c>
      <c r="H281" t="inlineStr">
        <is>
          <t>taken from ecoinvent inventor "transport, frieght train, diesel - CN"</t>
        </is>
      </c>
    </row>
    <row r="282">
      <c r="A282" t="inlineStr">
        <is>
          <t>market for maintenance, locomotive</t>
        </is>
      </c>
      <c r="B282" t="n">
        <v>7.11e-10</v>
      </c>
      <c r="C282" t="inlineStr">
        <is>
          <t>GLO</t>
        </is>
      </c>
      <c r="D282" t="inlineStr">
        <is>
          <t>unit</t>
        </is>
      </c>
      <c r="F282" t="inlineStr">
        <is>
          <t>technosphere</t>
        </is>
      </c>
      <c r="G282" t="inlineStr">
        <is>
          <t>maintenance, locomotive</t>
        </is>
      </c>
      <c r="H282" t="inlineStr">
        <is>
          <t>taken from ecoinvent inventor "transport, frieght train, diesel - CN"</t>
        </is>
      </c>
    </row>
    <row r="283">
      <c r="A283" t="inlineStr">
        <is>
          <t>market for goods wagon</t>
        </is>
      </c>
      <c r="B283" t="n">
        <v>4.59e-08</v>
      </c>
      <c r="C283" t="inlineStr">
        <is>
          <t>GLO</t>
        </is>
      </c>
      <c r="D283" t="inlineStr">
        <is>
          <t>unit</t>
        </is>
      </c>
      <c r="F283" t="inlineStr">
        <is>
          <t>technosphere</t>
        </is>
      </c>
      <c r="G283" t="inlineStr">
        <is>
          <t>goods wagon</t>
        </is>
      </c>
      <c r="H283" t="inlineStr">
        <is>
          <t>taken from ecoinvent inventor "transport, frieght train, diesel - CN"</t>
        </is>
      </c>
    </row>
    <row r="284">
      <c r="A284" t="inlineStr">
        <is>
          <t>market for maintenance, goods wagon</t>
        </is>
      </c>
      <c r="B284" t="n">
        <v>4.59e-08</v>
      </c>
      <c r="C284" t="inlineStr">
        <is>
          <t>GLO</t>
        </is>
      </c>
      <c r="D284" t="inlineStr">
        <is>
          <t>unit</t>
        </is>
      </c>
      <c r="F284" t="inlineStr">
        <is>
          <t>technosphere</t>
        </is>
      </c>
      <c r="G284" t="inlineStr">
        <is>
          <t>maintenance, goods wagon</t>
        </is>
      </c>
      <c r="H284" t="inlineStr">
        <is>
          <t>taken from ecoinvent inventor "transport, frieght train, diesel - CN"</t>
        </is>
      </c>
    </row>
    <row r="285">
      <c r="A285" t="inlineStr">
        <is>
          <t>market for railway track</t>
        </is>
      </c>
      <c r="B285" t="n">
        <v>9.3e-05</v>
      </c>
      <c r="C285" t="inlineStr">
        <is>
          <t>GLO</t>
        </is>
      </c>
      <c r="D285" t="inlineStr">
        <is>
          <t>meter-year</t>
        </is>
      </c>
      <c r="F285" t="inlineStr">
        <is>
          <t>technosphere</t>
        </is>
      </c>
      <c r="G285" t="inlineStr">
        <is>
          <t>railway track</t>
        </is>
      </c>
      <c r="H285" t="inlineStr">
        <is>
          <t>taken from ecoinvent inventor "transport, frieght train, diesel - CN"</t>
        </is>
      </c>
    </row>
    <row r="286">
      <c r="A286" t="inlineStr">
        <is>
          <t>Ammonia</t>
        </is>
      </c>
      <c r="B286" t="n">
        <v>8.681249283361861e-08</v>
      </c>
      <c r="D286" t="inlineStr">
        <is>
          <t>kilogram</t>
        </is>
      </c>
      <c r="E286" t="inlineStr">
        <is>
          <t>air</t>
        </is>
      </c>
      <c r="F286" t="inlineStr">
        <is>
          <t>biosphere</t>
        </is>
      </c>
      <c r="H286" t="inlineStr">
        <is>
          <t>2.0E-05 kg/kg fuel for diesel locomotives, according to Spielmann et al. (2007)
Spielmann, M., Bauer, C., Dones, R., Institut, P. S., &amp; Tuchschmid, M. (2007). Transport Services. Swiss Centre for Life Cycle Inventories, ecoinvent report No. 14.</t>
        </is>
      </c>
    </row>
    <row r="287">
      <c r="A287" t="inlineStr">
        <is>
          <t>Benzene</t>
        </is>
      </c>
      <c r="B287" t="n">
        <v>4.340624641680931e-07</v>
      </c>
      <c r="D287" t="inlineStr">
        <is>
          <t>kilogram</t>
        </is>
      </c>
      <c r="E287" t="inlineStr">
        <is>
          <t>air</t>
        </is>
      </c>
      <c r="F287" t="inlineStr">
        <is>
          <t>biosphere</t>
        </is>
      </c>
      <c r="H287" t="inlineStr">
        <is>
          <t>1.0E-04 kg/kg fuel for diesel locomotives, according to Spielmann et al. (2007)
Spielmann, M., Bauer, C., Dones, R., Institut, P. S., &amp; Tuchschmid, M. (2007). Transport Services. Swiss Centre for Life Cycle Inventories, ecoinvent report No. 14.</t>
        </is>
      </c>
    </row>
    <row r="288">
      <c r="A288" t="inlineStr">
        <is>
          <t>Cadmium II</t>
        </is>
      </c>
      <c r="B288" t="n">
        <v>4.340624641680931e-11</v>
      </c>
      <c r="D288" t="inlineStr">
        <is>
          <t>kilogram</t>
        </is>
      </c>
      <c r="E288" t="inlineStr">
        <is>
          <t>air</t>
        </is>
      </c>
      <c r="F288" t="inlineStr">
        <is>
          <t>biosphere</t>
        </is>
      </c>
      <c r="H288" t="inlineStr">
        <is>
          <t>1.0E-08 kg/kg fuel for diesel locomotives, according to Spielmann et al. (2007)
Spielmann, M., Bauer, C., Dones, R., Institut, P. S., &amp; Tuchschmid, M. (2007). Transport Services. Swiss Centre for Life Cycle Inventories, ecoinvent report No. 14.</t>
        </is>
      </c>
    </row>
    <row r="289">
      <c r="A289" t="inlineStr">
        <is>
          <t>Carbon dioxide, fossil</t>
        </is>
      </c>
      <c r="B289" t="n">
        <v>0.01365560512272821</v>
      </c>
      <c r="D289" t="inlineStr">
        <is>
          <t>kilogram</t>
        </is>
      </c>
      <c r="E289" t="inlineStr">
        <is>
          <t>air</t>
        </is>
      </c>
      <c r="F289" t="inlineStr">
        <is>
          <t>biosphere</t>
        </is>
      </c>
      <c r="H289" t="inlineStr">
        <is>
          <t>3.146 kg/kg fuel for diesel locomotives, according to Spielmann et al. (2007)
Spielmann, M., Bauer, C., Dones, R., Institut, P. S., &amp; Tuchschmid, M. (2007). Transport Services. Swiss Centre for Life Cycle Inventories, ecoinvent report No. 14.</t>
        </is>
      </c>
    </row>
    <row r="290">
      <c r="A290" t="inlineStr">
        <is>
          <t>Carbon monoxide, fossil</t>
        </is>
      </c>
      <c r="B290" t="n">
        <v>6.85818693385587e-05</v>
      </c>
      <c r="D290" t="inlineStr">
        <is>
          <t>kilogram</t>
        </is>
      </c>
      <c r="E290" t="inlineStr">
        <is>
          <t>air</t>
        </is>
      </c>
      <c r="F290" t="inlineStr">
        <is>
          <t>biosphere</t>
        </is>
      </c>
      <c r="H290" t="inlineStr">
        <is>
          <t>1.58E-02 kg/kg fuel for diesel locomotives, according to Spielmann et al. (2007)
Spielmann, M., Bauer, C., Dones, R., Institut, P. S., &amp; Tuchschmid, M. (2007). Transport Services. Swiss Centre for Life Cycle Inventories, ecoinvent report No. 14.</t>
        </is>
      </c>
    </row>
    <row r="291">
      <c r="A291" t="inlineStr">
        <is>
          <t>Chromium III</t>
        </is>
      </c>
      <c r="B291" t="n">
        <v>2.170312320840465e-10</v>
      </c>
      <c r="D291" t="inlineStr">
        <is>
          <t>kilogram</t>
        </is>
      </c>
      <c r="E291" t="inlineStr">
        <is>
          <t>air</t>
        </is>
      </c>
      <c r="F291" t="inlineStr">
        <is>
          <t>biosphere</t>
        </is>
      </c>
      <c r="H291" t="inlineStr">
        <is>
          <t>5.0E-08 kg/kg fuel for diesel locomotives, according to Spielmann et al. (2007)
Spielmann, M., Bauer, C., Dones, R., Institut, P. S., &amp; Tuchschmid, M. (2007). Transport Services. Swiss Centre for Life Cycle Inventories, ecoinvent report No. 14.</t>
        </is>
      </c>
    </row>
    <row r="292">
      <c r="A292" t="inlineStr">
        <is>
          <t>Copper ion</t>
        </is>
      </c>
      <c r="B292" t="n">
        <v>7.379061890857581e-09</v>
      </c>
      <c r="D292" t="inlineStr">
        <is>
          <t>kilogram</t>
        </is>
      </c>
      <c r="E292" t="inlineStr">
        <is>
          <t>air</t>
        </is>
      </c>
      <c r="F292" t="inlineStr">
        <is>
          <t>biosphere</t>
        </is>
      </c>
      <c r="H292" t="inlineStr">
        <is>
          <t>1.7E-06 kg/kg fuel for diesel locomotives, according to Spielmann et al. (2007)
Spielmann, M., Bauer, C., Dones, R., Institut, P. S., &amp; Tuchschmid, M. (2007). Transport Services. Swiss Centre for Life Cycle Inventories, ecoinvent report No. 14.</t>
        </is>
      </c>
    </row>
    <row r="293">
      <c r="A293" t="inlineStr">
        <is>
          <t>Dinitrogen monoxide</t>
        </is>
      </c>
      <c r="B293" t="n">
        <v>4.340624641680931e-07</v>
      </c>
      <c r="D293" t="inlineStr">
        <is>
          <t>kilogram</t>
        </is>
      </c>
      <c r="E293" t="inlineStr">
        <is>
          <t>air</t>
        </is>
      </c>
      <c r="F293" t="inlineStr">
        <is>
          <t>biosphere</t>
        </is>
      </c>
      <c r="H293" t="inlineStr">
        <is>
          <t>1.0E-04 kg/kg fuel for diesel locomotives, according to Spielmann et al. (2007)
Spielmann, M., Bauer, C., Dones, R., Institut, P. S., &amp; Tuchschmid, M. (2007). Transport Services. Swiss Centre for Life Cycle Inventories, ecoinvent report No. 14.</t>
        </is>
      </c>
    </row>
    <row r="294">
      <c r="A294" t="inlineStr">
        <is>
          <t>Iron ion</t>
        </is>
      </c>
      <c r="B294" t="n">
        <v>1.24e-05</v>
      </c>
      <c r="D294" t="inlineStr">
        <is>
          <t>kilogram</t>
        </is>
      </c>
      <c r="E294" t="inlineStr">
        <is>
          <t>soil</t>
        </is>
      </c>
      <c r="F294" t="inlineStr">
        <is>
          <t>biosphere</t>
        </is>
      </c>
      <c r="H294" t="inlineStr">
        <is>
          <t>1.24E-05 kg/tkm, emission of particulates due to abrasion from rail tracks, wheels,and brakes Spielmann et al. (2007)
Spielmann, M., Bauer, C., Dones, R., Institut, P. S., &amp; Tuchschmid, M. (2007). Transport Services. Swiss Centre for Life Cycle Inventories, ecoinvent report No. 14.</t>
        </is>
      </c>
    </row>
    <row r="295">
      <c r="A295" t="inlineStr">
        <is>
          <t>Lead II</t>
        </is>
      </c>
      <c r="B295" t="n">
        <v>4.774687105849022e-13</v>
      </c>
      <c r="D295" t="inlineStr">
        <is>
          <t>kilogram</t>
        </is>
      </c>
      <c r="E295" t="inlineStr">
        <is>
          <t>air</t>
        </is>
      </c>
      <c r="F295" t="inlineStr">
        <is>
          <t>biosphere</t>
        </is>
      </c>
      <c r="H295" t="inlineStr">
        <is>
          <t>1.1E-10 kg/kg fuel for diesel locomotives, according to Spielmann et al. (2007)
Spielmann, M., Bauer, C., Dones, R., Institut, P. S., &amp; Tuchschmid, M. (2007). Transport Services. Swiss Centre for Life Cycle Inventories, ecoinvent report No. 14.</t>
        </is>
      </c>
    </row>
    <row r="296">
      <c r="A296" t="inlineStr">
        <is>
          <t>Mercury II</t>
        </is>
      </c>
      <c r="B296" t="n">
        <v>8.681249283361859e-14</v>
      </c>
      <c r="D296" t="inlineStr">
        <is>
          <t>kilogram</t>
        </is>
      </c>
      <c r="E296" t="inlineStr">
        <is>
          <t>air</t>
        </is>
      </c>
      <c r="F296" t="inlineStr">
        <is>
          <t>biosphere</t>
        </is>
      </c>
      <c r="H296" t="inlineStr">
        <is>
          <t>2.0E-11 kg/kg fuel for diesel locomotives, according to Spielmann et al. (2007)
Spielmann, M., Bauer, C., Dones, R., Institut, P. S., &amp; Tuchschmid, M. (2007). Transport Services. Swiss Centre for Life Cycle Inventories, ecoinvent report No. 14.</t>
        </is>
      </c>
    </row>
    <row r="297">
      <c r="A297" t="inlineStr">
        <is>
          <t>Methane, fossil</t>
        </is>
      </c>
      <c r="B297" t="n">
        <v>5.642812034185208e-07</v>
      </c>
      <c r="D297" t="inlineStr">
        <is>
          <t>kilogram</t>
        </is>
      </c>
      <c r="E297" t="inlineStr">
        <is>
          <t>air</t>
        </is>
      </c>
      <c r="F297" t="inlineStr">
        <is>
          <t>biosphere</t>
        </is>
      </c>
      <c r="H297" t="inlineStr">
        <is>
          <t>1.3E-04 kg/kg fuel for diesel locomotives, according to Spielmann et al. (2007)
Spielmann, M., Bauer, C., Dones, R., Institut, P. S., &amp; Tuchschmid, M. (2007). Transport Services. Swiss Centre for Life Cycle Inventories, ecoinvent report No. 14.</t>
        </is>
      </c>
    </row>
    <row r="298">
      <c r="A298" t="inlineStr">
        <is>
          <t>NMVOC, non-methane volatile organic compounds</t>
        </is>
      </c>
      <c r="B298" t="n">
        <v>2.278827936882488e-05</v>
      </c>
      <c r="D298" t="inlineStr">
        <is>
          <t>kilogram</t>
        </is>
      </c>
      <c r="E298" t="inlineStr">
        <is>
          <t>air</t>
        </is>
      </c>
      <c r="F298" t="inlineStr">
        <is>
          <t>biosphere</t>
        </is>
      </c>
      <c r="H298" t="inlineStr">
        <is>
          <t>5.25E-03 kg/kg fuel for diesel locomotives, according to Spielmann et al. (2007)
Spielmann, M., Bauer, C., Dones, R., Institut, P. S., &amp; Tuchschmid, M. (2007). Transport Services. Swiss Centre for Life Cycle Inventories, ecoinvent report No. 14.</t>
        </is>
      </c>
    </row>
    <row r="299">
      <c r="A299" t="inlineStr">
        <is>
          <t>Nickel II</t>
        </is>
      </c>
      <c r="B299" t="n">
        <v>3.038437249176651e-10</v>
      </c>
      <c r="D299" t="inlineStr">
        <is>
          <t>kilogram</t>
        </is>
      </c>
      <c r="E299" t="inlineStr">
        <is>
          <t>air</t>
        </is>
      </c>
      <c r="F299" t="inlineStr">
        <is>
          <t>biosphere</t>
        </is>
      </c>
      <c r="H299" t="inlineStr">
        <is>
          <t>7.0E-08 kg/kg fuel for diesel locomotives, according to Spielmann et al. (2007)
Spielmann, M., Bauer, C., Dones, R., Institut, P. S., &amp; Tuchschmid, M. (2007). Transport Services. Swiss Centre for Life Cycle Inventories, ecoinvent report No. 14.</t>
        </is>
      </c>
    </row>
    <row r="300">
      <c r="A300" t="inlineStr">
        <is>
          <t>Nitrogen oxides</t>
        </is>
      </c>
      <c r="B300" t="n">
        <v>0.0002387343552924512</v>
      </c>
      <c r="D300" t="inlineStr">
        <is>
          <t>kilogram</t>
        </is>
      </c>
      <c r="E300" t="inlineStr">
        <is>
          <t>air</t>
        </is>
      </c>
      <c r="F300" t="inlineStr">
        <is>
          <t>biosphere</t>
        </is>
      </c>
      <c r="H300" t="inlineStr">
        <is>
          <t>5.5E-02 kg/kg fuel for diesel locomotives, according to Spielmann et al. (2007)
Spielmann, M., Bauer, C., Dones, R., Institut, P. S., &amp; Tuchschmid, M. (2007). Transport Services. Swiss Centre for Life Cycle Inventories, ecoinvent report No. 14.</t>
        </is>
      </c>
    </row>
    <row r="301">
      <c r="A301" t="inlineStr">
        <is>
          <t>Particulate Matter, &lt; 2.5 um</t>
        </is>
      </c>
      <c r="B301" t="n">
        <v>5.338968309267544e-06</v>
      </c>
      <c r="D301" t="inlineStr">
        <is>
          <t>kilogram</t>
        </is>
      </c>
      <c r="E301" t="inlineStr">
        <is>
          <t>air</t>
        </is>
      </c>
      <c r="F301" t="inlineStr">
        <is>
          <t>biosphere</t>
        </is>
      </c>
      <c r="H301" t="inlineStr">
        <is>
          <t>1.28E-03 kg/kg fuel for diesel locomotives, according to Spielmann et al. (2007)
Spielmann, M., Bauer, C., Dones, R., Institut, P. S., &amp; Tuchschmid, M. (2007). Transport Services. Swiss Centre for Life Cycle Inventories, ecoinvent report No. 14.</t>
        </is>
      </c>
    </row>
    <row r="302">
      <c r="A302" t="inlineStr">
        <is>
          <t>Particulate Matter, &gt; 10 um</t>
        </is>
      </c>
      <c r="B302" t="n">
        <v>1.793830029282828e-05</v>
      </c>
      <c r="D302" t="inlineStr">
        <is>
          <t>kilogram</t>
        </is>
      </c>
      <c r="E302" t="inlineStr">
        <is>
          <t>air</t>
        </is>
      </c>
      <c r="F302" t="inlineStr">
        <is>
          <t>biosphere</t>
        </is>
      </c>
      <c r="H302" t="inlineStr">
        <is>
          <t>4.59E-05 kg/kg fuel for diesel locomotives, according to Spielmann et al. (2007), plus
1.77E-05 kg/tkm, emission of particulates due to abrasion from rail tracks, wheels,and brakes Spielmann et al. (2007)
Spielmann, M., Bauer, C., Dones, R., Institut, P. S., &amp; Tuchschmid, M. (2007). Transport Services. Swiss Centre for Life Cycle Inventories, ecoinvent report No. 14.</t>
        </is>
      </c>
    </row>
    <row r="303">
      <c r="A303" t="inlineStr">
        <is>
          <t>Particulate Matter, &gt; 2.5 um and &lt; 10um</t>
        </is>
      </c>
      <c r="B303" t="n">
        <v>1.676444683665986e-05</v>
      </c>
      <c r="D303" t="inlineStr">
        <is>
          <t>kilogram</t>
        </is>
      </c>
      <c r="E303" t="inlineStr">
        <is>
          <t>air</t>
        </is>
      </c>
      <c r="F303" t="inlineStr">
        <is>
          <t>biosphere</t>
        </is>
      </c>
      <c r="H303" t="inlineStr">
        <is>
          <t>1.07E-04 kg/kg fuel for diesel locomotives, according to Spielmann et al. (2007), plus
1.63E-05 kg/tkm, emission of particulates due to abrasion from rail tracks, wheels,and brakes Spielmann et al. (2007)
Spielmann, M., Bauer, C., Dones, R., Institut, P. S., &amp; Tuchschmid, M. (2007). Transport Services. Swiss Centre for Life Cycle Inventories, ecoinvent report No. 14.</t>
        </is>
      </c>
    </row>
    <row r="304">
      <c r="A304" t="inlineStr">
        <is>
          <t>Selenium IV</t>
        </is>
      </c>
      <c r="B304" t="n">
        <v>4.340624641680931e-11</v>
      </c>
      <c r="D304" t="inlineStr">
        <is>
          <t>kilogram</t>
        </is>
      </c>
      <c r="E304" t="inlineStr">
        <is>
          <t>air</t>
        </is>
      </c>
      <c r="F304" t="inlineStr">
        <is>
          <t>biosphere</t>
        </is>
      </c>
      <c r="H304" t="inlineStr">
        <is>
          <t>1.0E-08 kg/kg fuel for diesel locomotives, according to Spielmann et al. (2007)
Spielmann, M., Bauer, C., Dones, R., Institut, P. S., &amp; Tuchschmid, M. (2007). Transport Services. Swiss Centre for Life Cycle Inventories, ecoinvent report No. 14.</t>
        </is>
      </c>
    </row>
    <row r="305">
      <c r="A305" t="inlineStr">
        <is>
          <t>Sulfur dioxide</t>
        </is>
      </c>
      <c r="B305" t="n">
        <v>2.604374785008558e-06</v>
      </c>
      <c r="D305" t="inlineStr">
        <is>
          <t>kilogram</t>
        </is>
      </c>
      <c r="E305" t="inlineStr">
        <is>
          <t>air</t>
        </is>
      </c>
      <c r="F305" t="inlineStr">
        <is>
          <t>biosphere</t>
        </is>
      </c>
      <c r="H305" t="inlineStr">
        <is>
          <t>6.0E-04 kg/kg fuel for diesel locomotives, according to Spielmann et al. (2007)
Spielmann, M., Bauer, C., Dones, R., Institut, P. S., &amp; Tuchschmid, M. (2007). Transport Services. Swiss Centre for Life Cycle Inventories, ecoinvent report No. 14.</t>
        </is>
      </c>
    </row>
    <row r="306">
      <c r="A306" t="inlineStr">
        <is>
          <t>Toluene</t>
        </is>
      </c>
      <c r="B306" t="n">
        <v>1.736249856672372e-07</v>
      </c>
      <c r="D306" t="inlineStr">
        <is>
          <t>kilogram</t>
        </is>
      </c>
      <c r="E306" t="inlineStr">
        <is>
          <t>air</t>
        </is>
      </c>
      <c r="F306" t="inlineStr">
        <is>
          <t>biosphere</t>
        </is>
      </c>
      <c r="H306" t="inlineStr">
        <is>
          <t>4.0E-05 kg/kg fuel for diesel locomotives, according to Spielmann et al. (2007)
Spielmann, M., Bauer, C., Dones, R., Institut, P. S., &amp; Tuchschmid, M. (2007). Transport Services. Swiss Centre for Life Cycle Inventories, ecoinvent report No. 14.</t>
        </is>
      </c>
    </row>
    <row r="307">
      <c r="A307" t="inlineStr">
        <is>
          <t>Xylene</t>
        </is>
      </c>
      <c r="B307" t="n">
        <v>1.736249856672372e-07</v>
      </c>
      <c r="D307" t="inlineStr">
        <is>
          <t>kilogram</t>
        </is>
      </c>
      <c r="E307" t="inlineStr">
        <is>
          <t>air</t>
        </is>
      </c>
      <c r="F307" t="inlineStr">
        <is>
          <t>biosphere</t>
        </is>
      </c>
      <c r="H307" t="inlineStr">
        <is>
          <t>4.0E-05 kg/kg fuel for diesel locomotives, according to Spielmann et al. (2007)
Spielmann, M., Bauer, C., Dones, R., Institut, P. S., &amp; Tuchschmid, M. (2007). Transport Services. Swiss Centre for Life Cycle Inventories, ecoinvent report No. 14.</t>
        </is>
      </c>
    </row>
    <row r="308">
      <c r="A308" t="inlineStr">
        <is>
          <t>Zinc II</t>
        </is>
      </c>
      <c r="B308" t="n">
        <v>4.34062464168093e-09</v>
      </c>
      <c r="D308" t="inlineStr">
        <is>
          <t>kilogram</t>
        </is>
      </c>
      <c r="E308" t="inlineStr">
        <is>
          <t>air</t>
        </is>
      </c>
      <c r="F308" t="inlineStr">
        <is>
          <t>biosphere</t>
        </is>
      </c>
      <c r="H308" t="inlineStr">
        <is>
          <t>1.0E-06 kg/kg fuel for diesel locomotives, according to Spielmann et al. (2007)
Spielmann, M., Bauer, C., Dones, R., Institut, P. S., &amp; Tuchschmid, M. (2007). Transport Services. Swiss Centre for Life Cycle Inventories, ecoinvent report No. 14.</t>
        </is>
      </c>
    </row>
    <row r="309">
      <c r="A309" t="inlineStr">
        <is>
          <t>transport, freight train, diesel-electric</t>
        </is>
      </c>
      <c r="B309" t="n">
        <v>1</v>
      </c>
      <c r="C309" t="inlineStr">
        <is>
          <t>CN</t>
        </is>
      </c>
      <c r="D309" t="inlineStr">
        <is>
          <t>ton kilometer</t>
        </is>
      </c>
      <c r="F309" t="inlineStr">
        <is>
          <t>production</t>
        </is>
      </c>
      <c r="G309" t="inlineStr">
        <is>
          <t>transport, freight train</t>
        </is>
      </c>
    </row>
    <row r="310"/>
    <row r="311">
      <c r="A311" s="2" t="inlineStr">
        <is>
          <t>Activity</t>
        </is>
      </c>
      <c r="B311" s="2" t="inlineStr">
        <is>
          <t>transport, freight train, electric</t>
        </is>
      </c>
    </row>
    <row r="312">
      <c r="A312" t="inlineStr">
        <is>
          <t>location</t>
        </is>
      </c>
      <c r="B312" t="inlineStr">
        <is>
          <t>CN</t>
        </is>
      </c>
    </row>
    <row r="313">
      <c r="A313" t="inlineStr">
        <is>
          <t>production amount</t>
        </is>
      </c>
      <c r="B313" t="n">
        <v>1</v>
      </c>
    </row>
    <row r="314">
      <c r="A314" t="inlineStr">
        <is>
          <t>reference product</t>
        </is>
      </c>
      <c r="B314" t="inlineStr">
        <is>
          <t>transport, freight train</t>
        </is>
      </c>
    </row>
    <row r="315">
      <c r="A315" t="inlineStr">
        <is>
          <t>type</t>
        </is>
      </c>
      <c r="B315" t="inlineStr">
        <is>
          <t>process</t>
        </is>
      </c>
    </row>
    <row r="316">
      <c r="A316" t="inlineStr">
        <is>
          <t>unit</t>
        </is>
      </c>
      <c r="B316" t="inlineStr">
        <is>
          <t>ton kilometer</t>
        </is>
      </c>
    </row>
    <row r="317">
      <c r="A317" t="inlineStr">
        <is>
          <t>Exchanges</t>
        </is>
      </c>
    </row>
    <row r="318">
      <c r="A318" s="2" t="inlineStr">
        <is>
          <t>name</t>
        </is>
      </c>
      <c r="B318" s="2" t="inlineStr">
        <is>
          <t>amount</t>
        </is>
      </c>
      <c r="C318" s="2" t="inlineStr">
        <is>
          <t>location</t>
        </is>
      </c>
      <c r="D318" s="2" t="inlineStr">
        <is>
          <t>unit</t>
        </is>
      </c>
      <c r="E318" s="2" t="inlineStr">
        <is>
          <t>categories</t>
        </is>
      </c>
      <c r="F318" s="2" t="inlineStr">
        <is>
          <t>type</t>
        </is>
      </c>
      <c r="G318" s="2" t="inlineStr">
        <is>
          <t>reference product</t>
        </is>
      </c>
      <c r="H318" s="2" t="inlineStr">
        <is>
          <t>comment</t>
        </is>
      </c>
    </row>
    <row r="319">
      <c r="A319" t="inlineStr">
        <is>
          <t>market for diesel</t>
        </is>
      </c>
      <c r="B319" t="n">
        <v>0.000677</v>
      </c>
      <c r="C319" t="inlineStr">
        <is>
          <t>RoW</t>
        </is>
      </c>
      <c r="D319" t="inlineStr">
        <is>
          <t>kilogram</t>
        </is>
      </c>
      <c r="F319" t="inlineStr">
        <is>
          <t>technosphere</t>
        </is>
      </c>
      <c r="G319" t="inlineStr">
        <is>
          <t>diesel</t>
        </is>
      </c>
      <c r="H319" t="inlineStr">
        <is>
          <t>The energy consumption for shunting processes is added. The shunting process is assumed to be done by diesel shunting locomotives exclusivley. The specific diesel consumption for the shunting is taken from the regional ecoinvent datasets "transport, freight train, electric".</t>
        </is>
      </c>
    </row>
    <row r="320">
      <c r="A320" t="inlineStr">
        <is>
          <t>market group for electricity, medium voltage</t>
        </is>
      </c>
      <c r="B320" t="n">
        <v>0.02229998983728847</v>
      </c>
      <c r="C320" t="inlineStr">
        <is>
          <t>CN</t>
        </is>
      </c>
      <c r="D320" t="inlineStr">
        <is>
          <t>kilowatt hour</t>
        </is>
      </c>
      <c r="F320" t="inlineStr">
        <is>
          <t>technosphere</t>
        </is>
      </c>
      <c r="G320" t="inlineStr">
        <is>
          <t>electricity, medium voltage</t>
        </is>
      </c>
      <c r="H320"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t>
        </is>
      </c>
    </row>
    <row r="321">
      <c r="A321" t="inlineStr">
        <is>
          <t>production of locomotive, electric catenary</t>
        </is>
      </c>
      <c r="B321" t="n">
        <v>7.11e-10</v>
      </c>
      <c r="C321" t="inlineStr">
        <is>
          <t>GLO</t>
        </is>
      </c>
      <c r="D321" t="inlineStr">
        <is>
          <t>unit</t>
        </is>
      </c>
      <c r="F321" t="inlineStr">
        <is>
          <t>technosphere</t>
        </is>
      </c>
      <c r="G321" t="inlineStr">
        <is>
          <t>locomotive electric, catenary</t>
        </is>
      </c>
      <c r="H321" t="inlineStr">
        <is>
          <t>taken from ecoinvent inventor "transport, frieght train, electricity - CN"</t>
        </is>
      </c>
    </row>
    <row r="322">
      <c r="A322" t="inlineStr">
        <is>
          <t>market for maintenance, locomotive</t>
        </is>
      </c>
      <c r="B322" t="n">
        <v>7.11e-10</v>
      </c>
      <c r="C322" t="inlineStr">
        <is>
          <t>GLO</t>
        </is>
      </c>
      <c r="D322" t="inlineStr">
        <is>
          <t>unit</t>
        </is>
      </c>
      <c r="F322" t="inlineStr">
        <is>
          <t>technosphere</t>
        </is>
      </c>
      <c r="G322" t="inlineStr">
        <is>
          <t>maintenance, locomotive</t>
        </is>
      </c>
      <c r="H322" t="inlineStr">
        <is>
          <t>taken from ecoinvent inventor "transport, frieght train, electricity - CN"</t>
        </is>
      </c>
    </row>
    <row r="323">
      <c r="A323" t="inlineStr">
        <is>
          <t>market for goods wagon</t>
        </is>
      </c>
      <c r="B323" t="n">
        <v>4.59e-08</v>
      </c>
      <c r="C323" t="inlineStr">
        <is>
          <t>GLO</t>
        </is>
      </c>
      <c r="D323" t="inlineStr">
        <is>
          <t>unit</t>
        </is>
      </c>
      <c r="F323" t="inlineStr">
        <is>
          <t>technosphere</t>
        </is>
      </c>
      <c r="G323" t="inlineStr">
        <is>
          <t>goods wagon</t>
        </is>
      </c>
      <c r="H323" t="inlineStr">
        <is>
          <t>taken from ecoinvent inventor "transport, frieght train, electricity - CN"</t>
        </is>
      </c>
    </row>
    <row r="324">
      <c r="A324" t="inlineStr">
        <is>
          <t>market for maintenance, goods wagon</t>
        </is>
      </c>
      <c r="B324" t="n">
        <v>4.59e-08</v>
      </c>
      <c r="C324" t="inlineStr">
        <is>
          <t>GLO</t>
        </is>
      </c>
      <c r="D324" t="inlineStr">
        <is>
          <t>unit</t>
        </is>
      </c>
      <c r="F324" t="inlineStr">
        <is>
          <t>technosphere</t>
        </is>
      </c>
      <c r="G324" t="inlineStr">
        <is>
          <t>maintenance, goods wagon</t>
        </is>
      </c>
      <c r="H324" t="inlineStr">
        <is>
          <t>taken from ecoinvent inventor "transport, frieght train, electricity - CN"</t>
        </is>
      </c>
    </row>
    <row r="325">
      <c r="A325" t="inlineStr">
        <is>
          <t>market for railway track</t>
        </is>
      </c>
      <c r="B325" t="n">
        <v>9.3e-05</v>
      </c>
      <c r="C325" t="inlineStr">
        <is>
          <t>GLO</t>
        </is>
      </c>
      <c r="D325" t="inlineStr">
        <is>
          <t>meter-year</t>
        </is>
      </c>
      <c r="F325" t="inlineStr">
        <is>
          <t>technosphere</t>
        </is>
      </c>
      <c r="G325" t="inlineStr">
        <is>
          <t>railway track</t>
        </is>
      </c>
      <c r="H325" t="inlineStr">
        <is>
          <t>taken from ecoinvent inventor "transport, frieght train, electricity - CN"</t>
        </is>
      </c>
    </row>
    <row r="326">
      <c r="A326" t="inlineStr">
        <is>
          <t>Ammonia</t>
        </is>
      </c>
      <c r="B326" t="n">
        <v>1.354e-08</v>
      </c>
      <c r="D326" t="inlineStr">
        <is>
          <t>kilogram</t>
        </is>
      </c>
      <c r="E326" t="inlineStr">
        <is>
          <t>air</t>
        </is>
      </c>
      <c r="F326" t="inlineStr">
        <is>
          <t>biosphere</t>
        </is>
      </c>
      <c r="H326" t="inlineStr">
        <is>
          <t>2.0E-05 kg/kg fuel for diesel locomotives, according to Spielmann et al. (2007)
Spielmann, M., Bauer, C., Dones, R., Institut, P. S., &amp; Tuchschmid, M. (2007). Transport Services. Swiss Centre for Life Cycle Inventories, ecoinvent report No. 14.</t>
        </is>
      </c>
    </row>
    <row r="327">
      <c r="A327" t="inlineStr">
        <is>
          <t>Benzene</t>
        </is>
      </c>
      <c r="B327" t="n">
        <v>6.77e-08</v>
      </c>
      <c r="D327" t="inlineStr">
        <is>
          <t>kilogram</t>
        </is>
      </c>
      <c r="E327" t="inlineStr">
        <is>
          <t>air</t>
        </is>
      </c>
      <c r="F327" t="inlineStr">
        <is>
          <t>biosphere</t>
        </is>
      </c>
      <c r="H327" t="inlineStr">
        <is>
          <t>1.0E-04 kg/kg fuel for diesel locomotives, according to Spielmann et al. (2007)
Spielmann, M., Bauer, C., Dones, R., Institut, P. S., &amp; Tuchschmid, M. (2007). Transport Services. Swiss Centre for Life Cycle Inventories, ecoinvent report No. 14.</t>
        </is>
      </c>
    </row>
    <row r="328">
      <c r="A328" t="inlineStr">
        <is>
          <t>Cadmium II</t>
        </is>
      </c>
      <c r="B328" t="n">
        <v>6.77e-12</v>
      </c>
      <c r="D328" t="inlineStr">
        <is>
          <t>kilogram</t>
        </is>
      </c>
      <c r="E328" t="inlineStr">
        <is>
          <t>air</t>
        </is>
      </c>
      <c r="F328" t="inlineStr">
        <is>
          <t>biosphere</t>
        </is>
      </c>
      <c r="H328" t="inlineStr">
        <is>
          <t>1.0E-08 kg/kg fuel for diesel locomotives, according to Spielmann et al. (2007)
Spielmann, M., Bauer, C., Dones, R., Institut, P. S., &amp; Tuchschmid, M. (2007). Transport Services. Swiss Centre for Life Cycle Inventories, ecoinvent report No. 14.</t>
        </is>
      </c>
    </row>
    <row r="329">
      <c r="A329" t="inlineStr">
        <is>
          <t>Carbon dioxide, fossil</t>
        </is>
      </c>
      <c r="B329" t="n">
        <v>0.002129842</v>
      </c>
      <c r="D329" t="inlineStr">
        <is>
          <t>kilogram</t>
        </is>
      </c>
      <c r="E329" t="inlineStr">
        <is>
          <t>air</t>
        </is>
      </c>
      <c r="F329" t="inlineStr">
        <is>
          <t>biosphere</t>
        </is>
      </c>
      <c r="H329" t="inlineStr">
        <is>
          <t>3.146 kg/kg fuel for diesel locomotives, according to Spielmann et al. (2007)
Spielmann, M., Bauer, C., Dones, R., Institut, P. S., &amp; Tuchschmid, M. (2007). Transport Services. Swiss Centre for Life Cycle Inventories, ecoinvent report No. 14.</t>
        </is>
      </c>
    </row>
    <row r="330">
      <c r="A330" t="inlineStr">
        <is>
          <t>Carbon monoxide, fossil</t>
        </is>
      </c>
      <c r="B330" t="n">
        <v>1.06966e-05</v>
      </c>
      <c r="D330" t="inlineStr">
        <is>
          <t>kilogram</t>
        </is>
      </c>
      <c r="E330" t="inlineStr">
        <is>
          <t>air</t>
        </is>
      </c>
      <c r="F330" t="inlineStr">
        <is>
          <t>biosphere</t>
        </is>
      </c>
      <c r="H330" t="inlineStr">
        <is>
          <t>1.58E-02 kg/kg fuel for diesel locomotives, according to Spielmann et al. (2007)
Spielmann, M., Bauer, C., Dones, R., Institut, P. S., &amp; Tuchschmid, M. (2007). Transport Services. Swiss Centre for Life Cycle Inventories, ecoinvent report No. 14.</t>
        </is>
      </c>
    </row>
    <row r="331">
      <c r="A331" t="inlineStr">
        <is>
          <t>Chromium III</t>
        </is>
      </c>
      <c r="B331" t="n">
        <v>3.385e-11</v>
      </c>
      <c r="D331" t="inlineStr">
        <is>
          <t>kilogram</t>
        </is>
      </c>
      <c r="E331" t="inlineStr">
        <is>
          <t>air</t>
        </is>
      </c>
      <c r="F331" t="inlineStr">
        <is>
          <t>biosphere</t>
        </is>
      </c>
      <c r="H331" t="inlineStr">
        <is>
          <t>5.0E-08 kg/kg fuel for diesel locomotives, according to Spielmann et al. (2007)
Spielmann, M., Bauer, C., Dones, R., Institut, P. S., &amp; Tuchschmid, M. (2007). Transport Services. Swiss Centre for Life Cycle Inventories, ecoinvent report No. 14.</t>
        </is>
      </c>
    </row>
    <row r="332">
      <c r="A332" t="inlineStr">
        <is>
          <t>Copper ion</t>
        </is>
      </c>
      <c r="B332" t="n">
        <v>1.1509e-09</v>
      </c>
      <c r="D332" t="inlineStr">
        <is>
          <t>kilogram</t>
        </is>
      </c>
      <c r="E332" t="inlineStr">
        <is>
          <t>air</t>
        </is>
      </c>
      <c r="F332" t="inlineStr">
        <is>
          <t>biosphere</t>
        </is>
      </c>
      <c r="H332" t="inlineStr">
        <is>
          <t>1.7E-06 kg/kg fuel for diesel locomotives, according to Spielmann et al. (2007)
Spielmann, M., Bauer, C., Dones, R., Institut, P. S., &amp; Tuchschmid, M. (2007). Transport Services. Swiss Centre for Life Cycle Inventories, ecoinvent report No. 14.</t>
        </is>
      </c>
    </row>
    <row r="333">
      <c r="A333" t="inlineStr">
        <is>
          <t>Dinitrogen monoxide</t>
        </is>
      </c>
      <c r="B333" t="n">
        <v>6.77e-08</v>
      </c>
      <c r="D333" t="inlineStr">
        <is>
          <t>kilogram</t>
        </is>
      </c>
      <c r="E333" t="inlineStr">
        <is>
          <t>air</t>
        </is>
      </c>
      <c r="F333" t="inlineStr">
        <is>
          <t>biosphere</t>
        </is>
      </c>
      <c r="H333" t="inlineStr">
        <is>
          <t>1.0E-04 kg/kg fuel for diesel locomotives, according to Spielmann et al. (2007)
Spielmann, M., Bauer, C., Dones, R., Institut, P. S., &amp; Tuchschmid, M. (2007). Transport Services. Swiss Centre for Life Cycle Inventories, ecoinvent report No. 14.</t>
        </is>
      </c>
    </row>
    <row r="334">
      <c r="A334" t="inlineStr">
        <is>
          <t>Iron ion</t>
        </is>
      </c>
      <c r="B334" t="n">
        <v>1.24e-05</v>
      </c>
      <c r="D334" t="inlineStr">
        <is>
          <t>kilogram</t>
        </is>
      </c>
      <c r="E334" t="inlineStr">
        <is>
          <t>soil</t>
        </is>
      </c>
      <c r="F334" t="inlineStr">
        <is>
          <t>biosphere</t>
        </is>
      </c>
      <c r="H334" t="inlineStr">
        <is>
          <t>1.24E-05 kg/tkm, emission of particulates due to abrasion from rail tracks, wheels,and brakes Spielmann et al. (2007)
Spielmann, M., Bauer, C., Dones, R., Institut, P. S., &amp; Tuchschmid, M. (2007). Transport Services. Swiss Centre for Life Cycle Inventories, ecoinvent report No. 14.</t>
        </is>
      </c>
    </row>
    <row r="335">
      <c r="A335" t="inlineStr">
        <is>
          <t>Lead II</t>
        </is>
      </c>
      <c r="B335" t="n">
        <v>7.447e-14</v>
      </c>
      <c r="D335" t="inlineStr">
        <is>
          <t>kilogram</t>
        </is>
      </c>
      <c r="E335" t="inlineStr">
        <is>
          <t>air</t>
        </is>
      </c>
      <c r="F335" t="inlineStr">
        <is>
          <t>biosphere</t>
        </is>
      </c>
      <c r="H335" t="inlineStr">
        <is>
          <t>1.1E-10 kg/kg fuel for diesel locomotives, according to Spielmann et al. (2007)
Spielmann, M., Bauer, C., Dones, R., Institut, P. S., &amp; Tuchschmid, M. (2007). Transport Services. Swiss Centre for Life Cycle Inventories, ecoinvent report No. 14.</t>
        </is>
      </c>
    </row>
    <row r="336">
      <c r="A336" t="inlineStr">
        <is>
          <t>Mercury II</t>
        </is>
      </c>
      <c r="B336" t="n">
        <v>1.354e-14</v>
      </c>
      <c r="D336" t="inlineStr">
        <is>
          <t>kilogram</t>
        </is>
      </c>
      <c r="E336" t="inlineStr">
        <is>
          <t>air</t>
        </is>
      </c>
      <c r="F336" t="inlineStr">
        <is>
          <t>biosphere</t>
        </is>
      </c>
      <c r="H336" t="inlineStr">
        <is>
          <t>2.0E-11 kg/kg fuel for diesel locomotives, according to Spielmann et al. (2007)
Spielmann, M., Bauer, C., Dones, R., Institut, P. S., &amp; Tuchschmid, M. (2007). Transport Services. Swiss Centre for Life Cycle Inventories, ecoinvent report No. 14.</t>
        </is>
      </c>
    </row>
    <row r="337">
      <c r="A337" t="inlineStr">
        <is>
          <t>Methane, fossil</t>
        </is>
      </c>
      <c r="B337" t="n">
        <v>8.800999999999999e-08</v>
      </c>
      <c r="D337" t="inlineStr">
        <is>
          <t>kilogram</t>
        </is>
      </c>
      <c r="E337" t="inlineStr">
        <is>
          <t>air</t>
        </is>
      </c>
      <c r="F337" t="inlineStr">
        <is>
          <t>biosphere</t>
        </is>
      </c>
      <c r="H337" t="inlineStr">
        <is>
          <t>1.3E-04 kg/kg fuel for diesel locomotives, according to Spielmann et al. (2007)
Spielmann, M., Bauer, C., Dones, R., Institut, P. S., &amp; Tuchschmid, M. (2007). Transport Services. Swiss Centre for Life Cycle Inventories, ecoinvent report No. 14.</t>
        </is>
      </c>
    </row>
    <row r="338">
      <c r="A338" t="inlineStr">
        <is>
          <t>NMVOC, non-methane volatile organic compounds</t>
        </is>
      </c>
      <c r="B338" t="n">
        <v>3.55425e-06</v>
      </c>
      <c r="D338" t="inlineStr">
        <is>
          <t>kilogram</t>
        </is>
      </c>
      <c r="E338" t="inlineStr">
        <is>
          <t>air</t>
        </is>
      </c>
      <c r="F338" t="inlineStr">
        <is>
          <t>biosphere</t>
        </is>
      </c>
      <c r="H338" t="inlineStr">
        <is>
          <t>5.25E-03 kg/kg fuel for diesel locomotives, according to Spielmann et al. (2007)
Spielmann, M., Bauer, C., Dones, R., Institut, P. S., &amp; Tuchschmid, M. (2007). Transport Services. Swiss Centre for Life Cycle Inventories, ecoinvent report No. 14.</t>
        </is>
      </c>
    </row>
    <row r="339">
      <c r="A339" t="inlineStr">
        <is>
          <t>Nickel II</t>
        </is>
      </c>
      <c r="B339" t="n">
        <v>4.739e-11</v>
      </c>
      <c r="D339" t="inlineStr">
        <is>
          <t>kilogram</t>
        </is>
      </c>
      <c r="E339" t="inlineStr">
        <is>
          <t>air</t>
        </is>
      </c>
      <c r="F339" t="inlineStr">
        <is>
          <t>biosphere</t>
        </is>
      </c>
      <c r="H339" t="inlineStr">
        <is>
          <t>7.0E-08 kg/kg fuel for diesel locomotives, according to Spielmann et al. (2007)
Spielmann, M., Bauer, C., Dones, R., Institut, P. S., &amp; Tuchschmid, M. (2007). Transport Services. Swiss Centre for Life Cycle Inventories, ecoinvent report No. 14.</t>
        </is>
      </c>
    </row>
    <row r="340">
      <c r="A340" t="inlineStr">
        <is>
          <t>Nitrogen oxides</t>
        </is>
      </c>
      <c r="B340" t="n">
        <v>3.7235e-05</v>
      </c>
      <c r="D340" t="inlineStr">
        <is>
          <t>kilogram</t>
        </is>
      </c>
      <c r="E340" t="inlineStr">
        <is>
          <t>air</t>
        </is>
      </c>
      <c r="F340" t="inlineStr">
        <is>
          <t>biosphere</t>
        </is>
      </c>
      <c r="H340" t="inlineStr">
        <is>
          <t>5.5E-02 kg/kg fuel for diesel locomotives, according to Spielmann et al. (2007)
Spielmann, M., Bauer, C., Dones, R., Institut, P. S., &amp; Tuchschmid, M. (2007). Transport Services. Swiss Centre for Life Cycle Inventories, ecoinvent report No. 14.</t>
        </is>
      </c>
    </row>
    <row r="341">
      <c r="A341" t="inlineStr">
        <is>
          <t>Particulate Matter, &lt; 2.5 um</t>
        </is>
      </c>
      <c r="B341" t="n">
        <v>8.327099999999999e-07</v>
      </c>
      <c r="D341" t="inlineStr">
        <is>
          <t>kilogram</t>
        </is>
      </c>
      <c r="E341" t="inlineStr">
        <is>
          <t>air</t>
        </is>
      </c>
      <c r="F341" t="inlineStr">
        <is>
          <t>biosphere</t>
        </is>
      </c>
      <c r="H341" t="inlineStr">
        <is>
          <t>1.28E-03 kg/kg fuel for diesel locomotives, according to Spielmann et al. (2007)
Spielmann, M., Bauer, C., Dones, R., Institut, P. S., &amp; Tuchschmid, M. (2007). Transport Services. Swiss Centre for Life Cycle Inventories, ecoinvent report No. 14.</t>
        </is>
      </c>
    </row>
    <row r="342">
      <c r="A342" t="inlineStr">
        <is>
          <t>Particulate Matter, &gt; 10 um</t>
        </is>
      </c>
      <c r="B342" t="n">
        <v>1.77371673e-05</v>
      </c>
      <c r="D342" t="inlineStr">
        <is>
          <t>kilogram</t>
        </is>
      </c>
      <c r="E342" t="inlineStr">
        <is>
          <t>air</t>
        </is>
      </c>
      <c r="F342" t="inlineStr">
        <is>
          <t>biosphere</t>
        </is>
      </c>
      <c r="H342" t="inlineStr">
        <is>
          <t>4.59E-05 kg/kg fuel for diesel locomotives, according to Spielmann et al. (2007), plus
1.77E-05 kg/tkm, emission of particulates due to abrasion from rail tracks, wheels,and brakes Spielmann et al. (2007)
Spielmann, M., Bauer, C., Dones, R., Institut, P. S., &amp; Tuchschmid, M. (2007). Transport Services. Swiss Centre for Life Cycle Inventories, ecoinvent report No. 14.</t>
        </is>
      </c>
    </row>
    <row r="343">
      <c r="A343" t="inlineStr">
        <is>
          <t>Particulate Matter, &gt; 2.5 um and &lt; 10um</t>
        </is>
      </c>
      <c r="B343" t="n">
        <v>1.6372439e-05</v>
      </c>
      <c r="D343" t="inlineStr">
        <is>
          <t>kilogram</t>
        </is>
      </c>
      <c r="E343" t="inlineStr">
        <is>
          <t>air</t>
        </is>
      </c>
      <c r="F343" t="inlineStr">
        <is>
          <t>biosphere</t>
        </is>
      </c>
      <c r="H343" t="inlineStr">
        <is>
          <t>1.07E-04 kg/kg fuel for diesel locomotives, according to Spielmann et al. (2007), plus
1.63E-05 kg/tkm, emission of particulates due to abrasion from rail tracks, wheels,and brakes Spielmann et al. (2007)
Spielmann, M., Bauer, C., Dones, R., Institut, P. S., &amp; Tuchschmid, M. (2007). Transport Services. Swiss Centre for Life Cycle Inventories, ecoinvent report No. 14.</t>
        </is>
      </c>
    </row>
    <row r="344">
      <c r="A344" t="inlineStr">
        <is>
          <t>Selenium IV</t>
        </is>
      </c>
      <c r="B344" t="n">
        <v>6.77e-12</v>
      </c>
      <c r="D344" t="inlineStr">
        <is>
          <t>kilogram</t>
        </is>
      </c>
      <c r="E344" t="inlineStr">
        <is>
          <t>air</t>
        </is>
      </c>
      <c r="F344" t="inlineStr">
        <is>
          <t>biosphere</t>
        </is>
      </c>
      <c r="H344" t="inlineStr">
        <is>
          <t>1.0E-08 kg/kg fuel for diesel locomotives, according to Spielmann et al. (2007)
Spielmann, M., Bauer, C., Dones, R., Institut, P. S., &amp; Tuchschmid, M. (2007). Transport Services. Swiss Centre for Life Cycle Inventories, ecoinvent report No. 14.</t>
        </is>
      </c>
    </row>
    <row r="345">
      <c r="A345" t="inlineStr">
        <is>
          <t>Sulfur dioxide</t>
        </is>
      </c>
      <c r="B345" t="n">
        <v>4.062e-07</v>
      </c>
      <c r="D345" t="inlineStr">
        <is>
          <t>kilogram</t>
        </is>
      </c>
      <c r="E345" t="inlineStr">
        <is>
          <t>air</t>
        </is>
      </c>
      <c r="F345" t="inlineStr">
        <is>
          <t>biosphere</t>
        </is>
      </c>
      <c r="H345" t="inlineStr">
        <is>
          <t>6.0E-04 kg/kg fuel for diesel locomotives, according to Spielmann et al. (2007)
Spielmann, M., Bauer, C., Dones, R., Institut, P. S., &amp; Tuchschmid, M. (2007). Transport Services. Swiss Centre for Life Cycle Inventories, ecoinvent report No. 14.</t>
        </is>
      </c>
    </row>
    <row r="346">
      <c r="A346" t="inlineStr">
        <is>
          <t>Sulfur hexafluoride</t>
        </is>
      </c>
      <c r="B346" t="n">
        <v>3.14e-09</v>
      </c>
      <c r="D346" t="inlineStr">
        <is>
          <t>kilogram</t>
        </is>
      </c>
      <c r="E346" t="inlineStr">
        <is>
          <t>air</t>
        </is>
      </c>
      <c r="F346" t="inlineStr">
        <is>
          <t>biosphere</t>
        </is>
      </c>
      <c r="H346" t="inlineStr">
        <is>
          <t>3.14E-09 kg/tkm, emission of particulates due to abrasion from rail tracks, wheels,and brakes Spielmann et al. (2007)
Spielmann, M., Bauer, C., Dones, R., Institut, P. S., &amp; Tuchschmid, M. (2007). Transport Services. Swiss Centre for Life Cycle Inventories, ecoinvent report No. 14.</t>
        </is>
      </c>
    </row>
    <row r="347">
      <c r="A347" t="inlineStr">
        <is>
          <t>Toluene</t>
        </is>
      </c>
      <c r="B347" t="n">
        <v>2.708e-08</v>
      </c>
      <c r="D347" t="inlineStr">
        <is>
          <t>kilogram</t>
        </is>
      </c>
      <c r="E347" t="inlineStr">
        <is>
          <t>air</t>
        </is>
      </c>
      <c r="F347" t="inlineStr">
        <is>
          <t>biosphere</t>
        </is>
      </c>
      <c r="H347" t="inlineStr">
        <is>
          <t>4.0E-05 kg/kg fuel for diesel locomotives, according to Spielmann et al. (2007)
Spielmann, M., Bauer, C., Dones, R., Institut, P. S., &amp; Tuchschmid, M. (2007). Transport Services. Swiss Centre for Life Cycle Inventories, ecoinvent report No. 14.</t>
        </is>
      </c>
    </row>
    <row r="348">
      <c r="A348" t="inlineStr">
        <is>
          <t>Xylene</t>
        </is>
      </c>
      <c r="B348" t="n">
        <v>2.708e-08</v>
      </c>
      <c r="D348" t="inlineStr">
        <is>
          <t>kilogram</t>
        </is>
      </c>
      <c r="E348" t="inlineStr">
        <is>
          <t>air</t>
        </is>
      </c>
      <c r="F348" t="inlineStr">
        <is>
          <t>biosphere</t>
        </is>
      </c>
      <c r="H348" t="inlineStr">
        <is>
          <t>4.0E-05 kg/kg fuel for diesel locomotives, according to Spielmann et al. (2007)
Spielmann, M., Bauer, C., Dones, R., Institut, P. S., &amp; Tuchschmid, M. (2007). Transport Services. Swiss Centre for Life Cycle Inventories, ecoinvent report No. 14.</t>
        </is>
      </c>
    </row>
    <row r="349">
      <c r="A349" t="inlineStr">
        <is>
          <t>Zinc II</t>
        </is>
      </c>
      <c r="B349" t="n">
        <v>6.769999999999999e-10</v>
      </c>
      <c r="D349" t="inlineStr">
        <is>
          <t>kilogram</t>
        </is>
      </c>
      <c r="E349" t="inlineStr">
        <is>
          <t>air</t>
        </is>
      </c>
      <c r="F349" t="inlineStr">
        <is>
          <t>biosphere</t>
        </is>
      </c>
      <c r="H349" t="inlineStr">
        <is>
          <t>1.0E-06 kg/kg fuel for diesel locomotives, according to Spielmann et al. (2007)
Spielmann, M., Bauer, C., Dones, R., Institut, P. S., &amp; Tuchschmid, M. (2007). Transport Services. Swiss Centre for Life Cycle Inventories, ecoinvent report No. 14.</t>
        </is>
      </c>
    </row>
    <row r="350">
      <c r="A350" t="inlineStr">
        <is>
          <t>transport, freight train, electric</t>
        </is>
      </c>
      <c r="B350" t="n">
        <v>1</v>
      </c>
      <c r="C350" t="inlineStr">
        <is>
          <t>CN</t>
        </is>
      </c>
      <c r="D350" t="inlineStr">
        <is>
          <t>ton kilometer</t>
        </is>
      </c>
      <c r="F350" t="inlineStr">
        <is>
          <t>production</t>
        </is>
      </c>
      <c r="G350" t="inlineStr">
        <is>
          <t>transport, freight train</t>
        </is>
      </c>
    </row>
    <row r="351"/>
    <row r="352">
      <c r="A352" s="2" t="inlineStr">
        <is>
          <t>Activity</t>
        </is>
      </c>
      <c r="B352" s="2" t="inlineStr">
        <is>
          <t>transport, freight train, fuel cell, hydrogen</t>
        </is>
      </c>
    </row>
    <row r="353">
      <c r="A353" t="inlineStr">
        <is>
          <t>location</t>
        </is>
      </c>
      <c r="B353" t="inlineStr">
        <is>
          <t>CN</t>
        </is>
      </c>
    </row>
    <row r="354">
      <c r="A354" t="inlineStr">
        <is>
          <t>production amount</t>
        </is>
      </c>
      <c r="B354" t="n">
        <v>1</v>
      </c>
    </row>
    <row r="355">
      <c r="A355" t="inlineStr">
        <is>
          <t>reference product</t>
        </is>
      </c>
      <c r="B355" t="inlineStr">
        <is>
          <t>transport, freight train</t>
        </is>
      </c>
    </row>
    <row r="356">
      <c r="A356" t="inlineStr">
        <is>
          <t>type</t>
        </is>
      </c>
      <c r="B356" t="inlineStr">
        <is>
          <t>process</t>
        </is>
      </c>
    </row>
    <row r="357">
      <c r="A357" t="inlineStr">
        <is>
          <t>unit</t>
        </is>
      </c>
      <c r="B357" t="inlineStr">
        <is>
          <t>ton kilometer</t>
        </is>
      </c>
    </row>
    <row r="358">
      <c r="A358" t="inlineStr">
        <is>
          <t>Exchanges</t>
        </is>
      </c>
    </row>
    <row r="359">
      <c r="A359" s="2" t="inlineStr">
        <is>
          <t>name</t>
        </is>
      </c>
      <c r="B359" s="2" t="inlineStr">
        <is>
          <t>amount</t>
        </is>
      </c>
      <c r="C359" s="2" t="inlineStr">
        <is>
          <t>location</t>
        </is>
      </c>
      <c r="D359" s="2" t="inlineStr">
        <is>
          <t>unit</t>
        </is>
      </c>
      <c r="E359" s="2" t="inlineStr">
        <is>
          <t>categories</t>
        </is>
      </c>
      <c r="F359" s="2" t="inlineStr">
        <is>
          <t>type</t>
        </is>
      </c>
      <c r="G359" s="2" t="inlineStr">
        <is>
          <t>reference product</t>
        </is>
      </c>
      <c r="H359" s="2" t="inlineStr">
        <is>
          <t>comment</t>
        </is>
      </c>
    </row>
    <row r="360">
      <c r="A360" t="inlineStr">
        <is>
          <t>market for diesel</t>
        </is>
      </c>
      <c r="B360" t="n">
        <v>0.000677</v>
      </c>
      <c r="C360" t="inlineStr">
        <is>
          <t>RoW</t>
        </is>
      </c>
      <c r="D360" t="inlineStr">
        <is>
          <t>kilogram</t>
        </is>
      </c>
      <c r="F360" t="inlineStr">
        <is>
          <t>technosphere</t>
        </is>
      </c>
      <c r="G360" t="inlineStr">
        <is>
          <t>diesel</t>
        </is>
      </c>
      <c r="H360" t="inlineStr">
        <is>
          <t>The energy consumption for shunting processes is added. The shunting process is assumed to be done by diesel shunting locomotives exclusivley. The specific diesel consumption for the shunting is taken from the regional ecoinvent datasets "transport, freight train, electric".</t>
        </is>
      </c>
    </row>
    <row r="361">
      <c r="A361" t="inlineStr">
        <is>
          <t>market for hydrogen, gaseous</t>
        </is>
      </c>
      <c r="B361" t="n">
        <v>0.001294687366853912</v>
      </c>
      <c r="C361" t="inlineStr">
        <is>
          <t>GLO</t>
        </is>
      </c>
      <c r="D361" t="inlineStr">
        <is>
          <t>kilogram</t>
        </is>
      </c>
      <c r="F361" t="inlineStr">
        <is>
          <t>technosphere</t>
        </is>
      </c>
      <c r="G361" t="inlineStr">
        <is>
          <t>hydrogen, gaseous</t>
        </is>
      </c>
      <c r="H361"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t>
        </is>
      </c>
    </row>
    <row r="362">
      <c r="A362" t="inlineStr">
        <is>
          <t>production of locomotive, fuel cell, hydrogen</t>
        </is>
      </c>
      <c r="B362" t="n">
        <v>7.11e-10</v>
      </c>
      <c r="C362" t="inlineStr">
        <is>
          <t>GLO</t>
        </is>
      </c>
      <c r="D362" t="inlineStr">
        <is>
          <t>unit</t>
        </is>
      </c>
      <c r="F362" t="inlineStr">
        <is>
          <t>technosphere</t>
        </is>
      </c>
      <c r="G362" t="inlineStr">
        <is>
          <t>locomotive fuel cell, hydrogen</t>
        </is>
      </c>
      <c r="H362" t="inlineStr">
        <is>
          <t>taken from ecoinvent inventor "transport, frieght train, diesel - CN", as the hydrogen locomotive has similar output power as the diesel-electric train, and it is assumed that diesel trains can used for retrofitting HFC-systems</t>
        </is>
      </c>
    </row>
    <row r="363">
      <c r="A363" t="inlineStr">
        <is>
          <t>market for maintenance, locomotive</t>
        </is>
      </c>
      <c r="B363" t="n">
        <v>7.11e-10</v>
      </c>
      <c r="C363" t="inlineStr">
        <is>
          <t>GLO</t>
        </is>
      </c>
      <c r="D363" t="inlineStr">
        <is>
          <t>unit</t>
        </is>
      </c>
      <c r="F363" t="inlineStr">
        <is>
          <t>technosphere</t>
        </is>
      </c>
      <c r="G363" t="inlineStr">
        <is>
          <t>maintenance, locomotive</t>
        </is>
      </c>
      <c r="H363" t="inlineStr">
        <is>
          <t>taken from ecoinvent inventor "transport, frieght train, diesel - CN", as the hydrogen locomotive has similar output power as the diesel-electric train, and it is assumed that diesel trains can used for retrofitting HFC-systems</t>
        </is>
      </c>
    </row>
    <row r="364">
      <c r="A364" t="inlineStr">
        <is>
          <t>market for goods wagon</t>
        </is>
      </c>
      <c r="B364" t="n">
        <v>4.59e-08</v>
      </c>
      <c r="C364" t="inlineStr">
        <is>
          <t>GLO</t>
        </is>
      </c>
      <c r="D364" t="inlineStr">
        <is>
          <t>unit</t>
        </is>
      </c>
      <c r="F364" t="inlineStr">
        <is>
          <t>technosphere</t>
        </is>
      </c>
      <c r="G364" t="inlineStr">
        <is>
          <t>goods wagon</t>
        </is>
      </c>
      <c r="H364" t="inlineStr">
        <is>
          <t>taken from ecoinvent inventor "transport, frieght train, diesel - CN", as the hydrogen locomotive has similar output power as the diesel-electric train, and it is assumed that diesel trains can used for retrofitting HFC-systems</t>
        </is>
      </c>
    </row>
    <row r="365">
      <c r="A365" t="inlineStr">
        <is>
          <t>market for maintenance, goods wagon</t>
        </is>
      </c>
      <c r="B365" t="n">
        <v>4.59e-08</v>
      </c>
      <c r="C365" t="inlineStr">
        <is>
          <t>GLO</t>
        </is>
      </c>
      <c r="D365" t="inlineStr">
        <is>
          <t>unit</t>
        </is>
      </c>
      <c r="F365" t="inlineStr">
        <is>
          <t>technosphere</t>
        </is>
      </c>
      <c r="G365" t="inlineStr">
        <is>
          <t>maintenance, goods wagon</t>
        </is>
      </c>
      <c r="H365" t="inlineStr">
        <is>
          <t>taken from ecoinvent inventor "transport, frieght train, diesel - CN", as the hydrogen locomotive has similar output power as the diesel-electric train, and it is assumed that diesel trains can used for retrofitting HFC-systems</t>
        </is>
      </c>
    </row>
    <row r="366">
      <c r="A366" t="inlineStr">
        <is>
          <t>market for railway track</t>
        </is>
      </c>
      <c r="B366" t="n">
        <v>9.3e-05</v>
      </c>
      <c r="C366" t="inlineStr">
        <is>
          <t>GLO</t>
        </is>
      </c>
      <c r="D366" t="inlineStr">
        <is>
          <t>meter-year</t>
        </is>
      </c>
      <c r="F366" t="inlineStr">
        <is>
          <t>technosphere</t>
        </is>
      </c>
      <c r="G366" t="inlineStr">
        <is>
          <t>railway track</t>
        </is>
      </c>
      <c r="H366" t="inlineStr">
        <is>
          <t>taken from ecoinvent inventor "transport, frieght train, diesel - CN", as the hydrogen locomotive has similar output power as the diesel-electric train, and it is assumed that diesel trains can used for retrofitting HFC-systems</t>
        </is>
      </c>
    </row>
    <row r="367">
      <c r="A367" t="inlineStr">
        <is>
          <t>Ammonia</t>
        </is>
      </c>
      <c r="B367" t="n">
        <v>1.354e-08</v>
      </c>
      <c r="D367" t="inlineStr">
        <is>
          <t>kilogram</t>
        </is>
      </c>
      <c r="E367" t="inlineStr">
        <is>
          <t>air</t>
        </is>
      </c>
      <c r="F367" t="inlineStr">
        <is>
          <t>biosphere</t>
        </is>
      </c>
      <c r="H367" t="inlineStr">
        <is>
          <t>2.0E-05 kg/kg fuel for diesel locomotives, according to Spielmann et al. (2007)
Spielmann, M., Bauer, C., Dones, R., Institut, P. S., &amp; Tuchschmid, M. (2007). Transport Services. Swiss Centre for Life Cycle Inventories, ecoinvent report No. 14.</t>
        </is>
      </c>
    </row>
    <row r="368">
      <c r="A368" t="inlineStr">
        <is>
          <t>Benzene</t>
        </is>
      </c>
      <c r="B368" t="n">
        <v>6.77e-08</v>
      </c>
      <c r="D368" t="inlineStr">
        <is>
          <t>kilogram</t>
        </is>
      </c>
      <c r="E368" t="inlineStr">
        <is>
          <t>air</t>
        </is>
      </c>
      <c r="F368" t="inlineStr">
        <is>
          <t>biosphere</t>
        </is>
      </c>
      <c r="H368" t="inlineStr">
        <is>
          <t>1.0E-04 kg/kg fuel for diesel locomotives, according to Spielmann et al. (2007)
Spielmann, M., Bauer, C., Dones, R., Institut, P. S., &amp; Tuchschmid, M. (2007). Transport Services. Swiss Centre for Life Cycle Inventories, ecoinvent report No. 14.</t>
        </is>
      </c>
    </row>
    <row r="369">
      <c r="A369" t="inlineStr">
        <is>
          <t>Cadmium II</t>
        </is>
      </c>
      <c r="B369" t="n">
        <v>6.77e-12</v>
      </c>
      <c r="D369" t="inlineStr">
        <is>
          <t>kilogram</t>
        </is>
      </c>
      <c r="E369" t="inlineStr">
        <is>
          <t>air</t>
        </is>
      </c>
      <c r="F369" t="inlineStr">
        <is>
          <t>biosphere</t>
        </is>
      </c>
      <c r="H369" t="inlineStr">
        <is>
          <t>1.0E-08 kg/kg fuel for diesel locomotives, according to Spielmann et al. (2007)
Spielmann, M., Bauer, C., Dones, R., Institut, P. S., &amp; Tuchschmid, M. (2007). Transport Services. Swiss Centre for Life Cycle Inventories, ecoinvent report No. 14.</t>
        </is>
      </c>
    </row>
    <row r="370">
      <c r="A370" t="inlineStr">
        <is>
          <t>Carbon dioxide, fossil</t>
        </is>
      </c>
      <c r="B370" t="n">
        <v>0.002129842</v>
      </c>
      <c r="D370" t="inlineStr">
        <is>
          <t>kilogram</t>
        </is>
      </c>
      <c r="E370" t="inlineStr">
        <is>
          <t>air</t>
        </is>
      </c>
      <c r="F370" t="inlineStr">
        <is>
          <t>biosphere</t>
        </is>
      </c>
      <c r="H370" t="inlineStr">
        <is>
          <t>3.146 kg/kg fuel for diesel locomotives, according to Spielmann et al. (2007)
Spielmann, M., Bauer, C., Dones, R., Institut, P. S., &amp; Tuchschmid, M. (2007). Transport Services. Swiss Centre for Life Cycle Inventories, ecoinvent report No. 14.</t>
        </is>
      </c>
    </row>
    <row r="371">
      <c r="A371" t="inlineStr">
        <is>
          <t>Carbon monoxide, fossil</t>
        </is>
      </c>
      <c r="B371" t="n">
        <v>1.06966e-05</v>
      </c>
      <c r="D371" t="inlineStr">
        <is>
          <t>kilogram</t>
        </is>
      </c>
      <c r="E371" t="inlineStr">
        <is>
          <t>air</t>
        </is>
      </c>
      <c r="F371" t="inlineStr">
        <is>
          <t>biosphere</t>
        </is>
      </c>
      <c r="H371" t="inlineStr">
        <is>
          <t>1.58E-02 kg/kg fuel for diesel locomotives, according to Spielmann et al. (2007)
Spielmann, M., Bauer, C., Dones, R., Institut, P. S., &amp; Tuchschmid, M. (2007). Transport Services. Swiss Centre for Life Cycle Inventories, ecoinvent report No. 14.</t>
        </is>
      </c>
    </row>
    <row r="372">
      <c r="A372" t="inlineStr">
        <is>
          <t>Chromium III</t>
        </is>
      </c>
      <c r="B372" t="n">
        <v>3.385e-11</v>
      </c>
      <c r="D372" t="inlineStr">
        <is>
          <t>kilogram</t>
        </is>
      </c>
      <c r="E372" t="inlineStr">
        <is>
          <t>air</t>
        </is>
      </c>
      <c r="F372" t="inlineStr">
        <is>
          <t>biosphere</t>
        </is>
      </c>
      <c r="H372" t="inlineStr">
        <is>
          <t>5.0E-08 kg/kg fuel for diesel locomotives, according to Spielmann et al. (2007)
Spielmann, M., Bauer, C., Dones, R., Institut, P. S., &amp; Tuchschmid, M. (2007). Transport Services. Swiss Centre for Life Cycle Inventories, ecoinvent report No. 14.</t>
        </is>
      </c>
    </row>
    <row r="373">
      <c r="A373" t="inlineStr">
        <is>
          <t>Copper ion</t>
        </is>
      </c>
      <c r="B373" t="n">
        <v>1.1509e-09</v>
      </c>
      <c r="D373" t="inlineStr">
        <is>
          <t>kilogram</t>
        </is>
      </c>
      <c r="E373" t="inlineStr">
        <is>
          <t>air</t>
        </is>
      </c>
      <c r="F373" t="inlineStr">
        <is>
          <t>biosphere</t>
        </is>
      </c>
      <c r="H373" t="inlineStr">
        <is>
          <t>1.7E-06 kg/kg fuel for diesel locomotives, according to Spielmann et al. (2007)
Spielmann, M., Bauer, C., Dones, R., Institut, P. S., &amp; Tuchschmid, M. (2007). Transport Services. Swiss Centre for Life Cycle Inventories, ecoinvent report No. 14.</t>
        </is>
      </c>
    </row>
    <row r="374">
      <c r="A374" t="inlineStr">
        <is>
          <t>Dinitrogen monoxide</t>
        </is>
      </c>
      <c r="B374" t="n">
        <v>6.77e-08</v>
      </c>
      <c r="D374" t="inlineStr">
        <is>
          <t>kilogram</t>
        </is>
      </c>
      <c r="E374" t="inlineStr">
        <is>
          <t>air</t>
        </is>
      </c>
      <c r="F374" t="inlineStr">
        <is>
          <t>biosphere</t>
        </is>
      </c>
      <c r="H374" t="inlineStr">
        <is>
          <t>1.0E-04 kg/kg fuel for diesel locomotives, according to Spielmann et al. (2007)
Spielmann, M., Bauer, C., Dones, R., Institut, P. S., &amp; Tuchschmid, M. (2007). Transport Services. Swiss Centre for Life Cycle Inventories, ecoinvent report No. 14.</t>
        </is>
      </c>
    </row>
    <row r="375">
      <c r="A375" t="inlineStr">
        <is>
          <t>Iron ion</t>
        </is>
      </c>
      <c r="B375" t="n">
        <v>0</v>
      </c>
      <c r="D375" t="inlineStr">
        <is>
          <t>kilogram</t>
        </is>
      </c>
      <c r="E375" t="inlineStr">
        <is>
          <t>soil</t>
        </is>
      </c>
      <c r="F375" t="inlineStr">
        <is>
          <t>biosphere</t>
        </is>
      </c>
      <c r="H375" t="inlineStr">
        <is>
          <t>1.24E-05 kg/tkm, emission of particulates due to abrasion from rail tracks, wheels,and brakes Spielmann et al. (2007)
Spielmann, M., Bauer, C., Dones, R., Institut, P. S., &amp; Tuchschmid, M. (2007). Transport Services. Swiss Centre for Life Cycle Inventories, ecoinvent report No. 14.</t>
        </is>
      </c>
    </row>
    <row r="376">
      <c r="A376" t="inlineStr">
        <is>
          <t>Lead II</t>
        </is>
      </c>
      <c r="B376" t="n">
        <v>7.447e-14</v>
      </c>
      <c r="D376" t="inlineStr">
        <is>
          <t>kilogram</t>
        </is>
      </c>
      <c r="E376" t="inlineStr">
        <is>
          <t>air</t>
        </is>
      </c>
      <c r="F376" t="inlineStr">
        <is>
          <t>biosphere</t>
        </is>
      </c>
      <c r="H376" t="inlineStr">
        <is>
          <t>1.1E-10 kg/kg fuel for diesel locomotives, according to Spielmann et al. (2007)
Spielmann, M., Bauer, C., Dones, R., Institut, P. S., &amp; Tuchschmid, M. (2007). Transport Services. Swiss Centre for Life Cycle Inventories, ecoinvent report No. 14.</t>
        </is>
      </c>
    </row>
    <row r="377">
      <c r="A377" t="inlineStr">
        <is>
          <t>Mercury II</t>
        </is>
      </c>
      <c r="B377" t="n">
        <v>1.354e-14</v>
      </c>
      <c r="D377" t="inlineStr">
        <is>
          <t>kilogram</t>
        </is>
      </c>
      <c r="E377" t="inlineStr">
        <is>
          <t>air</t>
        </is>
      </c>
      <c r="F377" t="inlineStr">
        <is>
          <t>biosphere</t>
        </is>
      </c>
      <c r="H377" t="inlineStr">
        <is>
          <t>2.0E-11 kg/kg fuel for diesel locomotives, according to Spielmann et al. (2007)
Spielmann, M., Bauer, C., Dones, R., Institut, P. S., &amp; Tuchschmid, M. (2007). Transport Services. Swiss Centre for Life Cycle Inventories, ecoinvent report No. 14.</t>
        </is>
      </c>
    </row>
    <row r="378">
      <c r="A378" t="inlineStr">
        <is>
          <t>Methane, fossil</t>
        </is>
      </c>
      <c r="B378" t="n">
        <v>8.800999999999999e-08</v>
      </c>
      <c r="D378" t="inlineStr">
        <is>
          <t>kilogram</t>
        </is>
      </c>
      <c r="E378" t="inlineStr">
        <is>
          <t>air</t>
        </is>
      </c>
      <c r="F378" t="inlineStr">
        <is>
          <t>biosphere</t>
        </is>
      </c>
      <c r="H378" t="inlineStr">
        <is>
          <t>1.3E-04 kg/kg fuel for diesel locomotives, according to Spielmann et al. (2007)
Spielmann, M., Bauer, C., Dones, R., Institut, P. S., &amp; Tuchschmid, M. (2007). Transport Services. Swiss Centre for Life Cycle Inventories, ecoinvent report No. 14.</t>
        </is>
      </c>
    </row>
    <row r="379">
      <c r="A379" t="inlineStr">
        <is>
          <t>NMVOC, non-methane volatile organic compounds</t>
        </is>
      </c>
      <c r="B379" t="n">
        <v>3.55425e-06</v>
      </c>
      <c r="D379" t="inlineStr">
        <is>
          <t>kilogram</t>
        </is>
      </c>
      <c r="E379" t="inlineStr">
        <is>
          <t>air</t>
        </is>
      </c>
      <c r="F379" t="inlineStr">
        <is>
          <t>biosphere</t>
        </is>
      </c>
      <c r="H379" t="inlineStr">
        <is>
          <t>5.25E-03 kg/kg fuel for diesel locomotives, according to Spielmann et al. (2007)
Spielmann, M., Bauer, C., Dones, R., Institut, P. S., &amp; Tuchschmid, M. (2007). Transport Services. Swiss Centre for Life Cycle Inventories, ecoinvent report No. 14.</t>
        </is>
      </c>
    </row>
    <row r="380">
      <c r="A380" t="inlineStr">
        <is>
          <t>Nickel II</t>
        </is>
      </c>
      <c r="B380" t="n">
        <v>4.739e-11</v>
      </c>
      <c r="D380" t="inlineStr">
        <is>
          <t>kilogram</t>
        </is>
      </c>
      <c r="E380" t="inlineStr">
        <is>
          <t>air</t>
        </is>
      </c>
      <c r="F380" t="inlineStr">
        <is>
          <t>biosphere</t>
        </is>
      </c>
      <c r="H380" t="inlineStr">
        <is>
          <t>7.0E-08 kg/kg fuel for diesel locomotives, according to Spielmann et al. (2007)
Spielmann, M., Bauer, C., Dones, R., Institut, P. S., &amp; Tuchschmid, M. (2007). Transport Services. Swiss Centre for Life Cycle Inventories, ecoinvent report No. 14.</t>
        </is>
      </c>
    </row>
    <row r="381">
      <c r="A381" t="inlineStr">
        <is>
          <t>Nitrogen oxides</t>
        </is>
      </c>
      <c r="B381" t="n">
        <v>3.7235e-05</v>
      </c>
      <c r="D381" t="inlineStr">
        <is>
          <t>kilogram</t>
        </is>
      </c>
      <c r="E381" t="inlineStr">
        <is>
          <t>air</t>
        </is>
      </c>
      <c r="F381" t="inlineStr">
        <is>
          <t>biosphere</t>
        </is>
      </c>
      <c r="H381" t="inlineStr">
        <is>
          <t>5.5E-02 kg/kg fuel for diesel locomotives, according to Spielmann et al. (2007)
Spielmann, M., Bauer, C., Dones, R., Institut, P. S., &amp; Tuchschmid, M. (2007). Transport Services. Swiss Centre for Life Cycle Inventories, ecoinvent report No. 14.</t>
        </is>
      </c>
    </row>
    <row r="382">
      <c r="A382" t="inlineStr">
        <is>
          <t>Particulate Matter, &lt; 2.5 um</t>
        </is>
      </c>
      <c r="B382" t="n">
        <v>8.327099999999999e-07</v>
      </c>
      <c r="D382" t="inlineStr">
        <is>
          <t>kilogram</t>
        </is>
      </c>
      <c r="E382" t="inlineStr">
        <is>
          <t>air</t>
        </is>
      </c>
      <c r="F382" t="inlineStr">
        <is>
          <t>biosphere</t>
        </is>
      </c>
      <c r="H382" t="inlineStr">
        <is>
          <t>1.28E-03 kg/kg fuel for diesel locomotives, according to Spielmann et al. (2007)
Spielmann, M., Bauer, C., Dones, R., Institut, P. S., &amp; Tuchschmid, M. (2007). Transport Services. Swiss Centre for Life Cycle Inventories, ecoinvent report No. 14.</t>
        </is>
      </c>
    </row>
    <row r="383">
      <c r="A383" t="inlineStr">
        <is>
          <t>Particulate Matter, &gt; 10 um</t>
        </is>
      </c>
      <c r="B383" t="n">
        <v>1.77371673e-05</v>
      </c>
      <c r="D383" t="inlineStr">
        <is>
          <t>kilogram</t>
        </is>
      </c>
      <c r="E383" t="inlineStr">
        <is>
          <t>air</t>
        </is>
      </c>
      <c r="F383" t="inlineStr">
        <is>
          <t>biosphere</t>
        </is>
      </c>
      <c r="H383" t="inlineStr">
        <is>
          <t>4.59E-05 kg/kg fuel for diesel locomotives, according to Spielmann et al. (2007), plus
1.77E-05 kg/tkm, emission of particulates due to abrasion from rail tracks, wheels,and brakes Spielmann et al. (2007)
Spielmann, M., Bauer, C., Dones, R., Institut, P. S., &amp; Tuchschmid, M. (2007). Transport Services. Swiss Centre for Life Cycle Inventories, ecoinvent report No. 14.</t>
        </is>
      </c>
    </row>
    <row r="384">
      <c r="A384" t="inlineStr">
        <is>
          <t>Particulate Matter, &gt; 2.5 um and &lt; 10um</t>
        </is>
      </c>
      <c r="B384" t="n">
        <v>1.6372439e-05</v>
      </c>
      <c r="D384" t="inlineStr">
        <is>
          <t>kilogram</t>
        </is>
      </c>
      <c r="E384" t="inlineStr">
        <is>
          <t>air</t>
        </is>
      </c>
      <c r="F384" t="inlineStr">
        <is>
          <t>biosphere</t>
        </is>
      </c>
      <c r="H384" t="inlineStr">
        <is>
          <t>1.07E-04 kg/kg fuel for diesel locomotives, according to Spielmann et al. (2007), plus
1.63E-05 kg/tkm, emission of particulates due to abrasion from rail tracks, wheels,and brakes Spielmann et al. (2007)
Spielmann, M., Bauer, C., Dones, R., Institut, P. S., &amp; Tuchschmid, M. (2007). Transport Services. Swiss Centre for Life Cycle Inventories, ecoinvent report No. 14.</t>
        </is>
      </c>
    </row>
    <row r="385">
      <c r="A385" t="inlineStr">
        <is>
          <t>Selenium IV</t>
        </is>
      </c>
      <c r="B385" t="n">
        <v>6.77e-12</v>
      </c>
      <c r="D385" t="inlineStr">
        <is>
          <t>kilogram</t>
        </is>
      </c>
      <c r="E385" t="inlineStr">
        <is>
          <t>air</t>
        </is>
      </c>
      <c r="F385" t="inlineStr">
        <is>
          <t>biosphere</t>
        </is>
      </c>
      <c r="H385" t="inlineStr">
        <is>
          <t>1.0E-08 kg/kg fuel for diesel locomotives, according to Spielmann et al. (2007)
Spielmann, M., Bauer, C., Dones, R., Institut, P. S., &amp; Tuchschmid, M. (2007). Transport Services. Swiss Centre for Life Cycle Inventories, ecoinvent report No. 14.</t>
        </is>
      </c>
    </row>
    <row r="386">
      <c r="A386" t="inlineStr">
        <is>
          <t>Sulfur dioxide</t>
        </is>
      </c>
      <c r="B386" t="n">
        <v>4.062e-07</v>
      </c>
      <c r="D386" t="inlineStr">
        <is>
          <t>kilogram</t>
        </is>
      </c>
      <c r="E386" t="inlineStr">
        <is>
          <t>air</t>
        </is>
      </c>
      <c r="F386" t="inlineStr">
        <is>
          <t>biosphere</t>
        </is>
      </c>
      <c r="H386" t="inlineStr">
        <is>
          <t>6.0E-04 kg/kg fuel for diesel locomotives, according to Spielmann et al. (2007)
Spielmann, M., Bauer, C., Dones, R., Institut, P. S., &amp; Tuchschmid, M. (2007). Transport Services. Swiss Centre for Life Cycle Inventories, ecoinvent report No. 14.</t>
        </is>
      </c>
    </row>
    <row r="387">
      <c r="A387" t="inlineStr">
        <is>
          <t>Toluene</t>
        </is>
      </c>
      <c r="B387" t="n">
        <v>2.708e-08</v>
      </c>
      <c r="D387" t="inlineStr">
        <is>
          <t>kilogram</t>
        </is>
      </c>
      <c r="E387" t="inlineStr">
        <is>
          <t>air</t>
        </is>
      </c>
      <c r="F387" t="inlineStr">
        <is>
          <t>biosphere</t>
        </is>
      </c>
      <c r="H387" t="inlineStr">
        <is>
          <t>4.0E-05 kg/kg fuel for diesel locomotives, according to Spielmann et al. (2007)
Spielmann, M., Bauer, C., Dones, R., Institut, P. S., &amp; Tuchschmid, M. (2007). Transport Services. Swiss Centre for Life Cycle Inventories, ecoinvent report No. 14.</t>
        </is>
      </c>
    </row>
    <row r="388">
      <c r="A388" t="inlineStr">
        <is>
          <t>Xylene</t>
        </is>
      </c>
      <c r="B388" t="n">
        <v>2.708e-08</v>
      </c>
      <c r="D388" t="inlineStr">
        <is>
          <t>kilogram</t>
        </is>
      </c>
      <c r="E388" t="inlineStr">
        <is>
          <t>air</t>
        </is>
      </c>
      <c r="F388" t="inlineStr">
        <is>
          <t>biosphere</t>
        </is>
      </c>
      <c r="H388" t="inlineStr">
        <is>
          <t>4.0E-05 kg/kg fuel for diesel locomotives, according to Spielmann et al. (2007)
Spielmann, M., Bauer, C., Dones, R., Institut, P. S., &amp; Tuchschmid, M. (2007). Transport Services. Swiss Centre for Life Cycle Inventories, ecoinvent report No. 14.</t>
        </is>
      </c>
    </row>
    <row r="389">
      <c r="A389" t="inlineStr">
        <is>
          <t>Zinc II</t>
        </is>
      </c>
      <c r="B389" t="n">
        <v>6.769999999999999e-10</v>
      </c>
      <c r="D389" t="inlineStr">
        <is>
          <t>kilogram</t>
        </is>
      </c>
      <c r="E389" t="inlineStr">
        <is>
          <t>air</t>
        </is>
      </c>
      <c r="F389" t="inlineStr">
        <is>
          <t>biosphere</t>
        </is>
      </c>
      <c r="H389" t="inlineStr">
        <is>
          <t>1.0E-06 kg/kg fuel for diesel locomotives, according to Spielmann et al. (2007)
Spielmann, M., Bauer, C., Dones, R., Institut, P. S., &amp; Tuchschmid, M. (2007). Transport Services. Swiss Centre for Life Cycle Inventories, ecoinvent report No. 14.</t>
        </is>
      </c>
    </row>
    <row r="390">
      <c r="A390" t="inlineStr">
        <is>
          <t>transport, freight train, fuel cell, hydrogen</t>
        </is>
      </c>
      <c r="B390" t="n">
        <v>1</v>
      </c>
      <c r="C390" t="inlineStr">
        <is>
          <t>CN</t>
        </is>
      </c>
      <c r="D390" t="inlineStr">
        <is>
          <t>ton kilometer</t>
        </is>
      </c>
      <c r="F390" t="inlineStr">
        <is>
          <t>production</t>
        </is>
      </c>
      <c r="G390" t="inlineStr">
        <is>
          <t>transport, freight train</t>
        </is>
      </c>
    </row>
    <row r="391"/>
    <row r="392">
      <c r="A392" s="2" t="inlineStr">
        <is>
          <t>Activity</t>
        </is>
      </c>
      <c r="B392" s="2" t="inlineStr">
        <is>
          <t>transport, freight train, diesel-electric</t>
        </is>
      </c>
    </row>
    <row r="393">
      <c r="A393" t="inlineStr">
        <is>
          <t>location</t>
        </is>
      </c>
      <c r="B393" t="inlineStr">
        <is>
          <t>ZA</t>
        </is>
      </c>
    </row>
    <row r="394">
      <c r="A394" t="inlineStr">
        <is>
          <t>production amount</t>
        </is>
      </c>
      <c r="B394" t="n">
        <v>1</v>
      </c>
    </row>
    <row r="395">
      <c r="A395" t="inlineStr">
        <is>
          <t>reference product</t>
        </is>
      </c>
      <c r="B395" t="inlineStr">
        <is>
          <t>transport, freight train</t>
        </is>
      </c>
    </row>
    <row r="396">
      <c r="A396" t="inlineStr">
        <is>
          <t>type</t>
        </is>
      </c>
      <c r="B396" t="inlineStr">
        <is>
          <t>process</t>
        </is>
      </c>
    </row>
    <row r="397">
      <c r="A397" t="inlineStr">
        <is>
          <t>unit</t>
        </is>
      </c>
      <c r="B397" t="inlineStr">
        <is>
          <t>ton kilometer</t>
        </is>
      </c>
    </row>
    <row r="398">
      <c r="A398" t="inlineStr">
        <is>
          <t>Exchanges</t>
        </is>
      </c>
    </row>
    <row r="399">
      <c r="A399" s="2" t="inlineStr">
        <is>
          <t>name</t>
        </is>
      </c>
      <c r="B399" s="2" t="inlineStr">
        <is>
          <t>amount</t>
        </is>
      </c>
      <c r="C399" s="2" t="inlineStr">
        <is>
          <t>location</t>
        </is>
      </c>
      <c r="D399" s="2" t="inlineStr">
        <is>
          <t>unit</t>
        </is>
      </c>
      <c r="E399" s="2" t="inlineStr">
        <is>
          <t>categories</t>
        </is>
      </c>
      <c r="F399" s="2" t="inlineStr">
        <is>
          <t>type</t>
        </is>
      </c>
      <c r="G399" s="2" t="inlineStr">
        <is>
          <t>reference product</t>
        </is>
      </c>
      <c r="H399" s="2" t="inlineStr">
        <is>
          <t>comment</t>
        </is>
      </c>
    </row>
    <row r="400">
      <c r="A400" t="inlineStr">
        <is>
          <t>market for diesel</t>
        </is>
      </c>
      <c r="B400" t="n">
        <v>0.01056182035179208</v>
      </c>
      <c r="C400" t="inlineStr">
        <is>
          <t>ZA</t>
        </is>
      </c>
      <c r="D400" t="inlineStr">
        <is>
          <t>kilogram</t>
        </is>
      </c>
      <c r="F400" t="inlineStr">
        <is>
          <t>technosphere</t>
        </is>
      </c>
      <c r="G400" t="inlineStr">
        <is>
          <t>diesel</t>
        </is>
      </c>
      <c r="H400"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
Additional the energy consumption for shunting processes is added. The shunting processe is assumed to be done by diesel shunting locomotives exclusivley. The specific diesel consumption for the shunting is taken from the regional ecoinvent datasets "transport, freight train, electric".</t>
        </is>
      </c>
    </row>
    <row r="401">
      <c r="A401" t="inlineStr">
        <is>
          <t>production of locomotive, diesel-electric</t>
        </is>
      </c>
      <c r="B401" t="n">
        <v>1.2322e-09</v>
      </c>
      <c r="C401" t="inlineStr">
        <is>
          <t>GLO</t>
        </is>
      </c>
      <c r="D401" t="inlineStr">
        <is>
          <t>unit</t>
        </is>
      </c>
      <c r="F401" t="inlineStr">
        <is>
          <t>technosphere</t>
        </is>
      </c>
      <c r="G401" t="inlineStr">
        <is>
          <t>locomotive diesel-electric</t>
        </is>
      </c>
      <c r="H401" t="inlineStr">
        <is>
          <t>taken from ecoinvent inventory "transport, freight train, diesel - ZA"</t>
        </is>
      </c>
    </row>
    <row r="402">
      <c r="A402" t="inlineStr">
        <is>
          <t>market for maintenance, locomotive</t>
        </is>
      </c>
      <c r="B402" t="n">
        <v>1.2322e-09</v>
      </c>
      <c r="C402" t="inlineStr">
        <is>
          <t>GLO</t>
        </is>
      </c>
      <c r="D402" t="inlineStr">
        <is>
          <t>unit</t>
        </is>
      </c>
      <c r="F402" t="inlineStr">
        <is>
          <t>technosphere</t>
        </is>
      </c>
      <c r="G402" t="inlineStr">
        <is>
          <t>maintenance, locomotive</t>
        </is>
      </c>
      <c r="H402" t="inlineStr">
        <is>
          <t>taken from ecoinvent inventory "transport, freight train, diesel - ZA"</t>
        </is>
      </c>
    </row>
    <row r="403">
      <c r="A403" t="inlineStr">
        <is>
          <t>market for goods wagon</t>
        </is>
      </c>
      <c r="B403" t="n">
        <v>8.4191e-09</v>
      </c>
      <c r="C403" t="inlineStr">
        <is>
          <t>GLO</t>
        </is>
      </c>
      <c r="D403" t="inlineStr">
        <is>
          <t>unit</t>
        </is>
      </c>
      <c r="F403" t="inlineStr">
        <is>
          <t>technosphere</t>
        </is>
      </c>
      <c r="G403" t="inlineStr">
        <is>
          <t>goods wagon</t>
        </is>
      </c>
      <c r="H403" t="inlineStr">
        <is>
          <t>taken from ecoinvent inventory "transport, freight train, diesel - ZA"</t>
        </is>
      </c>
    </row>
    <row r="404">
      <c r="A404" t="inlineStr">
        <is>
          <t>market for maintenance, goods wagon</t>
        </is>
      </c>
      <c r="B404" t="n">
        <v>8.4191e-09</v>
      </c>
      <c r="C404" t="inlineStr">
        <is>
          <t>GLO</t>
        </is>
      </c>
      <c r="D404" t="inlineStr">
        <is>
          <t>unit</t>
        </is>
      </c>
      <c r="F404" t="inlineStr">
        <is>
          <t>technosphere</t>
        </is>
      </c>
      <c r="G404" t="inlineStr">
        <is>
          <t>maintenance, goods wagon</t>
        </is>
      </c>
      <c r="H404" t="inlineStr">
        <is>
          <t>taken from ecoinvent inventory "transport, freight train, diesel - ZA"</t>
        </is>
      </c>
    </row>
    <row r="405">
      <c r="A405" t="inlineStr">
        <is>
          <t>market for railway track</t>
        </is>
      </c>
      <c r="B405" t="n">
        <v>9.679300000000001e-05</v>
      </c>
      <c r="C405" t="inlineStr">
        <is>
          <t>GLO</t>
        </is>
      </c>
      <c r="D405" t="inlineStr">
        <is>
          <t>meter-year</t>
        </is>
      </c>
      <c r="F405" t="inlineStr">
        <is>
          <t>technosphere</t>
        </is>
      </c>
      <c r="G405" t="inlineStr">
        <is>
          <t>railway track</t>
        </is>
      </c>
      <c r="H405" t="inlineStr">
        <is>
          <t>taken from ecoinvent inventory "transport, freight train, diesel - ZA"</t>
        </is>
      </c>
    </row>
    <row r="406">
      <c r="A406" t="inlineStr">
        <is>
          <t>Ammonia</t>
        </is>
      </c>
      <c r="B406" t="n">
        <v>1.787839600247827e-07</v>
      </c>
      <c r="D406" t="inlineStr">
        <is>
          <t>kilogram</t>
        </is>
      </c>
      <c r="E406" t="inlineStr">
        <is>
          <t>air</t>
        </is>
      </c>
      <c r="F406" t="inlineStr">
        <is>
          <t>biosphere</t>
        </is>
      </c>
      <c r="H406" t="inlineStr">
        <is>
          <t>2.0E-05 kg/kg fuel for diesel locomotives, according to Spielmann et al. (2007)
Spielmann, M., Bauer, C., Dones, R., Institut, P. S., &amp; Tuchschmid, M. (2007). Transport Services. Swiss Centre for Life Cycle Inventories, ecoinvent report No. 14.</t>
        </is>
      </c>
    </row>
    <row r="407">
      <c r="A407" t="inlineStr">
        <is>
          <t>Benzene</t>
        </is>
      </c>
      <c r="B407" t="n">
        <v>8.939198001239135e-07</v>
      </c>
      <c r="D407" t="inlineStr">
        <is>
          <t>kilogram</t>
        </is>
      </c>
      <c r="E407" t="inlineStr">
        <is>
          <t>air</t>
        </is>
      </c>
      <c r="F407" t="inlineStr">
        <is>
          <t>biosphere</t>
        </is>
      </c>
      <c r="H407" t="inlineStr">
        <is>
          <t>1.0E-04 kg/kg fuel for diesel locomotives, according to Spielmann et al. (2007)
Spielmann, M., Bauer, C., Dones, R., Institut, P. S., &amp; Tuchschmid, M. (2007). Transport Services. Swiss Centre for Life Cycle Inventories, ecoinvent report No. 14.</t>
        </is>
      </c>
    </row>
    <row r="408">
      <c r="A408" t="inlineStr">
        <is>
          <t>Cadmium II</t>
        </is>
      </c>
      <c r="B408" t="n">
        <v>8.939198001239134e-11</v>
      </c>
      <c r="D408" t="inlineStr">
        <is>
          <t>kilogram</t>
        </is>
      </c>
      <c r="E408" t="inlineStr">
        <is>
          <t>air</t>
        </is>
      </c>
      <c r="F408" t="inlineStr">
        <is>
          <t>biosphere</t>
        </is>
      </c>
      <c r="H408" t="inlineStr">
        <is>
          <t>1.0E-08 kg/kg fuel for diesel locomotives, according to Spielmann et al. (2007)
Spielmann, M., Bauer, C., Dones, R., Institut, P. S., &amp; Tuchschmid, M. (2007). Transport Services. Swiss Centre for Life Cycle Inventories, ecoinvent report No. 14.</t>
        </is>
      </c>
    </row>
    <row r="409">
      <c r="A409" t="inlineStr">
        <is>
          <t>Carbon dioxide, fossil</t>
        </is>
      </c>
      <c r="B409" t="n">
        <v>0.02812271691189832</v>
      </c>
      <c r="D409" t="inlineStr">
        <is>
          <t>kilogram</t>
        </is>
      </c>
      <c r="E409" t="inlineStr">
        <is>
          <t>air</t>
        </is>
      </c>
      <c r="F409" t="inlineStr">
        <is>
          <t>biosphere</t>
        </is>
      </c>
      <c r="H409" t="inlineStr">
        <is>
          <t>3.146 kg/kg fuel for diesel locomotives, according to Spielmann et al. (2007)
Spielmann, M., Bauer, C., Dones, R., Institut, P. S., &amp; Tuchschmid, M. (2007). Transport Services. Swiss Centre for Life Cycle Inventories, ecoinvent report No. 14.</t>
        </is>
      </c>
    </row>
    <row r="410">
      <c r="A410" t="inlineStr">
        <is>
          <t>Carbon monoxide, fossil</t>
        </is>
      </c>
      <c r="B410" t="n">
        <v>0.0001412393284195784</v>
      </c>
      <c r="D410" t="inlineStr">
        <is>
          <t>kilogram</t>
        </is>
      </c>
      <c r="E410" t="inlineStr">
        <is>
          <t>air</t>
        </is>
      </c>
      <c r="F410" t="inlineStr">
        <is>
          <t>biosphere</t>
        </is>
      </c>
      <c r="H410" t="inlineStr">
        <is>
          <t>1.58E-02 kg/kg fuel for diesel locomotives, according to Spielmann et al. (2007)
Spielmann, M., Bauer, C., Dones, R., Institut, P. S., &amp; Tuchschmid, M. (2007). Transport Services. Swiss Centre for Life Cycle Inventories, ecoinvent report No. 14.</t>
        </is>
      </c>
    </row>
    <row r="411">
      <c r="A411" t="inlineStr">
        <is>
          <t>Chromium III</t>
        </is>
      </c>
      <c r="B411" t="n">
        <v>4.469599000619567e-10</v>
      </c>
      <c r="D411" t="inlineStr">
        <is>
          <t>kilogram</t>
        </is>
      </c>
      <c r="E411" t="inlineStr">
        <is>
          <t>air</t>
        </is>
      </c>
      <c r="F411" t="inlineStr">
        <is>
          <t>biosphere</t>
        </is>
      </c>
      <c r="H411" t="inlineStr">
        <is>
          <t>5.0E-08 kg/kg fuel for diesel locomotives, according to Spielmann et al. (2007)
Spielmann, M., Bauer, C., Dones, R., Institut, P. S., &amp; Tuchschmid, M. (2007). Transport Services. Swiss Centre for Life Cycle Inventories, ecoinvent report No. 14.</t>
        </is>
      </c>
    </row>
    <row r="412">
      <c r="A412" t="inlineStr">
        <is>
          <t>Copper ion</t>
        </is>
      </c>
      <c r="B412" t="n">
        <v>1.519663660210653e-08</v>
      </c>
      <c r="D412" t="inlineStr">
        <is>
          <t>kilogram</t>
        </is>
      </c>
      <c r="E412" t="inlineStr">
        <is>
          <t>air</t>
        </is>
      </c>
      <c r="F412" t="inlineStr">
        <is>
          <t>biosphere</t>
        </is>
      </c>
      <c r="H412" t="inlineStr">
        <is>
          <t>1.7E-06 kg/kg fuel for diesel locomotives, according to Spielmann et al. (2007)
Spielmann, M., Bauer, C., Dones, R., Institut, P. S., &amp; Tuchschmid, M. (2007). Transport Services. Swiss Centre for Life Cycle Inventories, ecoinvent report No. 14.</t>
        </is>
      </c>
    </row>
    <row r="413">
      <c r="A413" t="inlineStr">
        <is>
          <t>Dinitrogen monoxide</t>
        </is>
      </c>
      <c r="B413" t="n">
        <v>8.939198001239135e-07</v>
      </c>
      <c r="D413" t="inlineStr">
        <is>
          <t>kilogram</t>
        </is>
      </c>
      <c r="E413" t="inlineStr">
        <is>
          <t>air</t>
        </is>
      </c>
      <c r="F413" t="inlineStr">
        <is>
          <t>biosphere</t>
        </is>
      </c>
      <c r="H413" t="inlineStr">
        <is>
          <t>1.0E-04 kg/kg fuel for diesel locomotives, according to Spielmann et al. (2007)
Spielmann, M., Bauer, C., Dones, R., Institut, P. S., &amp; Tuchschmid, M. (2007). Transport Services. Swiss Centre for Life Cycle Inventories, ecoinvent report No. 14.</t>
        </is>
      </c>
    </row>
    <row r="414">
      <c r="A414" t="inlineStr">
        <is>
          <t>Iron ion</t>
        </is>
      </c>
      <c r="B414" t="n">
        <v>1.24e-05</v>
      </c>
      <c r="D414" t="inlineStr">
        <is>
          <t>kilogram</t>
        </is>
      </c>
      <c r="E414" t="inlineStr">
        <is>
          <t>soil</t>
        </is>
      </c>
      <c r="F414" t="inlineStr">
        <is>
          <t>biosphere</t>
        </is>
      </c>
      <c r="H414" t="inlineStr">
        <is>
          <t>1.24E-05 kg/tkm, emission of particulates due to abrasion from rail tracks, wheels,and brakes Spielmann et al. (2007)
Spielmann, M., Bauer, C., Dones, R., Institut, P. S., &amp; Tuchschmid, M. (2007). Transport Services. Swiss Centre for Life Cycle Inventories, ecoinvent report No. 14.</t>
        </is>
      </c>
    </row>
    <row r="415">
      <c r="A415" t="inlineStr">
        <is>
          <t>Lead II</t>
        </is>
      </c>
      <c r="B415" t="n">
        <v>9.833117801363047e-13</v>
      </c>
      <c r="D415" t="inlineStr">
        <is>
          <t>kilogram</t>
        </is>
      </c>
      <c r="E415" t="inlineStr">
        <is>
          <t>air</t>
        </is>
      </c>
      <c r="F415" t="inlineStr">
        <is>
          <t>biosphere</t>
        </is>
      </c>
      <c r="H415" t="inlineStr">
        <is>
          <t>1.1E-10 kg/kg fuel for diesel locomotives, according to Spielmann et al. (2007)
Spielmann, M., Bauer, C., Dones, R., Institut, P. S., &amp; Tuchschmid, M. (2007). Transport Services. Swiss Centre for Life Cycle Inventories, ecoinvent report No. 14.</t>
        </is>
      </c>
    </row>
    <row r="416">
      <c r="A416" t="inlineStr">
        <is>
          <t>Mercury II</t>
        </is>
      </c>
      <c r="B416" t="n">
        <v>1.787839600247827e-13</v>
      </c>
      <c r="D416" t="inlineStr">
        <is>
          <t>kilogram</t>
        </is>
      </c>
      <c r="E416" t="inlineStr">
        <is>
          <t>air</t>
        </is>
      </c>
      <c r="F416" t="inlineStr">
        <is>
          <t>biosphere</t>
        </is>
      </c>
      <c r="H416" t="inlineStr">
        <is>
          <t>2.0E-11 kg/kg fuel for diesel locomotives, according to Spielmann et al. (2007)
Spielmann, M., Bauer, C., Dones, R., Institut, P. S., &amp; Tuchschmid, M. (2007). Transport Services. Swiss Centre for Life Cycle Inventories, ecoinvent report No. 14.</t>
        </is>
      </c>
    </row>
    <row r="417">
      <c r="A417" t="inlineStr">
        <is>
          <t>Methane, fossil</t>
        </is>
      </c>
      <c r="B417" t="n">
        <v>1.162095740161087e-06</v>
      </c>
      <c r="D417" t="inlineStr">
        <is>
          <t>kilogram</t>
        </is>
      </c>
      <c r="E417" t="inlineStr">
        <is>
          <t>air</t>
        </is>
      </c>
      <c r="F417" t="inlineStr">
        <is>
          <t>biosphere</t>
        </is>
      </c>
      <c r="H417" t="inlineStr">
        <is>
          <t>1.3E-04 kg/kg fuel for diesel locomotives, according to Spielmann et al. (2007)
Spielmann, M., Bauer, C., Dones, R., Institut, P. S., &amp; Tuchschmid, M. (2007). Transport Services. Swiss Centre for Life Cycle Inventories, ecoinvent report No. 14.</t>
        </is>
      </c>
    </row>
    <row r="418">
      <c r="A418" t="inlineStr">
        <is>
          <t>NMVOC, non-methane volatile organic compounds</t>
        </is>
      </c>
      <c r="B418" t="n">
        <v>4.693078950650546e-05</v>
      </c>
      <c r="D418" t="inlineStr">
        <is>
          <t>kilogram</t>
        </is>
      </c>
      <c r="E418" t="inlineStr">
        <is>
          <t>air</t>
        </is>
      </c>
      <c r="F418" t="inlineStr">
        <is>
          <t>biosphere</t>
        </is>
      </c>
      <c r="H418" t="inlineStr">
        <is>
          <t>5.25E-03 kg/kg fuel for diesel locomotives, according to Spielmann et al. (2007)
Spielmann, M., Bauer, C., Dones, R., Institut, P. S., &amp; Tuchschmid, M. (2007). Transport Services. Swiss Centre for Life Cycle Inventories, ecoinvent report No. 14.</t>
        </is>
      </c>
    </row>
    <row r="419">
      <c r="A419" t="inlineStr">
        <is>
          <t>Nickel II</t>
        </is>
      </c>
      <c r="B419" t="n">
        <v>6.257438600867395e-10</v>
      </c>
      <c r="D419" t="inlineStr">
        <is>
          <t>kilogram</t>
        </is>
      </c>
      <c r="E419" t="inlineStr">
        <is>
          <t>air</t>
        </is>
      </c>
      <c r="F419" t="inlineStr">
        <is>
          <t>biosphere</t>
        </is>
      </c>
      <c r="H419" t="inlineStr">
        <is>
          <t>7.0E-08 kg/kg fuel for diesel locomotives, according to Spielmann et al. (2007)
Spielmann, M., Bauer, C., Dones, R., Institut, P. S., &amp; Tuchschmid, M. (2007). Transport Services. Swiss Centre for Life Cycle Inventories, ecoinvent report No. 14.</t>
        </is>
      </c>
    </row>
    <row r="420">
      <c r="A420" t="inlineStr">
        <is>
          <t>Nitrogen oxides</t>
        </is>
      </c>
      <c r="B420" t="n">
        <v>0.0004916558900681524</v>
      </c>
      <c r="D420" t="inlineStr">
        <is>
          <t>kilogram</t>
        </is>
      </c>
      <c r="E420" t="inlineStr">
        <is>
          <t>air</t>
        </is>
      </c>
      <c r="F420" t="inlineStr">
        <is>
          <t>biosphere</t>
        </is>
      </c>
      <c r="H420" t="inlineStr">
        <is>
          <t>5.5E-02 kg/kg fuel for diesel locomotives, according to Spielmann et al. (2007)
Spielmann, M., Bauer, C., Dones, R., Institut, P. S., &amp; Tuchschmid, M. (2007). Transport Services. Swiss Centre for Life Cycle Inventories, ecoinvent report No. 14.</t>
        </is>
      </c>
    </row>
    <row r="421">
      <c r="A421" t="inlineStr">
        <is>
          <t>Particulate Matter, &lt; 2.5 um</t>
        </is>
      </c>
      <c r="B421" t="n">
        <v>1.099521354152413e-05</v>
      </c>
      <c r="D421" t="inlineStr">
        <is>
          <t>kilogram</t>
        </is>
      </c>
      <c r="E421" t="inlineStr">
        <is>
          <t>air</t>
        </is>
      </c>
      <c r="F421" t="inlineStr">
        <is>
          <t>biosphere</t>
        </is>
      </c>
      <c r="H421" t="inlineStr">
        <is>
          <t>1.28E-03 kg/kg fuel for diesel locomotives, according to Spielmann et al. (2007)
Spielmann, M., Bauer, C., Dones, R., Institut, P. S., &amp; Tuchschmid, M. (2007). Transport Services. Swiss Centre for Life Cycle Inventories, ecoinvent report No. 14.</t>
        </is>
      </c>
    </row>
    <row r="422">
      <c r="A422" t="inlineStr">
        <is>
          <t>Particulate Matter, &gt; 10 um</t>
        </is>
      </c>
      <c r="B422" t="n">
        <v>1.819076197026803e-05</v>
      </c>
      <c r="D422" t="inlineStr">
        <is>
          <t>kilogram</t>
        </is>
      </c>
      <c r="E422" t="inlineStr">
        <is>
          <t>air</t>
        </is>
      </c>
      <c r="F422" t="inlineStr">
        <is>
          <t>biosphere</t>
        </is>
      </c>
      <c r="H422" t="inlineStr">
        <is>
          <t>4.59E-05 kg/kg fuel for diesel locomotives, according to Spielmann et al. (2007), plus
1.77E-05 kg/tkm, emission of particulates due to abrasion from rail tracks, wheels,and brakes Spielmann et al. (2007)
Spielmann, M., Bauer, C., Dones, R., Institut, P. S., &amp; Tuchschmid, M. (2007). Transport Services. Swiss Centre for Life Cycle Inventories, ecoinvent report No. 14.</t>
        </is>
      </c>
    </row>
    <row r="423">
      <c r="A423" t="inlineStr">
        <is>
          <t>Particulate Matter, &gt; 2.5 um and &lt; 10um</t>
        </is>
      </c>
      <c r="B423" t="n">
        <v>1.725649418613259e-05</v>
      </c>
      <c r="D423" t="inlineStr">
        <is>
          <t>kilogram</t>
        </is>
      </c>
      <c r="E423" t="inlineStr">
        <is>
          <t>air</t>
        </is>
      </c>
      <c r="F423" t="inlineStr">
        <is>
          <t>biosphere</t>
        </is>
      </c>
      <c r="H423" t="inlineStr">
        <is>
          <t>1.07E-04 kg/kg fuel for diesel locomotives, according to Spielmann et al. (2007), plus
1.63E-05 kg/tkm, emission of particulates due to abrasion from rail tracks, wheels,and brakes Spielmann et al. (2007)
Spielmann, M., Bauer, C., Dones, R., Institut, P. S., &amp; Tuchschmid, M. (2007). Transport Services. Swiss Centre for Life Cycle Inventories, ecoinvent report No. 14.</t>
        </is>
      </c>
    </row>
    <row r="424">
      <c r="A424" t="inlineStr">
        <is>
          <t>Selenium IV</t>
        </is>
      </c>
      <c r="B424" t="n">
        <v>8.939198001239134e-11</v>
      </c>
      <c r="D424" t="inlineStr">
        <is>
          <t>kilogram</t>
        </is>
      </c>
      <c r="E424" t="inlineStr">
        <is>
          <t>air</t>
        </is>
      </c>
      <c r="F424" t="inlineStr">
        <is>
          <t>biosphere</t>
        </is>
      </c>
      <c r="H424" t="inlineStr">
        <is>
          <t>1.0E-08 kg/kg fuel for diesel locomotives, according to Spielmann et al. (2007)
Spielmann, M., Bauer, C., Dones, R., Institut, P. S., &amp; Tuchschmid, M. (2007). Transport Services. Swiss Centre for Life Cycle Inventories, ecoinvent report No. 14.</t>
        </is>
      </c>
    </row>
    <row r="425">
      <c r="A425" t="inlineStr">
        <is>
          <t>Sulfur dioxide</t>
        </is>
      </c>
      <c r="B425" t="n">
        <v>5.36351880074348e-06</v>
      </c>
      <c r="D425" t="inlineStr">
        <is>
          <t>kilogram</t>
        </is>
      </c>
      <c r="E425" t="inlineStr">
        <is>
          <t>air</t>
        </is>
      </c>
      <c r="F425" t="inlineStr">
        <is>
          <t>biosphere</t>
        </is>
      </c>
      <c r="H425" t="inlineStr">
        <is>
          <t>6.0E-04 kg/kg fuel for diesel locomotives, according to Spielmann et al. (2007)
Spielmann, M., Bauer, C., Dones, R., Institut, P. S., &amp; Tuchschmid, M. (2007). Transport Services. Swiss Centre for Life Cycle Inventories, ecoinvent report No. 14.</t>
        </is>
      </c>
    </row>
    <row r="426">
      <c r="A426" t="inlineStr">
        <is>
          <t>Toluene</t>
        </is>
      </c>
      <c r="B426" t="n">
        <v>3.575679200495654e-07</v>
      </c>
      <c r="D426" t="inlineStr">
        <is>
          <t>kilogram</t>
        </is>
      </c>
      <c r="E426" t="inlineStr">
        <is>
          <t>air</t>
        </is>
      </c>
      <c r="F426" t="inlineStr">
        <is>
          <t>biosphere</t>
        </is>
      </c>
      <c r="H426" t="inlineStr">
        <is>
          <t>4.0E-05 kg/kg fuel for diesel locomotives, according to Spielmann et al. (2007)
Spielmann, M., Bauer, C., Dones, R., Institut, P. S., &amp; Tuchschmid, M. (2007). Transport Services. Swiss Centre for Life Cycle Inventories, ecoinvent report No. 14.</t>
        </is>
      </c>
    </row>
    <row r="427">
      <c r="A427" t="inlineStr">
        <is>
          <t>Xylene</t>
        </is>
      </c>
      <c r="B427" t="n">
        <v>3.575679200495654e-07</v>
      </c>
      <c r="D427" t="inlineStr">
        <is>
          <t>kilogram</t>
        </is>
      </c>
      <c r="E427" t="inlineStr">
        <is>
          <t>air</t>
        </is>
      </c>
      <c r="F427" t="inlineStr">
        <is>
          <t>biosphere</t>
        </is>
      </c>
      <c r="H427" t="inlineStr">
        <is>
          <t>4.0E-05 kg/kg fuel for diesel locomotives, according to Spielmann et al. (2007)
Spielmann, M., Bauer, C., Dones, R., Institut, P. S., &amp; Tuchschmid, M. (2007). Transport Services. Swiss Centre for Life Cycle Inventories, ecoinvent report No. 14.</t>
        </is>
      </c>
    </row>
    <row r="428">
      <c r="A428" t="inlineStr">
        <is>
          <t>Zinc II</t>
        </is>
      </c>
      <c r="B428" t="n">
        <v>8.939198001239135e-09</v>
      </c>
      <c r="D428" t="inlineStr">
        <is>
          <t>kilogram</t>
        </is>
      </c>
      <c r="E428" t="inlineStr">
        <is>
          <t>air</t>
        </is>
      </c>
      <c r="F428" t="inlineStr">
        <is>
          <t>biosphere</t>
        </is>
      </c>
      <c r="H428" t="inlineStr">
        <is>
          <t>1.0E-06 kg/kg fuel for diesel locomotives, according to Spielmann et al. (2007)
Spielmann, M., Bauer, C., Dones, R., Institut, P. S., &amp; Tuchschmid, M. (2007). Transport Services. Swiss Centre for Life Cycle Inventories, ecoinvent report No. 14.</t>
        </is>
      </c>
    </row>
    <row r="429">
      <c r="A429" t="inlineStr">
        <is>
          <t>transport, freight train, diesel-electric</t>
        </is>
      </c>
      <c r="B429" t="n">
        <v>1</v>
      </c>
      <c r="C429" t="inlineStr">
        <is>
          <t>ZA</t>
        </is>
      </c>
      <c r="D429" t="inlineStr">
        <is>
          <t>ton kilometer</t>
        </is>
      </c>
      <c r="F429" t="inlineStr">
        <is>
          <t>production</t>
        </is>
      </c>
      <c r="G429" t="inlineStr">
        <is>
          <t>transport, freight train</t>
        </is>
      </c>
    </row>
    <row r="430"/>
    <row r="431">
      <c r="A431" s="2" t="inlineStr">
        <is>
          <t>Activity</t>
        </is>
      </c>
      <c r="B431" s="2" t="inlineStr">
        <is>
          <t>transport, freight train, electric</t>
        </is>
      </c>
    </row>
    <row r="432">
      <c r="A432" t="inlineStr">
        <is>
          <t>location</t>
        </is>
      </c>
      <c r="B432" t="inlineStr">
        <is>
          <t>ZA</t>
        </is>
      </c>
    </row>
    <row r="433">
      <c r="A433" t="inlineStr">
        <is>
          <t>production amount</t>
        </is>
      </c>
      <c r="B433" t="n">
        <v>1</v>
      </c>
    </row>
    <row r="434">
      <c r="A434" t="inlineStr">
        <is>
          <t>reference product</t>
        </is>
      </c>
      <c r="B434" t="inlineStr">
        <is>
          <t>transport, freight train</t>
        </is>
      </c>
    </row>
    <row r="435">
      <c r="A435" t="inlineStr">
        <is>
          <t>type</t>
        </is>
      </c>
      <c r="B435" t="inlineStr">
        <is>
          <t>process</t>
        </is>
      </c>
    </row>
    <row r="436">
      <c r="A436" t="inlineStr">
        <is>
          <t>unit</t>
        </is>
      </c>
      <c r="B436" t="inlineStr">
        <is>
          <t>ton kilometer</t>
        </is>
      </c>
    </row>
    <row r="437">
      <c r="A437" t="inlineStr">
        <is>
          <t>Exchanges</t>
        </is>
      </c>
    </row>
    <row r="438">
      <c r="A438" s="2" t="inlineStr">
        <is>
          <t>name</t>
        </is>
      </c>
      <c r="B438" s="2" t="inlineStr">
        <is>
          <t>amount</t>
        </is>
      </c>
      <c r="C438" s="2" t="inlineStr">
        <is>
          <t>location</t>
        </is>
      </c>
      <c r="D438" s="2" t="inlineStr">
        <is>
          <t>unit</t>
        </is>
      </c>
      <c r="E438" s="2" t="inlineStr">
        <is>
          <t>categories</t>
        </is>
      </c>
      <c r="F438" s="2" t="inlineStr">
        <is>
          <t>type</t>
        </is>
      </c>
      <c r="G438" s="2" t="inlineStr">
        <is>
          <t>reference product</t>
        </is>
      </c>
      <c r="H438" s="2" t="inlineStr">
        <is>
          <t>comment</t>
        </is>
      </c>
    </row>
    <row r="439">
      <c r="A439" t="inlineStr">
        <is>
          <t>market for diesel</t>
        </is>
      </c>
      <c r="B439" t="n">
        <v>0.00017115</v>
      </c>
      <c r="C439" t="inlineStr">
        <is>
          <t>ZA</t>
        </is>
      </c>
      <c r="D439" t="inlineStr">
        <is>
          <t>kilogram</t>
        </is>
      </c>
      <c r="F439" t="inlineStr">
        <is>
          <t>technosphere</t>
        </is>
      </c>
      <c r="G439" t="inlineStr">
        <is>
          <t>diesel</t>
        </is>
      </c>
      <c r="H439" t="inlineStr">
        <is>
          <t>The energy consumption for shunting processes is added. The shunting process is assumed to be done by diesel shunting locomotives exclusivley. The specific diesel consumption for the shunting is taken from the regional ecoinvent datasets "transport, freight train, electric".</t>
        </is>
      </c>
    </row>
    <row r="440">
      <c r="A440" t="inlineStr">
        <is>
          <t>market for electricity, high voltage</t>
        </is>
      </c>
      <c r="B440" t="n">
        <v>0.01674995709477666</v>
      </c>
      <c r="C440" t="inlineStr">
        <is>
          <t>ZA</t>
        </is>
      </c>
      <c r="D440" t="inlineStr">
        <is>
          <t>kilowatt hour</t>
        </is>
      </c>
      <c r="F440" t="inlineStr">
        <is>
          <t>technosphere</t>
        </is>
      </c>
      <c r="G440" t="inlineStr">
        <is>
          <t>electricity, high voltage</t>
        </is>
      </c>
      <c r="H440"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
Similar to the ecoinvent process the electricity consumed is split 50/50 between high and medium voltage as precise data was not available.</t>
        </is>
      </c>
    </row>
    <row r="441">
      <c r="A441" t="inlineStr">
        <is>
          <t>market for electricity, medium voltage</t>
        </is>
      </c>
      <c r="B441" t="n">
        <v>0.01674995709477666</v>
      </c>
      <c r="C441" t="inlineStr">
        <is>
          <t>ZA</t>
        </is>
      </c>
      <c r="D441" t="inlineStr">
        <is>
          <t>kilowatt hour</t>
        </is>
      </c>
      <c r="F441" t="inlineStr">
        <is>
          <t>technosphere</t>
        </is>
      </c>
      <c r="G441" t="inlineStr">
        <is>
          <t>electricity, medium voltage</t>
        </is>
      </c>
      <c r="H441"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
Similar to the ecoinvent process the electricity consumed is split 50/50 between high and medium voltage as precise data was not available.</t>
        </is>
      </c>
    </row>
    <row r="442">
      <c r="A442" t="inlineStr">
        <is>
          <t>production of locomotive, electric catenary</t>
        </is>
      </c>
      <c r="B442" t="n">
        <v>1.2322e-09</v>
      </c>
      <c r="C442" t="inlineStr">
        <is>
          <t>GLO</t>
        </is>
      </c>
      <c r="D442" t="inlineStr">
        <is>
          <t>unit</t>
        </is>
      </c>
      <c r="F442" t="inlineStr">
        <is>
          <t>technosphere</t>
        </is>
      </c>
      <c r="G442" t="inlineStr">
        <is>
          <t>locomotive electric, catenary</t>
        </is>
      </c>
      <c r="H442" t="inlineStr">
        <is>
          <t>taken from ecoinvent inventory "transport, freight train, electricity - ZA"</t>
        </is>
      </c>
    </row>
    <row r="443">
      <c r="A443" t="inlineStr">
        <is>
          <t>market for maintenance, locomotive</t>
        </is>
      </c>
      <c r="B443" t="n">
        <v>1.2322e-09</v>
      </c>
      <c r="C443" t="inlineStr">
        <is>
          <t>GLO</t>
        </is>
      </c>
      <c r="D443" t="inlineStr">
        <is>
          <t>unit</t>
        </is>
      </c>
      <c r="F443" t="inlineStr">
        <is>
          <t>technosphere</t>
        </is>
      </c>
      <c r="G443" t="inlineStr">
        <is>
          <t>maintenance, locomotive</t>
        </is>
      </c>
      <c r="H443" t="inlineStr">
        <is>
          <t>taken from ecoinvent inventory "transport, freight train, electricity - ZA"</t>
        </is>
      </c>
    </row>
    <row r="444">
      <c r="A444" t="inlineStr">
        <is>
          <t>market for goods wagon</t>
        </is>
      </c>
      <c r="B444" t="n">
        <v>8.4191e-09</v>
      </c>
      <c r="C444" t="inlineStr">
        <is>
          <t>GLO</t>
        </is>
      </c>
      <c r="D444" t="inlineStr">
        <is>
          <t>unit</t>
        </is>
      </c>
      <c r="F444" t="inlineStr">
        <is>
          <t>technosphere</t>
        </is>
      </c>
      <c r="G444" t="inlineStr">
        <is>
          <t>goods wagon</t>
        </is>
      </c>
      <c r="H444" t="inlineStr">
        <is>
          <t>taken from ecoinvent inventory "transport, freight train, electricity - ZA"</t>
        </is>
      </c>
    </row>
    <row r="445">
      <c r="A445" t="inlineStr">
        <is>
          <t>market for maintenance, goods wagon</t>
        </is>
      </c>
      <c r="B445" t="n">
        <v>8.4191e-09</v>
      </c>
      <c r="C445" t="inlineStr">
        <is>
          <t>GLO</t>
        </is>
      </c>
      <c r="D445" t="inlineStr">
        <is>
          <t>unit</t>
        </is>
      </c>
      <c r="F445" t="inlineStr">
        <is>
          <t>technosphere</t>
        </is>
      </c>
      <c r="G445" t="inlineStr">
        <is>
          <t>maintenance, goods wagon</t>
        </is>
      </c>
      <c r="H445" t="inlineStr">
        <is>
          <t>taken from ecoinvent inventory "transport, freight train, electricity - ZA"</t>
        </is>
      </c>
    </row>
    <row r="446">
      <c r="A446" t="inlineStr">
        <is>
          <t>market for railway track</t>
        </is>
      </c>
      <c r="B446" t="n">
        <v>9.679300000000001e-05</v>
      </c>
      <c r="C446" t="inlineStr">
        <is>
          <t>GLO</t>
        </is>
      </c>
      <c r="D446" t="inlineStr">
        <is>
          <t>meter-year</t>
        </is>
      </c>
      <c r="F446" t="inlineStr">
        <is>
          <t>technosphere</t>
        </is>
      </c>
      <c r="G446" t="inlineStr">
        <is>
          <t>railway track</t>
        </is>
      </c>
      <c r="H446" t="inlineStr">
        <is>
          <t>taken from ecoinvent inventory "transport, freight train, electricity - ZA"</t>
        </is>
      </c>
    </row>
    <row r="447">
      <c r="A447" t="inlineStr">
        <is>
          <t>Ammonia</t>
        </is>
      </c>
      <c r="B447" t="n">
        <v>3.423000000000001e-09</v>
      </c>
      <c r="D447" t="inlineStr">
        <is>
          <t>kilogram</t>
        </is>
      </c>
      <c r="E447" t="inlineStr">
        <is>
          <t>air</t>
        </is>
      </c>
      <c r="F447" t="inlineStr">
        <is>
          <t>biosphere</t>
        </is>
      </c>
      <c r="H447" t="inlineStr">
        <is>
          <t>2.0E-05 kg/kg fuel for diesel locomotives, according to Spielmann et al. (2007)
Spielmann, M., Bauer, C., Dones, R., Institut, P. S., &amp; Tuchschmid, M. (2007). Transport Services. Swiss Centre for Life Cycle Inventories, ecoinvent report No. 14.</t>
        </is>
      </c>
    </row>
    <row r="448">
      <c r="A448" t="inlineStr">
        <is>
          <t>Benzene</t>
        </is>
      </c>
      <c r="B448" t="n">
        <v>1.7115e-08</v>
      </c>
      <c r="D448" t="inlineStr">
        <is>
          <t>kilogram</t>
        </is>
      </c>
      <c r="E448" t="inlineStr">
        <is>
          <t>air</t>
        </is>
      </c>
      <c r="F448" t="inlineStr">
        <is>
          <t>biosphere</t>
        </is>
      </c>
      <c r="H448" t="inlineStr">
        <is>
          <t>1.0E-04 kg/kg fuel for diesel locomotives, according to Spielmann et al. (2007)
Spielmann, M., Bauer, C., Dones, R., Institut, P. S., &amp; Tuchschmid, M. (2007). Transport Services. Swiss Centre for Life Cycle Inventories, ecoinvent report No. 14.</t>
        </is>
      </c>
    </row>
    <row r="449">
      <c r="A449" t="inlineStr">
        <is>
          <t>Cadmium II</t>
        </is>
      </c>
      <c r="B449" t="n">
        <v>1.7115e-12</v>
      </c>
      <c r="D449" t="inlineStr">
        <is>
          <t>kilogram</t>
        </is>
      </c>
      <c r="E449" t="inlineStr">
        <is>
          <t>air</t>
        </is>
      </c>
      <c r="F449" t="inlineStr">
        <is>
          <t>biosphere</t>
        </is>
      </c>
      <c r="H449" t="inlineStr">
        <is>
          <t>1.0E-08 kg/kg fuel for diesel locomotives, according to Spielmann et al. (2007)
Spielmann, M., Bauer, C., Dones, R., Institut, P. S., &amp; Tuchschmid, M. (2007). Transport Services. Swiss Centre for Life Cycle Inventories, ecoinvent report No. 14.</t>
        </is>
      </c>
    </row>
    <row r="450">
      <c r="A450" t="inlineStr">
        <is>
          <t>Carbon dioxide, fossil</t>
        </is>
      </c>
      <c r="B450" t="n">
        <v>0.0005384379</v>
      </c>
      <c r="D450" t="inlineStr">
        <is>
          <t>kilogram</t>
        </is>
      </c>
      <c r="E450" t="inlineStr">
        <is>
          <t>air</t>
        </is>
      </c>
      <c r="F450" t="inlineStr">
        <is>
          <t>biosphere</t>
        </is>
      </c>
      <c r="H450" t="inlineStr">
        <is>
          <t>3.146 kg/kg fuel for diesel locomotives, according to Spielmann et al. (2007)
Spielmann, M., Bauer, C., Dones, R., Institut, P. S., &amp; Tuchschmid, M. (2007). Transport Services. Swiss Centre for Life Cycle Inventories, ecoinvent report No. 14.</t>
        </is>
      </c>
    </row>
    <row r="451">
      <c r="A451" t="inlineStr">
        <is>
          <t>Carbon monoxide, fossil</t>
        </is>
      </c>
      <c r="B451" t="n">
        <v>2.70417e-06</v>
      </c>
      <c r="D451" t="inlineStr">
        <is>
          <t>kilogram</t>
        </is>
      </c>
      <c r="E451" t="inlineStr">
        <is>
          <t>air</t>
        </is>
      </c>
      <c r="F451" t="inlineStr">
        <is>
          <t>biosphere</t>
        </is>
      </c>
      <c r="H451" t="inlineStr">
        <is>
          <t>1.58E-02 kg/kg fuel for diesel locomotives, according to Spielmann et al. (2007)
Spielmann, M., Bauer, C., Dones, R., Institut, P. S., &amp; Tuchschmid, M. (2007). Transport Services. Swiss Centre for Life Cycle Inventories, ecoinvent report No. 14.</t>
        </is>
      </c>
    </row>
    <row r="452">
      <c r="A452" t="inlineStr">
        <is>
          <t>Chromium III</t>
        </is>
      </c>
      <c r="B452" t="n">
        <v>8.5575e-12</v>
      </c>
      <c r="D452" t="inlineStr">
        <is>
          <t>kilogram</t>
        </is>
      </c>
      <c r="E452" t="inlineStr">
        <is>
          <t>air</t>
        </is>
      </c>
      <c r="F452" t="inlineStr">
        <is>
          <t>biosphere</t>
        </is>
      </c>
      <c r="H452" t="inlineStr">
        <is>
          <t>5.0E-08 kg/kg fuel for diesel locomotives, according to Spielmann et al. (2007)
Spielmann, M., Bauer, C., Dones, R., Institut, P. S., &amp; Tuchschmid, M. (2007). Transport Services. Swiss Centre for Life Cycle Inventories, ecoinvent report No. 14.</t>
        </is>
      </c>
    </row>
    <row r="453">
      <c r="A453" t="inlineStr">
        <is>
          <t>Copper ion</t>
        </is>
      </c>
      <c r="B453" t="n">
        <v>2.90955e-10</v>
      </c>
      <c r="D453" t="inlineStr">
        <is>
          <t>kilogram</t>
        </is>
      </c>
      <c r="E453" t="inlineStr">
        <is>
          <t>air</t>
        </is>
      </c>
      <c r="F453" t="inlineStr">
        <is>
          <t>biosphere</t>
        </is>
      </c>
      <c r="H453" t="inlineStr">
        <is>
          <t>1.7E-06 kg/kg fuel for diesel locomotives, according to Spielmann et al. (2007)
Spielmann, M., Bauer, C., Dones, R., Institut, P. S., &amp; Tuchschmid, M. (2007). Transport Services. Swiss Centre for Life Cycle Inventories, ecoinvent report No. 14.</t>
        </is>
      </c>
    </row>
    <row r="454">
      <c r="A454" t="inlineStr">
        <is>
          <t>Dinitrogen monoxide</t>
        </is>
      </c>
      <c r="B454" t="n">
        <v>1.7115e-08</v>
      </c>
      <c r="D454" t="inlineStr">
        <is>
          <t>kilogram</t>
        </is>
      </c>
      <c r="E454" t="inlineStr">
        <is>
          <t>air</t>
        </is>
      </c>
      <c r="F454" t="inlineStr">
        <is>
          <t>biosphere</t>
        </is>
      </c>
      <c r="H454" t="inlineStr">
        <is>
          <t>1.0E-04 kg/kg fuel for diesel locomotives, according to Spielmann et al. (2007)
Spielmann, M., Bauer, C., Dones, R., Institut, P. S., &amp; Tuchschmid, M. (2007). Transport Services. Swiss Centre for Life Cycle Inventories, ecoinvent report No. 14.</t>
        </is>
      </c>
    </row>
    <row r="455">
      <c r="A455" t="inlineStr">
        <is>
          <t>Iron ion</t>
        </is>
      </c>
      <c r="B455" t="n">
        <v>1.24e-05</v>
      </c>
      <c r="D455" t="inlineStr">
        <is>
          <t>kilogram</t>
        </is>
      </c>
      <c r="E455" t="inlineStr">
        <is>
          <t>soil</t>
        </is>
      </c>
      <c r="F455" t="inlineStr">
        <is>
          <t>biosphere</t>
        </is>
      </c>
      <c r="H455" t="inlineStr">
        <is>
          <t>1.24E-05 kg/tkm, emission of particulates due to abrasion from rail tracks, wheels,and brakes Spielmann et al. (2007)
Spielmann, M., Bauer, C., Dones, R., Institut, P. S., &amp; Tuchschmid, M. (2007). Transport Services. Swiss Centre for Life Cycle Inventories, ecoinvent report No. 14.</t>
        </is>
      </c>
    </row>
    <row r="456">
      <c r="A456" t="inlineStr">
        <is>
          <t>Lead II</t>
        </is>
      </c>
      <c r="B456" t="n">
        <v>1.88265e-14</v>
      </c>
      <c r="D456" t="inlineStr">
        <is>
          <t>kilogram</t>
        </is>
      </c>
      <c r="E456" t="inlineStr">
        <is>
          <t>air</t>
        </is>
      </c>
      <c r="F456" t="inlineStr">
        <is>
          <t>biosphere</t>
        </is>
      </c>
      <c r="H456" t="inlineStr">
        <is>
          <t>1.1E-10 kg/kg fuel for diesel locomotives, according to Spielmann et al. (2007)
Spielmann, M., Bauer, C., Dones, R., Institut, P. S., &amp; Tuchschmid, M. (2007). Transport Services. Swiss Centre for Life Cycle Inventories, ecoinvent report No. 14.</t>
        </is>
      </c>
    </row>
    <row r="457">
      <c r="A457" t="inlineStr">
        <is>
          <t>Mercury II</t>
        </is>
      </c>
      <c r="B457" t="n">
        <v>3.423e-15</v>
      </c>
      <c r="D457" t="inlineStr">
        <is>
          <t>kilogram</t>
        </is>
      </c>
      <c r="E457" t="inlineStr">
        <is>
          <t>air</t>
        </is>
      </c>
      <c r="F457" t="inlineStr">
        <is>
          <t>biosphere</t>
        </is>
      </c>
      <c r="H457" t="inlineStr">
        <is>
          <t>2.0E-11 kg/kg fuel for diesel locomotives, according to Spielmann et al. (2007)
Spielmann, M., Bauer, C., Dones, R., Institut, P. S., &amp; Tuchschmid, M. (2007). Transport Services. Swiss Centre for Life Cycle Inventories, ecoinvent report No. 14.</t>
        </is>
      </c>
    </row>
    <row r="458">
      <c r="A458" t="inlineStr">
        <is>
          <t>Methane, fossil</t>
        </is>
      </c>
      <c r="B458" t="n">
        <v>2.22495e-08</v>
      </c>
      <c r="D458" t="inlineStr">
        <is>
          <t>kilogram</t>
        </is>
      </c>
      <c r="E458" t="inlineStr">
        <is>
          <t>air</t>
        </is>
      </c>
      <c r="F458" t="inlineStr">
        <is>
          <t>biosphere</t>
        </is>
      </c>
      <c r="H458" t="inlineStr">
        <is>
          <t>1.3E-04 kg/kg fuel for diesel locomotives, according to Spielmann et al. (2007)
Spielmann, M., Bauer, C., Dones, R., Institut, P. S., &amp; Tuchschmid, M. (2007). Transport Services. Swiss Centre for Life Cycle Inventories, ecoinvent report No. 14.</t>
        </is>
      </c>
    </row>
    <row r="459">
      <c r="A459" t="inlineStr">
        <is>
          <t>NMVOC, non-methane volatile organic compounds</t>
        </is>
      </c>
      <c r="B459" t="n">
        <v>8.985375000000001e-07</v>
      </c>
      <c r="D459" t="inlineStr">
        <is>
          <t>kilogram</t>
        </is>
      </c>
      <c r="E459" t="inlineStr">
        <is>
          <t>air</t>
        </is>
      </c>
      <c r="F459" t="inlineStr">
        <is>
          <t>biosphere</t>
        </is>
      </c>
      <c r="H459" t="inlineStr">
        <is>
          <t>5.25E-03 kg/kg fuel for diesel locomotives, according to Spielmann et al. (2007)
Spielmann, M., Bauer, C., Dones, R., Institut, P. S., &amp; Tuchschmid, M. (2007). Transport Services. Swiss Centre for Life Cycle Inventories, ecoinvent report No. 14.</t>
        </is>
      </c>
    </row>
    <row r="460">
      <c r="A460" t="inlineStr">
        <is>
          <t>Nickel II</t>
        </is>
      </c>
      <c r="B460" t="n">
        <v>1.19805e-11</v>
      </c>
      <c r="D460" t="inlineStr">
        <is>
          <t>kilogram</t>
        </is>
      </c>
      <c r="E460" t="inlineStr">
        <is>
          <t>air</t>
        </is>
      </c>
      <c r="F460" t="inlineStr">
        <is>
          <t>biosphere</t>
        </is>
      </c>
      <c r="H460" t="inlineStr">
        <is>
          <t>7.0E-08 kg/kg fuel for diesel locomotives, according to Spielmann et al. (2007)
Spielmann, M., Bauer, C., Dones, R., Institut, P. S., &amp; Tuchschmid, M. (2007). Transport Services. Swiss Centre for Life Cycle Inventories, ecoinvent report No. 14.</t>
        </is>
      </c>
    </row>
    <row r="461">
      <c r="A461" t="inlineStr">
        <is>
          <t>Nitrogen oxides</t>
        </is>
      </c>
      <c r="B461" t="n">
        <v>9.41325e-06</v>
      </c>
      <c r="D461" t="inlineStr">
        <is>
          <t>kilogram</t>
        </is>
      </c>
      <c r="E461" t="inlineStr">
        <is>
          <t>air</t>
        </is>
      </c>
      <c r="F461" t="inlineStr">
        <is>
          <t>biosphere</t>
        </is>
      </c>
      <c r="H461" t="inlineStr">
        <is>
          <t>5.5E-02 kg/kg fuel for diesel locomotives, according to Spielmann et al. (2007)
Spielmann, M., Bauer, C., Dones, R., Institut, P. S., &amp; Tuchschmid, M. (2007). Transport Services. Swiss Centre for Life Cycle Inventories, ecoinvent report No. 14.</t>
        </is>
      </c>
    </row>
    <row r="462">
      <c r="A462" t="inlineStr">
        <is>
          <t>Particulate Matter, &lt; 2.5 um</t>
        </is>
      </c>
      <c r="B462" t="n">
        <v>2.105145e-07</v>
      </c>
      <c r="D462" t="inlineStr">
        <is>
          <t>kilogram</t>
        </is>
      </c>
      <c r="E462" t="inlineStr">
        <is>
          <t>air</t>
        </is>
      </c>
      <c r="F462" t="inlineStr">
        <is>
          <t>biosphere</t>
        </is>
      </c>
      <c r="H462" t="inlineStr">
        <is>
          <t>1.28E-03 kg/kg fuel for diesel locomotives, according to Spielmann et al. (2007)
Spielmann, M., Bauer, C., Dones, R., Institut, P. S., &amp; Tuchschmid, M. (2007). Transport Services. Swiss Centre for Life Cycle Inventories, ecoinvent report No. 14.</t>
        </is>
      </c>
    </row>
    <row r="463">
      <c r="A463" t="inlineStr">
        <is>
          <t>Particulate Matter, &gt; 10 um</t>
        </is>
      </c>
      <c r="B463" t="n">
        <v>1.7709396135e-05</v>
      </c>
      <c r="D463" t="inlineStr">
        <is>
          <t>kilogram</t>
        </is>
      </c>
      <c r="E463" t="inlineStr">
        <is>
          <t>air</t>
        </is>
      </c>
      <c r="F463" t="inlineStr">
        <is>
          <t>biosphere</t>
        </is>
      </c>
      <c r="H463" t="inlineStr">
        <is>
          <t>4.59E-05 kg/kg fuel for diesel locomotives, according to Spielmann et al. (2007), plus
1.77E-05 kg/tkm, emission of particulates due to abrasion from rail tracks, wheels,and brakes Spielmann et al. (2007)
Spielmann, M., Bauer, C., Dones, R., Institut, P. S., &amp; Tuchschmid, M. (2007). Transport Services. Swiss Centre for Life Cycle Inventories, ecoinvent report No. 14.</t>
        </is>
      </c>
    </row>
    <row r="464">
      <c r="A464" t="inlineStr">
        <is>
          <t>Particulate Matter, &gt; 2.5 um and &lt; 10um</t>
        </is>
      </c>
      <c r="B464" t="n">
        <v>1.631831305e-05</v>
      </c>
      <c r="D464" t="inlineStr">
        <is>
          <t>kilogram</t>
        </is>
      </c>
      <c r="E464" t="inlineStr">
        <is>
          <t>air</t>
        </is>
      </c>
      <c r="F464" t="inlineStr">
        <is>
          <t>biosphere</t>
        </is>
      </c>
      <c r="H464" t="inlineStr">
        <is>
          <t>1.07E-04 kg/kg fuel for diesel locomotives, according to Spielmann et al. (2007), plus
1.63E-05 kg/tkm, emission of particulates due to abrasion from rail tracks, wheels,and brakes Spielmann et al. (2007)
Spielmann, M., Bauer, C., Dones, R., Institut, P. S., &amp; Tuchschmid, M. (2007). Transport Services. Swiss Centre for Life Cycle Inventories, ecoinvent report No. 14.</t>
        </is>
      </c>
    </row>
    <row r="465">
      <c r="A465" t="inlineStr">
        <is>
          <t>Selenium IV</t>
        </is>
      </c>
      <c r="B465" t="n">
        <v>1.7115e-12</v>
      </c>
      <c r="D465" t="inlineStr">
        <is>
          <t>kilogram</t>
        </is>
      </c>
      <c r="E465" t="inlineStr">
        <is>
          <t>air</t>
        </is>
      </c>
      <c r="F465" t="inlineStr">
        <is>
          <t>biosphere</t>
        </is>
      </c>
      <c r="H465" t="inlineStr">
        <is>
          <t>1.0E-08 kg/kg fuel for diesel locomotives, according to Spielmann et al. (2007)
Spielmann, M., Bauer, C., Dones, R., Institut, P. S., &amp; Tuchschmid, M. (2007). Transport Services. Swiss Centre for Life Cycle Inventories, ecoinvent report No. 14.</t>
        </is>
      </c>
    </row>
    <row r="466">
      <c r="A466" t="inlineStr">
        <is>
          <t>Sulfur dioxide</t>
        </is>
      </c>
      <c r="B466" t="n">
        <v>1.0269e-07</v>
      </c>
      <c r="D466" t="inlineStr">
        <is>
          <t>kilogram</t>
        </is>
      </c>
      <c r="E466" t="inlineStr">
        <is>
          <t>air</t>
        </is>
      </c>
      <c r="F466" t="inlineStr">
        <is>
          <t>biosphere</t>
        </is>
      </c>
      <c r="H466" t="inlineStr">
        <is>
          <t>6.0E-04 kg/kg fuel for diesel locomotives, according to Spielmann et al. (2007)
Spielmann, M., Bauer, C., Dones, R., Institut, P. S., &amp; Tuchschmid, M. (2007). Transport Services. Swiss Centre for Life Cycle Inventories, ecoinvent report No. 14.</t>
        </is>
      </c>
    </row>
    <row r="467">
      <c r="A467" t="inlineStr">
        <is>
          <t>Sulfur hexafluoride</t>
        </is>
      </c>
      <c r="B467" t="n">
        <v>3.14e-09</v>
      </c>
      <c r="D467" t="inlineStr">
        <is>
          <t>kilogram</t>
        </is>
      </c>
      <c r="E467" t="inlineStr">
        <is>
          <t>air</t>
        </is>
      </c>
      <c r="F467" t="inlineStr">
        <is>
          <t>biosphere</t>
        </is>
      </c>
      <c r="H467" t="inlineStr">
        <is>
          <t>3.14E-09 kg/tkm, emission of particulates due to abrasion from rail tracks, wheels,and brakes Spielmann et al. (2007)
Spielmann, M., Bauer, C., Dones, R., Institut, P. S., &amp; Tuchschmid, M. (2007). Transport Services. Swiss Centre for Life Cycle Inventories, ecoinvent report No. 14.</t>
        </is>
      </c>
    </row>
    <row r="468">
      <c r="A468" t="inlineStr">
        <is>
          <t>Toluene</t>
        </is>
      </c>
      <c r="B468" t="n">
        <v>6.846000000000001e-09</v>
      </c>
      <c r="D468" t="inlineStr">
        <is>
          <t>kilogram</t>
        </is>
      </c>
      <c r="E468" t="inlineStr">
        <is>
          <t>air</t>
        </is>
      </c>
      <c r="F468" t="inlineStr">
        <is>
          <t>biosphere</t>
        </is>
      </c>
      <c r="H468" t="inlineStr">
        <is>
          <t>4.0E-05 kg/kg fuel for diesel locomotives, according to Spielmann et al. (2007)
Spielmann, M., Bauer, C., Dones, R., Institut, P. S., &amp; Tuchschmid, M. (2007). Transport Services. Swiss Centre for Life Cycle Inventories, ecoinvent report No. 14.</t>
        </is>
      </c>
    </row>
    <row r="469">
      <c r="A469" t="inlineStr">
        <is>
          <t>Xylene</t>
        </is>
      </c>
      <c r="B469" t="n">
        <v>6.846000000000001e-09</v>
      </c>
      <c r="D469" t="inlineStr">
        <is>
          <t>kilogram</t>
        </is>
      </c>
      <c r="E469" t="inlineStr">
        <is>
          <t>air</t>
        </is>
      </c>
      <c r="F469" t="inlineStr">
        <is>
          <t>biosphere</t>
        </is>
      </c>
      <c r="H469" t="inlineStr">
        <is>
          <t>4.0E-05 kg/kg fuel for diesel locomotives, according to Spielmann et al. (2007)
Spielmann, M., Bauer, C., Dones, R., Institut, P. S., &amp; Tuchschmid, M. (2007). Transport Services. Swiss Centre for Life Cycle Inventories, ecoinvent report No. 14.</t>
        </is>
      </c>
    </row>
    <row r="470">
      <c r="A470" t="inlineStr">
        <is>
          <t>Zinc II</t>
        </is>
      </c>
      <c r="B470" t="n">
        <v>1.7115e-10</v>
      </c>
      <c r="D470" t="inlineStr">
        <is>
          <t>kilogram</t>
        </is>
      </c>
      <c r="E470" t="inlineStr">
        <is>
          <t>air</t>
        </is>
      </c>
      <c r="F470" t="inlineStr">
        <is>
          <t>biosphere</t>
        </is>
      </c>
      <c r="H470" t="inlineStr">
        <is>
          <t>1.0E-06 kg/kg fuel for diesel locomotives, according to Spielmann et al. (2007)
Spielmann, M., Bauer, C., Dones, R., Institut, P. S., &amp; Tuchschmid, M. (2007). Transport Services. Swiss Centre for Life Cycle Inventories, ecoinvent report No. 14.</t>
        </is>
      </c>
    </row>
    <row r="471">
      <c r="A471" t="inlineStr">
        <is>
          <t>transport, freight train, electric</t>
        </is>
      </c>
      <c r="B471" t="n">
        <v>1</v>
      </c>
      <c r="C471" t="inlineStr">
        <is>
          <t>ZA</t>
        </is>
      </c>
      <c r="D471" t="inlineStr">
        <is>
          <t>ton kilometer</t>
        </is>
      </c>
      <c r="F471" t="inlineStr">
        <is>
          <t>production</t>
        </is>
      </c>
      <c r="G471" t="inlineStr">
        <is>
          <t>transport, freight train</t>
        </is>
      </c>
    </row>
    <row r="472"/>
    <row r="473">
      <c r="A473" s="2" t="inlineStr">
        <is>
          <t>Activity</t>
        </is>
      </c>
      <c r="B473" s="2" t="inlineStr">
        <is>
          <t>transport, freight train, fuel cell, hydrogen</t>
        </is>
      </c>
    </row>
    <row r="474">
      <c r="A474" t="inlineStr">
        <is>
          <t>location</t>
        </is>
      </c>
      <c r="B474" t="inlineStr">
        <is>
          <t>ZA</t>
        </is>
      </c>
    </row>
    <row r="475">
      <c r="A475" t="inlineStr">
        <is>
          <t>production amount</t>
        </is>
      </c>
      <c r="B475" t="n">
        <v>1</v>
      </c>
    </row>
    <row r="476">
      <c r="A476" t="inlineStr">
        <is>
          <t>reference product</t>
        </is>
      </c>
      <c r="B476" t="inlineStr">
        <is>
          <t>transport, freight train</t>
        </is>
      </c>
    </row>
    <row r="477">
      <c r="A477" t="inlineStr">
        <is>
          <t>type</t>
        </is>
      </c>
      <c r="B477" t="inlineStr">
        <is>
          <t>process</t>
        </is>
      </c>
    </row>
    <row r="478">
      <c r="A478" t="inlineStr">
        <is>
          <t>unit</t>
        </is>
      </c>
      <c r="B478" t="inlineStr">
        <is>
          <t>ton kilometer</t>
        </is>
      </c>
    </row>
    <row r="479">
      <c r="A479" t="inlineStr">
        <is>
          <t>Exchanges</t>
        </is>
      </c>
    </row>
    <row r="480">
      <c r="A480" s="2" t="inlineStr">
        <is>
          <t>name</t>
        </is>
      </c>
      <c r="B480" s="2" t="inlineStr">
        <is>
          <t>amount</t>
        </is>
      </c>
      <c r="C480" s="2" t="inlineStr">
        <is>
          <t>location</t>
        </is>
      </c>
      <c r="D480" s="2" t="inlineStr">
        <is>
          <t>unit</t>
        </is>
      </c>
      <c r="E480" s="2" t="inlineStr">
        <is>
          <t>categories</t>
        </is>
      </c>
      <c r="F480" s="2" t="inlineStr">
        <is>
          <t>type</t>
        </is>
      </c>
      <c r="G480" s="2" t="inlineStr">
        <is>
          <t>reference product</t>
        </is>
      </c>
      <c r="H480" s="2" t="inlineStr">
        <is>
          <t>comment</t>
        </is>
      </c>
    </row>
    <row r="481">
      <c r="A481" t="inlineStr">
        <is>
          <t>market for diesel</t>
        </is>
      </c>
      <c r="B481" t="n">
        <v>0.00017115</v>
      </c>
      <c r="C481" t="inlineStr">
        <is>
          <t>ZA</t>
        </is>
      </c>
      <c r="D481" t="inlineStr">
        <is>
          <t>kilogram</t>
        </is>
      </c>
      <c r="F481" t="inlineStr">
        <is>
          <t>technosphere</t>
        </is>
      </c>
      <c r="G481" t="inlineStr">
        <is>
          <t>diesel</t>
        </is>
      </c>
      <c r="H481" t="inlineStr">
        <is>
          <t>The energy consumption for shunting processes is added. The shunting process is assumed to be done by diesel shunting locomotives exclusivley. The specific diesel consumption for the shunting is taken from the regional ecoinvent datasets "transport, freight train, electric".</t>
        </is>
      </c>
    </row>
    <row r="482">
      <c r="A482" t="inlineStr">
        <is>
          <t>market for hydrogen, gaseous</t>
        </is>
      </c>
      <c r="B482" t="n">
        <v>0.001992546443104388</v>
      </c>
      <c r="C482" t="inlineStr">
        <is>
          <t>GLO</t>
        </is>
      </c>
      <c r="D482" t="inlineStr">
        <is>
          <t>kilogram</t>
        </is>
      </c>
      <c r="F482" t="inlineStr">
        <is>
          <t>technosphere</t>
        </is>
      </c>
      <c r="G482" t="inlineStr">
        <is>
          <t>hydrogen, gaseous</t>
        </is>
      </c>
      <c r="H482"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t>
        </is>
      </c>
    </row>
    <row r="483">
      <c r="A483" t="inlineStr">
        <is>
          <t>production of locomotive, fuel cell, hydrogen</t>
        </is>
      </c>
      <c r="B483" t="n">
        <v>1.2322e-09</v>
      </c>
      <c r="C483" t="inlineStr">
        <is>
          <t>GLO</t>
        </is>
      </c>
      <c r="D483" t="inlineStr">
        <is>
          <t>unit</t>
        </is>
      </c>
      <c r="F483" t="inlineStr">
        <is>
          <t>technosphere</t>
        </is>
      </c>
      <c r="G483" t="inlineStr">
        <is>
          <t>locomotive fuel cell, hydrogen</t>
        </is>
      </c>
      <c r="H483" t="inlineStr">
        <is>
          <t>taken from ecoinvent inventory "transport, freight train, diesel - ZA", as the hydrogen locomotive has similar output power as the diesel-electric train, and it is assumed that diesel trains can used for retrofitting HFC-systems</t>
        </is>
      </c>
    </row>
    <row r="484">
      <c r="A484" t="inlineStr">
        <is>
          <t>market for maintenance, locomotive</t>
        </is>
      </c>
      <c r="B484" t="n">
        <v>1.2322e-09</v>
      </c>
      <c r="C484" t="inlineStr">
        <is>
          <t>GLO</t>
        </is>
      </c>
      <c r="D484" t="inlineStr">
        <is>
          <t>unit</t>
        </is>
      </c>
      <c r="F484" t="inlineStr">
        <is>
          <t>technosphere</t>
        </is>
      </c>
      <c r="G484" t="inlineStr">
        <is>
          <t>maintenance, locomotive</t>
        </is>
      </c>
      <c r="H484" t="inlineStr">
        <is>
          <t>taken from ecoinvent inventory "transport, freight train, diesel - ZA", as the hydrogen locomotive has similar output power as the diesel-electric train, and it is assumed that diesel trains can used for retrofitting HFC-systems</t>
        </is>
      </c>
    </row>
    <row r="485">
      <c r="A485" t="inlineStr">
        <is>
          <t>market for goods wagon</t>
        </is>
      </c>
      <c r="B485" t="n">
        <v>8.4191e-09</v>
      </c>
      <c r="C485" t="inlineStr">
        <is>
          <t>GLO</t>
        </is>
      </c>
      <c r="D485" t="inlineStr">
        <is>
          <t>unit</t>
        </is>
      </c>
      <c r="F485" t="inlineStr">
        <is>
          <t>technosphere</t>
        </is>
      </c>
      <c r="G485" t="inlineStr">
        <is>
          <t>goods wagon</t>
        </is>
      </c>
      <c r="H485" t="inlineStr">
        <is>
          <t>taken from ecoinvent inventory "transport, freight train, diesel - ZA", as the hydrogen locomotive has similar output power as the diesel-electric train, and it is assumed that diesel trains can used for retrofitting HFC-systems</t>
        </is>
      </c>
    </row>
    <row r="486">
      <c r="A486" t="inlineStr">
        <is>
          <t>market for maintenance, goods wagon</t>
        </is>
      </c>
      <c r="B486" t="n">
        <v>8.4191e-09</v>
      </c>
      <c r="C486" t="inlineStr">
        <is>
          <t>GLO</t>
        </is>
      </c>
      <c r="D486" t="inlineStr">
        <is>
          <t>unit</t>
        </is>
      </c>
      <c r="F486" t="inlineStr">
        <is>
          <t>technosphere</t>
        </is>
      </c>
      <c r="G486" t="inlineStr">
        <is>
          <t>maintenance, goods wagon</t>
        </is>
      </c>
      <c r="H486" t="inlineStr">
        <is>
          <t>taken from ecoinvent inventory "transport, freight train, diesel - ZA", as the hydrogen locomotive has similar output power as the diesel-electric train, and it is assumed that diesel trains can used for retrofitting HFC-systems</t>
        </is>
      </c>
    </row>
    <row r="487">
      <c r="A487" t="inlineStr">
        <is>
          <t>market for railway track</t>
        </is>
      </c>
      <c r="B487" t="n">
        <v>9.679300000000001e-05</v>
      </c>
      <c r="C487" t="inlineStr">
        <is>
          <t>GLO</t>
        </is>
      </c>
      <c r="D487" t="inlineStr">
        <is>
          <t>meter-year</t>
        </is>
      </c>
      <c r="F487" t="inlineStr">
        <is>
          <t>technosphere</t>
        </is>
      </c>
      <c r="G487" t="inlineStr">
        <is>
          <t>railway track</t>
        </is>
      </c>
      <c r="H487" t="inlineStr">
        <is>
          <t>taken from ecoinvent inventory "transport, freight train, diesel - ZA", as the hydrogen locomotive has similar output power as the diesel-electric train, and it is assumed that diesel trains can used for retrofitting HFC-systems</t>
        </is>
      </c>
    </row>
    <row r="488">
      <c r="A488" t="inlineStr">
        <is>
          <t>Ammonia</t>
        </is>
      </c>
      <c r="B488" t="n">
        <v>3.423000000000001e-09</v>
      </c>
      <c r="D488" t="inlineStr">
        <is>
          <t>kilogram</t>
        </is>
      </c>
      <c r="E488" t="inlineStr">
        <is>
          <t>air</t>
        </is>
      </c>
      <c r="F488" t="inlineStr">
        <is>
          <t>biosphere</t>
        </is>
      </c>
      <c r="H488" t="inlineStr">
        <is>
          <t>2.0E-05 kg/kg fuel for diesel locomotives, according to Spielmann et al. (2007)
Spielmann, M., Bauer, C., Dones, R., Institut, P. S., &amp; Tuchschmid, M. (2007). Transport Services. Swiss Centre for Life Cycle Inventories, ecoinvent report No. 14.</t>
        </is>
      </c>
    </row>
    <row r="489">
      <c r="A489" t="inlineStr">
        <is>
          <t>Benzene</t>
        </is>
      </c>
      <c r="B489" t="n">
        <v>1.7115e-08</v>
      </c>
      <c r="D489" t="inlineStr">
        <is>
          <t>kilogram</t>
        </is>
      </c>
      <c r="E489" t="inlineStr">
        <is>
          <t>air</t>
        </is>
      </c>
      <c r="F489" t="inlineStr">
        <is>
          <t>biosphere</t>
        </is>
      </c>
      <c r="H489" t="inlineStr">
        <is>
          <t>1.0E-04 kg/kg fuel for diesel locomotives, according to Spielmann et al. (2007)
Spielmann, M., Bauer, C., Dones, R., Institut, P. S., &amp; Tuchschmid, M. (2007). Transport Services. Swiss Centre for Life Cycle Inventories, ecoinvent report No. 14.</t>
        </is>
      </c>
    </row>
    <row r="490">
      <c r="A490" t="inlineStr">
        <is>
          <t>Cadmium II</t>
        </is>
      </c>
      <c r="B490" t="n">
        <v>1.7115e-12</v>
      </c>
      <c r="D490" t="inlineStr">
        <is>
          <t>kilogram</t>
        </is>
      </c>
      <c r="E490" t="inlineStr">
        <is>
          <t>air</t>
        </is>
      </c>
      <c r="F490" t="inlineStr">
        <is>
          <t>biosphere</t>
        </is>
      </c>
      <c r="H490" t="inlineStr">
        <is>
          <t>1.0E-08 kg/kg fuel for diesel locomotives, according to Spielmann et al. (2007)
Spielmann, M., Bauer, C., Dones, R., Institut, P. S., &amp; Tuchschmid, M. (2007). Transport Services. Swiss Centre for Life Cycle Inventories, ecoinvent report No. 14.</t>
        </is>
      </c>
    </row>
    <row r="491">
      <c r="A491" t="inlineStr">
        <is>
          <t>Carbon dioxide, fossil</t>
        </is>
      </c>
      <c r="B491" t="n">
        <v>0.0005384379</v>
      </c>
      <c r="D491" t="inlineStr">
        <is>
          <t>kilogram</t>
        </is>
      </c>
      <c r="E491" t="inlineStr">
        <is>
          <t>air</t>
        </is>
      </c>
      <c r="F491" t="inlineStr">
        <is>
          <t>biosphere</t>
        </is>
      </c>
      <c r="H491" t="inlineStr">
        <is>
          <t>3.146 kg/kg fuel for diesel locomotives, according to Spielmann et al. (2007)
Spielmann, M., Bauer, C., Dones, R., Institut, P. S., &amp; Tuchschmid, M. (2007). Transport Services. Swiss Centre for Life Cycle Inventories, ecoinvent report No. 14.</t>
        </is>
      </c>
    </row>
    <row r="492">
      <c r="A492" t="inlineStr">
        <is>
          <t>Carbon monoxide, fossil</t>
        </is>
      </c>
      <c r="B492" t="n">
        <v>2.70417e-06</v>
      </c>
      <c r="D492" t="inlineStr">
        <is>
          <t>kilogram</t>
        </is>
      </c>
      <c r="E492" t="inlineStr">
        <is>
          <t>air</t>
        </is>
      </c>
      <c r="F492" t="inlineStr">
        <is>
          <t>biosphere</t>
        </is>
      </c>
      <c r="H492" t="inlineStr">
        <is>
          <t>1.58E-02 kg/kg fuel for diesel locomotives, according to Spielmann et al. (2007)
Spielmann, M., Bauer, C., Dones, R., Institut, P. S., &amp; Tuchschmid, M. (2007). Transport Services. Swiss Centre for Life Cycle Inventories, ecoinvent report No. 14.</t>
        </is>
      </c>
    </row>
    <row r="493">
      <c r="A493" t="inlineStr">
        <is>
          <t>Chromium III</t>
        </is>
      </c>
      <c r="B493" t="n">
        <v>8.5575e-12</v>
      </c>
      <c r="D493" t="inlineStr">
        <is>
          <t>kilogram</t>
        </is>
      </c>
      <c r="E493" t="inlineStr">
        <is>
          <t>air</t>
        </is>
      </c>
      <c r="F493" t="inlineStr">
        <is>
          <t>biosphere</t>
        </is>
      </c>
      <c r="H493" t="inlineStr">
        <is>
          <t>5.0E-08 kg/kg fuel for diesel locomotives, according to Spielmann et al. (2007)
Spielmann, M., Bauer, C., Dones, R., Institut, P. S., &amp; Tuchschmid, M. (2007). Transport Services. Swiss Centre for Life Cycle Inventories, ecoinvent report No. 14.</t>
        </is>
      </c>
    </row>
    <row r="494">
      <c r="A494" t="inlineStr">
        <is>
          <t>Copper ion</t>
        </is>
      </c>
      <c r="B494" t="n">
        <v>2.90955e-10</v>
      </c>
      <c r="D494" t="inlineStr">
        <is>
          <t>kilogram</t>
        </is>
      </c>
      <c r="E494" t="inlineStr">
        <is>
          <t>air</t>
        </is>
      </c>
      <c r="F494" t="inlineStr">
        <is>
          <t>biosphere</t>
        </is>
      </c>
      <c r="H494" t="inlineStr">
        <is>
          <t>1.7E-06 kg/kg fuel for diesel locomotives, according to Spielmann et al. (2007)
Spielmann, M., Bauer, C., Dones, R., Institut, P. S., &amp; Tuchschmid, M. (2007). Transport Services. Swiss Centre for Life Cycle Inventories, ecoinvent report No. 14.</t>
        </is>
      </c>
    </row>
    <row r="495">
      <c r="A495" t="inlineStr">
        <is>
          <t>Dinitrogen monoxide</t>
        </is>
      </c>
      <c r="B495" t="n">
        <v>1.7115e-08</v>
      </c>
      <c r="D495" t="inlineStr">
        <is>
          <t>kilogram</t>
        </is>
      </c>
      <c r="E495" t="inlineStr">
        <is>
          <t>air</t>
        </is>
      </c>
      <c r="F495" t="inlineStr">
        <is>
          <t>biosphere</t>
        </is>
      </c>
      <c r="H495" t="inlineStr">
        <is>
          <t>1.0E-04 kg/kg fuel for diesel locomotives, according to Spielmann et al. (2007)
Spielmann, M., Bauer, C., Dones, R., Institut, P. S., &amp; Tuchschmid, M. (2007). Transport Services. Swiss Centre for Life Cycle Inventories, ecoinvent report No. 14.</t>
        </is>
      </c>
    </row>
    <row r="496">
      <c r="A496" t="inlineStr">
        <is>
          <t>Iron ion</t>
        </is>
      </c>
      <c r="B496" t="n">
        <v>0</v>
      </c>
      <c r="D496" t="inlineStr">
        <is>
          <t>kilogram</t>
        </is>
      </c>
      <c r="E496" t="inlineStr">
        <is>
          <t>soil</t>
        </is>
      </c>
      <c r="F496" t="inlineStr">
        <is>
          <t>biosphere</t>
        </is>
      </c>
      <c r="H496" t="inlineStr">
        <is>
          <t>1.24E-05 kg/tkm, emission of particulates due to abrasion from rail tracks, wheels,and brakes Spielmann et al. (2007)
Spielmann, M., Bauer, C., Dones, R., Institut, P. S., &amp; Tuchschmid, M. (2007). Transport Services. Swiss Centre for Life Cycle Inventories, ecoinvent report No. 14.</t>
        </is>
      </c>
    </row>
    <row r="497">
      <c r="A497" t="inlineStr">
        <is>
          <t>Lead II</t>
        </is>
      </c>
      <c r="B497" t="n">
        <v>1.88265e-14</v>
      </c>
      <c r="D497" t="inlineStr">
        <is>
          <t>kilogram</t>
        </is>
      </c>
      <c r="E497" t="inlineStr">
        <is>
          <t>air</t>
        </is>
      </c>
      <c r="F497" t="inlineStr">
        <is>
          <t>biosphere</t>
        </is>
      </c>
      <c r="H497" t="inlineStr">
        <is>
          <t>1.1E-10 kg/kg fuel for diesel locomotives, according to Spielmann et al. (2007)
Spielmann, M., Bauer, C., Dones, R., Institut, P. S., &amp; Tuchschmid, M. (2007). Transport Services. Swiss Centre for Life Cycle Inventories, ecoinvent report No. 14.</t>
        </is>
      </c>
    </row>
    <row r="498">
      <c r="A498" t="inlineStr">
        <is>
          <t>Mercury II</t>
        </is>
      </c>
      <c r="B498" t="n">
        <v>3.423e-15</v>
      </c>
      <c r="D498" t="inlineStr">
        <is>
          <t>kilogram</t>
        </is>
      </c>
      <c r="E498" t="inlineStr">
        <is>
          <t>air</t>
        </is>
      </c>
      <c r="F498" t="inlineStr">
        <is>
          <t>biosphere</t>
        </is>
      </c>
      <c r="H498" t="inlineStr">
        <is>
          <t>2.0E-11 kg/kg fuel for diesel locomotives, according to Spielmann et al. (2007)
Spielmann, M., Bauer, C., Dones, R., Institut, P. S., &amp; Tuchschmid, M. (2007). Transport Services. Swiss Centre for Life Cycle Inventories, ecoinvent report No. 14.</t>
        </is>
      </c>
    </row>
    <row r="499">
      <c r="A499" t="inlineStr">
        <is>
          <t>Methane, fossil</t>
        </is>
      </c>
      <c r="B499" t="n">
        <v>2.22495e-08</v>
      </c>
      <c r="D499" t="inlineStr">
        <is>
          <t>kilogram</t>
        </is>
      </c>
      <c r="E499" t="inlineStr">
        <is>
          <t>air</t>
        </is>
      </c>
      <c r="F499" t="inlineStr">
        <is>
          <t>biosphere</t>
        </is>
      </c>
      <c r="H499" t="inlineStr">
        <is>
          <t>1.3E-04 kg/kg fuel for diesel locomotives, according to Spielmann et al. (2007)
Spielmann, M., Bauer, C., Dones, R., Institut, P. S., &amp; Tuchschmid, M. (2007). Transport Services. Swiss Centre for Life Cycle Inventories, ecoinvent report No. 14.</t>
        </is>
      </c>
    </row>
    <row r="500">
      <c r="A500" t="inlineStr">
        <is>
          <t>NMVOC, non-methane volatile organic compounds</t>
        </is>
      </c>
      <c r="B500" t="n">
        <v>8.985375000000001e-07</v>
      </c>
      <c r="D500" t="inlineStr">
        <is>
          <t>kilogram</t>
        </is>
      </c>
      <c r="E500" t="inlineStr">
        <is>
          <t>air</t>
        </is>
      </c>
      <c r="F500" t="inlineStr">
        <is>
          <t>biosphere</t>
        </is>
      </c>
      <c r="H500" t="inlineStr">
        <is>
          <t>5.25E-03 kg/kg fuel for diesel locomotives, according to Spielmann et al. (2007)
Spielmann, M., Bauer, C., Dones, R., Institut, P. S., &amp; Tuchschmid, M. (2007). Transport Services. Swiss Centre for Life Cycle Inventories, ecoinvent report No. 14.</t>
        </is>
      </c>
    </row>
    <row r="501">
      <c r="A501" t="inlineStr">
        <is>
          <t>Nickel II</t>
        </is>
      </c>
      <c r="B501" t="n">
        <v>1.19805e-11</v>
      </c>
      <c r="D501" t="inlineStr">
        <is>
          <t>kilogram</t>
        </is>
      </c>
      <c r="E501" t="inlineStr">
        <is>
          <t>air</t>
        </is>
      </c>
      <c r="F501" t="inlineStr">
        <is>
          <t>biosphere</t>
        </is>
      </c>
      <c r="H501" t="inlineStr">
        <is>
          <t>7.0E-08 kg/kg fuel for diesel locomotives, according to Spielmann et al. (2007)
Spielmann, M., Bauer, C., Dones, R., Institut, P. S., &amp; Tuchschmid, M. (2007). Transport Services. Swiss Centre for Life Cycle Inventories, ecoinvent report No. 14.</t>
        </is>
      </c>
    </row>
    <row r="502">
      <c r="A502" t="inlineStr">
        <is>
          <t>Nitrogen oxides</t>
        </is>
      </c>
      <c r="B502" t="n">
        <v>9.41325e-06</v>
      </c>
      <c r="D502" t="inlineStr">
        <is>
          <t>kilogram</t>
        </is>
      </c>
      <c r="E502" t="inlineStr">
        <is>
          <t>air</t>
        </is>
      </c>
      <c r="F502" t="inlineStr">
        <is>
          <t>biosphere</t>
        </is>
      </c>
      <c r="H502" t="inlineStr">
        <is>
          <t>5.5E-02 kg/kg fuel for diesel locomotives, according to Spielmann et al. (2007)
Spielmann, M., Bauer, C., Dones, R., Institut, P. S., &amp; Tuchschmid, M. (2007). Transport Services. Swiss Centre for Life Cycle Inventories, ecoinvent report No. 14.</t>
        </is>
      </c>
    </row>
    <row r="503">
      <c r="A503" t="inlineStr">
        <is>
          <t>Particulate Matter, &lt; 2.5 um</t>
        </is>
      </c>
      <c r="B503" t="n">
        <v>2.105145e-07</v>
      </c>
      <c r="D503" t="inlineStr">
        <is>
          <t>kilogram</t>
        </is>
      </c>
      <c r="E503" t="inlineStr">
        <is>
          <t>air</t>
        </is>
      </c>
      <c r="F503" t="inlineStr">
        <is>
          <t>biosphere</t>
        </is>
      </c>
      <c r="H503" t="inlineStr">
        <is>
          <t>1.28E-03 kg/kg fuel for diesel locomotives, according to Spielmann et al. (2007)
Spielmann, M., Bauer, C., Dones, R., Institut, P. S., &amp; Tuchschmid, M. (2007). Transport Services. Swiss Centre for Life Cycle Inventories, ecoinvent report No. 14.</t>
        </is>
      </c>
    </row>
    <row r="504">
      <c r="A504" t="inlineStr">
        <is>
          <t>Particulate Matter, &gt; 10 um</t>
        </is>
      </c>
      <c r="B504" t="n">
        <v>1.7709396135e-05</v>
      </c>
      <c r="D504" t="inlineStr">
        <is>
          <t>kilogram</t>
        </is>
      </c>
      <c r="E504" t="inlineStr">
        <is>
          <t>air</t>
        </is>
      </c>
      <c r="F504" t="inlineStr">
        <is>
          <t>biosphere</t>
        </is>
      </c>
      <c r="H504" t="inlineStr">
        <is>
          <t>4.59E-05 kg/kg fuel for diesel locomotives, according to Spielmann et al. (2007), plus
1.77E-05 kg/tkm, emission of particulates due to abrasion from rail tracks, wheels,and brakes Spielmann et al. (2007)
Spielmann, M., Bauer, C., Dones, R., Institut, P. S., &amp; Tuchschmid, M. (2007). Transport Services. Swiss Centre for Life Cycle Inventories, ecoinvent report No. 14.</t>
        </is>
      </c>
    </row>
    <row r="505">
      <c r="A505" t="inlineStr">
        <is>
          <t>Particulate Matter, &gt; 2.5 um and &lt; 10um</t>
        </is>
      </c>
      <c r="B505" t="n">
        <v>1.631831305e-05</v>
      </c>
      <c r="D505" t="inlineStr">
        <is>
          <t>kilogram</t>
        </is>
      </c>
      <c r="E505" t="inlineStr">
        <is>
          <t>air</t>
        </is>
      </c>
      <c r="F505" t="inlineStr">
        <is>
          <t>biosphere</t>
        </is>
      </c>
      <c r="H505" t="inlineStr">
        <is>
          <t>1.07E-04 kg/kg fuel for diesel locomotives, according to Spielmann et al. (2007), plus
1.63E-05 kg/tkm, emission of particulates due to abrasion from rail tracks, wheels,and brakes Spielmann et al. (2007)
Spielmann, M., Bauer, C., Dones, R., Institut, P. S., &amp; Tuchschmid, M. (2007). Transport Services. Swiss Centre for Life Cycle Inventories, ecoinvent report No. 14.</t>
        </is>
      </c>
    </row>
    <row r="506">
      <c r="A506" t="inlineStr">
        <is>
          <t>Selenium IV</t>
        </is>
      </c>
      <c r="B506" t="n">
        <v>1.7115e-12</v>
      </c>
      <c r="D506" t="inlineStr">
        <is>
          <t>kilogram</t>
        </is>
      </c>
      <c r="E506" t="inlineStr">
        <is>
          <t>air</t>
        </is>
      </c>
      <c r="F506" t="inlineStr">
        <is>
          <t>biosphere</t>
        </is>
      </c>
      <c r="H506" t="inlineStr">
        <is>
          <t>1.0E-08 kg/kg fuel for diesel locomotives, according to Spielmann et al. (2007)
Spielmann, M., Bauer, C., Dones, R., Institut, P. S., &amp; Tuchschmid, M. (2007). Transport Services. Swiss Centre for Life Cycle Inventories, ecoinvent report No. 14.</t>
        </is>
      </c>
    </row>
    <row r="507">
      <c r="A507" t="inlineStr">
        <is>
          <t>Sulfur dioxide</t>
        </is>
      </c>
      <c r="B507" t="n">
        <v>1.0269e-07</v>
      </c>
      <c r="D507" t="inlineStr">
        <is>
          <t>kilogram</t>
        </is>
      </c>
      <c r="E507" t="inlineStr">
        <is>
          <t>air</t>
        </is>
      </c>
      <c r="F507" t="inlineStr">
        <is>
          <t>biosphere</t>
        </is>
      </c>
      <c r="H507" t="inlineStr">
        <is>
          <t>6.0E-04 kg/kg fuel for diesel locomotives, according to Spielmann et al. (2007)
Spielmann, M., Bauer, C., Dones, R., Institut, P. S., &amp; Tuchschmid, M. (2007). Transport Services. Swiss Centre for Life Cycle Inventories, ecoinvent report No. 14.</t>
        </is>
      </c>
    </row>
    <row r="508">
      <c r="A508" t="inlineStr">
        <is>
          <t>Toluene</t>
        </is>
      </c>
      <c r="B508" t="n">
        <v>6.846000000000001e-09</v>
      </c>
      <c r="D508" t="inlineStr">
        <is>
          <t>kilogram</t>
        </is>
      </c>
      <c r="E508" t="inlineStr">
        <is>
          <t>air</t>
        </is>
      </c>
      <c r="F508" t="inlineStr">
        <is>
          <t>biosphere</t>
        </is>
      </c>
      <c r="H508" t="inlineStr">
        <is>
          <t>4.0E-05 kg/kg fuel for diesel locomotives, according to Spielmann et al. (2007)
Spielmann, M., Bauer, C., Dones, R., Institut, P. S., &amp; Tuchschmid, M. (2007). Transport Services. Swiss Centre for Life Cycle Inventories, ecoinvent report No. 14.</t>
        </is>
      </c>
    </row>
    <row r="509">
      <c r="A509" t="inlineStr">
        <is>
          <t>Xylene</t>
        </is>
      </c>
      <c r="B509" t="n">
        <v>6.846000000000001e-09</v>
      </c>
      <c r="D509" t="inlineStr">
        <is>
          <t>kilogram</t>
        </is>
      </c>
      <c r="E509" t="inlineStr">
        <is>
          <t>air</t>
        </is>
      </c>
      <c r="F509" t="inlineStr">
        <is>
          <t>biosphere</t>
        </is>
      </c>
      <c r="H509" t="inlineStr">
        <is>
          <t>4.0E-05 kg/kg fuel for diesel locomotives, according to Spielmann et al. (2007)
Spielmann, M., Bauer, C., Dones, R., Institut, P. S., &amp; Tuchschmid, M. (2007). Transport Services. Swiss Centre for Life Cycle Inventories, ecoinvent report No. 14.</t>
        </is>
      </c>
    </row>
    <row r="510">
      <c r="A510" t="inlineStr">
        <is>
          <t>Zinc II</t>
        </is>
      </c>
      <c r="B510" t="n">
        <v>1.7115e-10</v>
      </c>
      <c r="D510" t="inlineStr">
        <is>
          <t>kilogram</t>
        </is>
      </c>
      <c r="E510" t="inlineStr">
        <is>
          <t>air</t>
        </is>
      </c>
      <c r="F510" t="inlineStr">
        <is>
          <t>biosphere</t>
        </is>
      </c>
      <c r="H510" t="inlineStr">
        <is>
          <t>1.0E-06 kg/kg fuel for diesel locomotives, according to Spielmann et al. (2007)
Spielmann, M., Bauer, C., Dones, R., Institut, P. S., &amp; Tuchschmid, M. (2007). Transport Services. Swiss Centre for Life Cycle Inventories, ecoinvent report No. 14.</t>
        </is>
      </c>
    </row>
    <row r="511">
      <c r="A511" t="inlineStr">
        <is>
          <t>transport, freight train, fuel cell, hydrogen</t>
        </is>
      </c>
      <c r="B511" t="n">
        <v>1</v>
      </c>
      <c r="C511" t="inlineStr">
        <is>
          <t>ZA</t>
        </is>
      </c>
      <c r="D511" t="inlineStr">
        <is>
          <t>ton kilometer</t>
        </is>
      </c>
      <c r="F511" t="inlineStr">
        <is>
          <t>production</t>
        </is>
      </c>
      <c r="G511" t="inlineStr">
        <is>
          <t>transport, freight train</t>
        </is>
      </c>
    </row>
    <row r="512"/>
    <row r="513">
      <c r="A513" s="2" t="inlineStr">
        <is>
          <t>Activity</t>
        </is>
      </c>
      <c r="B513" s="2" t="inlineStr">
        <is>
          <t>transport, freight train, diesel-electric</t>
        </is>
      </c>
    </row>
    <row r="514">
      <c r="A514" t="inlineStr">
        <is>
          <t>location</t>
        </is>
      </c>
      <c r="B514" t="inlineStr">
        <is>
          <t>US</t>
        </is>
      </c>
    </row>
    <row r="515">
      <c r="A515" t="inlineStr">
        <is>
          <t>production amount</t>
        </is>
      </c>
      <c r="B515" t="n">
        <v>1</v>
      </c>
    </row>
    <row r="516">
      <c r="A516" t="inlineStr">
        <is>
          <t>reference product</t>
        </is>
      </c>
      <c r="B516" t="inlineStr">
        <is>
          <t>transport, freight train</t>
        </is>
      </c>
    </row>
    <row r="517">
      <c r="A517" t="inlineStr">
        <is>
          <t>type</t>
        </is>
      </c>
      <c r="B517" t="inlineStr">
        <is>
          <t>process</t>
        </is>
      </c>
    </row>
    <row r="518">
      <c r="A518" t="inlineStr">
        <is>
          <t>unit</t>
        </is>
      </c>
      <c r="B518" t="inlineStr">
        <is>
          <t>ton kilometer</t>
        </is>
      </c>
    </row>
    <row r="519">
      <c r="A519" t="inlineStr">
        <is>
          <t>Exchanges</t>
        </is>
      </c>
    </row>
    <row r="520">
      <c r="A520" s="2" t="inlineStr">
        <is>
          <t>name</t>
        </is>
      </c>
      <c r="B520" s="2" t="inlineStr">
        <is>
          <t>amount</t>
        </is>
      </c>
      <c r="C520" s="2" t="inlineStr">
        <is>
          <t>location</t>
        </is>
      </c>
      <c r="D520" s="2" t="inlineStr">
        <is>
          <t>unit</t>
        </is>
      </c>
      <c r="E520" s="2" t="inlineStr">
        <is>
          <t>categories</t>
        </is>
      </c>
      <c r="F520" s="2" t="inlineStr">
        <is>
          <t>type</t>
        </is>
      </c>
      <c r="G520" s="2" t="inlineStr">
        <is>
          <t>reference product</t>
        </is>
      </c>
      <c r="H520" s="2" t="inlineStr">
        <is>
          <t>comment</t>
        </is>
      </c>
    </row>
    <row r="521">
      <c r="A521" t="inlineStr">
        <is>
          <t>market for diesel</t>
        </is>
      </c>
      <c r="B521" t="n">
        <v>0.007015993670780714</v>
      </c>
      <c r="C521" t="inlineStr">
        <is>
          <t>RoW</t>
        </is>
      </c>
      <c r="D521" t="inlineStr">
        <is>
          <t>kilogram</t>
        </is>
      </c>
      <c r="F521" t="inlineStr">
        <is>
          <t>technosphere</t>
        </is>
      </c>
      <c r="G521" t="inlineStr">
        <is>
          <t>diesel</t>
        </is>
      </c>
      <c r="H521"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
Additional the energy consumption for shunting processes is added. The shunting processe is assumed to be done by diesel shunting locomotives exclusivley. The specific diesel consumption for the shunting is taken from the regional ecoinvent datasets "transport, freight train, electric". In the case of the US the shunting emissions are taken from the "transport, freight train, electric" dataset from Europe without Switzerland, as the diesel dataset for the US is based on European without Switzerland's dataset.</t>
        </is>
      </c>
    </row>
    <row r="522">
      <c r="A522" t="inlineStr">
        <is>
          <t>production of locomotive, diesel-electric</t>
        </is>
      </c>
      <c r="B522" t="n">
        <v>7.11e-10</v>
      </c>
      <c r="C522" t="inlineStr">
        <is>
          <t>GLO</t>
        </is>
      </c>
      <c r="D522" t="inlineStr">
        <is>
          <t>unit</t>
        </is>
      </c>
      <c r="F522" t="inlineStr">
        <is>
          <t>technosphere</t>
        </is>
      </c>
      <c r="G522" t="inlineStr">
        <is>
          <t>locomotive diesel-electric</t>
        </is>
      </c>
      <c r="H522" t="inlineStr">
        <is>
          <t>taken from ecoinvent inventory "transport, freight train, diesel - US"</t>
        </is>
      </c>
    </row>
    <row r="523">
      <c r="A523" t="inlineStr">
        <is>
          <t>market for maintenance, locomotive</t>
        </is>
      </c>
      <c r="B523" t="n">
        <v>7.11e-10</v>
      </c>
      <c r="C523" t="inlineStr">
        <is>
          <t>GLO</t>
        </is>
      </c>
      <c r="D523" t="inlineStr">
        <is>
          <t>unit</t>
        </is>
      </c>
      <c r="F523" t="inlineStr">
        <is>
          <t>technosphere</t>
        </is>
      </c>
      <c r="G523" t="inlineStr">
        <is>
          <t>maintenance, locomotive</t>
        </is>
      </c>
      <c r="H523" t="inlineStr">
        <is>
          <t>taken from ecoinvent inventory "transport, freight train, diesel - US"</t>
        </is>
      </c>
    </row>
    <row r="524">
      <c r="A524" t="inlineStr">
        <is>
          <t>market for goods wagon</t>
        </is>
      </c>
      <c r="B524" t="n">
        <v>4.59e-08</v>
      </c>
      <c r="C524" t="inlineStr">
        <is>
          <t>GLO</t>
        </is>
      </c>
      <c r="D524" t="inlineStr">
        <is>
          <t>unit</t>
        </is>
      </c>
      <c r="F524" t="inlineStr">
        <is>
          <t>technosphere</t>
        </is>
      </c>
      <c r="G524" t="inlineStr">
        <is>
          <t>goods wagon</t>
        </is>
      </c>
      <c r="H524" t="inlineStr">
        <is>
          <t>taken from ecoinvent inventory "transport, freight train, diesel - US"</t>
        </is>
      </c>
    </row>
    <row r="525">
      <c r="A525" t="inlineStr">
        <is>
          <t>market for maintenance, goods wagon</t>
        </is>
      </c>
      <c r="B525" t="n">
        <v>4.59e-08</v>
      </c>
      <c r="C525" t="inlineStr">
        <is>
          <t>GLO</t>
        </is>
      </c>
      <c r="D525" t="inlineStr">
        <is>
          <t>unit</t>
        </is>
      </c>
      <c r="F525" t="inlineStr">
        <is>
          <t>technosphere</t>
        </is>
      </c>
      <c r="G525" t="inlineStr">
        <is>
          <t>maintenance, goods wagon</t>
        </is>
      </c>
      <c r="H525" t="inlineStr">
        <is>
          <t>taken from ecoinvent inventory "transport, freight train, diesel - US"</t>
        </is>
      </c>
    </row>
    <row r="526">
      <c r="A526" t="inlineStr">
        <is>
          <t>market for railway track</t>
        </is>
      </c>
      <c r="B526" t="n">
        <v>9.3e-05</v>
      </c>
      <c r="C526" t="inlineStr">
        <is>
          <t>GLO</t>
        </is>
      </c>
      <c r="D526" t="inlineStr">
        <is>
          <t>meter-year</t>
        </is>
      </c>
      <c r="F526" t="inlineStr">
        <is>
          <t>technosphere</t>
        </is>
      </c>
      <c r="G526" t="inlineStr">
        <is>
          <t>railway track</t>
        </is>
      </c>
      <c r="H526" t="inlineStr">
        <is>
          <t>taken from ecoinvent inventory "transport, freight train, diesel - US"</t>
        </is>
      </c>
    </row>
    <row r="527">
      <c r="A527" t="inlineStr">
        <is>
          <t>Ammonia</t>
        </is>
      </c>
      <c r="B527" t="n">
        <v>1.259964712496364e-07</v>
      </c>
      <c r="D527" t="inlineStr">
        <is>
          <t>kilogram</t>
        </is>
      </c>
      <c r="E527" t="inlineStr">
        <is>
          <t>air</t>
        </is>
      </c>
      <c r="F527" t="inlineStr">
        <is>
          <t>biosphere</t>
        </is>
      </c>
      <c r="H527" t="inlineStr">
        <is>
          <t>2.0E-05 kg/kg fuel for diesel locomotives, according to Spielmann et al. (2007)
Spielmann, M., Bauer, C., Dones, R., Institut, P. S., &amp; Tuchschmid, M. (2007). Transport Services. Swiss Centre for Life Cycle Inventories, ecoinvent report No. 14.</t>
        </is>
      </c>
    </row>
    <row r="528">
      <c r="A528" t="inlineStr">
        <is>
          <t>Benzene</t>
        </is>
      </c>
      <c r="B528" t="n">
        <v>6.299823562481821e-07</v>
      </c>
      <c r="D528" t="inlineStr">
        <is>
          <t>kilogram</t>
        </is>
      </c>
      <c r="E528" t="inlineStr">
        <is>
          <t>air</t>
        </is>
      </c>
      <c r="F528" t="inlineStr">
        <is>
          <t>biosphere</t>
        </is>
      </c>
      <c r="H528" t="inlineStr">
        <is>
          <t>1.0E-04 kg/kg fuel for diesel locomotives, according to Spielmann et al. (2007)
Spielmann, M., Bauer, C., Dones, R., Institut, P. S., &amp; Tuchschmid, M. (2007). Transport Services. Swiss Centre for Life Cycle Inventories, ecoinvent report No. 14.</t>
        </is>
      </c>
    </row>
    <row r="529">
      <c r="A529" t="inlineStr">
        <is>
          <t>Cadmium II</t>
        </is>
      </c>
      <c r="B529" t="n">
        <v>6.29982356248182e-11</v>
      </c>
      <c r="D529" t="inlineStr">
        <is>
          <t>kilogram</t>
        </is>
      </c>
      <c r="E529" t="inlineStr">
        <is>
          <t>air</t>
        </is>
      </c>
      <c r="F529" t="inlineStr">
        <is>
          <t>biosphere</t>
        </is>
      </c>
      <c r="H529" t="inlineStr">
        <is>
          <t>1.0E-08 kg/kg fuel for diesel locomotives, according to Spielmann et al. (2007)
Spielmann, M., Bauer, C., Dones, R., Institut, P. S., &amp; Tuchschmid, M. (2007). Transport Services. Swiss Centre for Life Cycle Inventories, ecoinvent report No. 14.</t>
        </is>
      </c>
    </row>
    <row r="530">
      <c r="A530" t="inlineStr">
        <is>
          <t>Carbon dioxide, fossil</t>
        </is>
      </c>
      <c r="B530" t="n">
        <v>0.01981924492756781</v>
      </c>
      <c r="D530" t="inlineStr">
        <is>
          <t>kilogram</t>
        </is>
      </c>
      <c r="E530" t="inlineStr">
        <is>
          <t>air</t>
        </is>
      </c>
      <c r="F530" t="inlineStr">
        <is>
          <t>biosphere</t>
        </is>
      </c>
      <c r="H530" t="inlineStr">
        <is>
          <t>3.146 kg/kg fuel for diesel locomotives, according to Spielmann et al. (2007)
Spielmann, M., Bauer, C., Dones, R., Institut, P. S., &amp; Tuchschmid, M. (2007). Transport Services. Swiss Centre for Life Cycle Inventories, ecoinvent report No. 14.</t>
        </is>
      </c>
    </row>
    <row r="531">
      <c r="A531" t="inlineStr">
        <is>
          <t>Carbon monoxide, fossil</t>
        </is>
      </c>
      <c r="B531" t="n">
        <v>9.953721228721277e-05</v>
      </c>
      <c r="D531" t="inlineStr">
        <is>
          <t>kilogram</t>
        </is>
      </c>
      <c r="E531" t="inlineStr">
        <is>
          <t>air</t>
        </is>
      </c>
      <c r="F531" t="inlineStr">
        <is>
          <t>biosphere</t>
        </is>
      </c>
      <c r="H531" t="inlineStr">
        <is>
          <t>1.58E-02 kg/kg fuel for diesel locomotives, according to Spielmann et al. (2007)
Spielmann, M., Bauer, C., Dones, R., Institut, P. S., &amp; Tuchschmid, M. (2007). Transport Services. Swiss Centre for Life Cycle Inventories, ecoinvent report No. 14.</t>
        </is>
      </c>
    </row>
    <row r="532">
      <c r="A532" t="inlineStr">
        <is>
          <t>Chromium III</t>
        </is>
      </c>
      <c r="B532" t="n">
        <v>3.14991178124091e-10</v>
      </c>
      <c r="D532" t="inlineStr">
        <is>
          <t>kilogram</t>
        </is>
      </c>
      <c r="E532" t="inlineStr">
        <is>
          <t>air</t>
        </is>
      </c>
      <c r="F532" t="inlineStr">
        <is>
          <t>biosphere</t>
        </is>
      </c>
      <c r="H532" t="inlineStr">
        <is>
          <t>5.0E-08 kg/kg fuel for diesel locomotives, according to Spielmann et al. (2007)
Spielmann, M., Bauer, C., Dones, R., Institut, P. S., &amp; Tuchschmid, M. (2007). Transport Services. Swiss Centre for Life Cycle Inventories, ecoinvent report No. 14.</t>
        </is>
      </c>
    </row>
    <row r="533">
      <c r="A533" t="inlineStr">
        <is>
          <t>Copper ion</t>
        </is>
      </c>
      <c r="B533" t="n">
        <v>1.07097000562191e-08</v>
      </c>
      <c r="D533" t="inlineStr">
        <is>
          <t>kilogram</t>
        </is>
      </c>
      <c r="E533" t="inlineStr">
        <is>
          <t>air</t>
        </is>
      </c>
      <c r="F533" t="inlineStr">
        <is>
          <t>biosphere</t>
        </is>
      </c>
      <c r="H533" t="inlineStr">
        <is>
          <t>1.7E-06 kg/kg fuel for diesel locomotives, according to Spielmann et al. (2007)
Spielmann, M., Bauer, C., Dones, R., Institut, P. S., &amp; Tuchschmid, M. (2007). Transport Services. Swiss Centre for Life Cycle Inventories, ecoinvent report No. 14.</t>
        </is>
      </c>
    </row>
    <row r="534">
      <c r="A534" t="inlineStr">
        <is>
          <t>Dinitrogen monoxide</t>
        </is>
      </c>
      <c r="B534" t="n">
        <v>6.299823562481821e-07</v>
      </c>
      <c r="D534" t="inlineStr">
        <is>
          <t>kilogram</t>
        </is>
      </c>
      <c r="E534" t="inlineStr">
        <is>
          <t>air</t>
        </is>
      </c>
      <c r="F534" t="inlineStr">
        <is>
          <t>biosphere</t>
        </is>
      </c>
      <c r="H534" t="inlineStr">
        <is>
          <t>1.0E-04 kg/kg fuel for diesel locomotives, according to Spielmann et al. (2007)
Spielmann, M., Bauer, C., Dones, R., Institut, P. S., &amp; Tuchschmid, M. (2007). Transport Services. Swiss Centre for Life Cycle Inventories, ecoinvent report No. 14.</t>
        </is>
      </c>
    </row>
    <row r="535">
      <c r="A535" t="inlineStr">
        <is>
          <t>Iron ion</t>
        </is>
      </c>
      <c r="B535" t="n">
        <v>1.24e-05</v>
      </c>
      <c r="D535" t="inlineStr">
        <is>
          <t>kilogram</t>
        </is>
      </c>
      <c r="E535" t="inlineStr">
        <is>
          <t>soil</t>
        </is>
      </c>
      <c r="F535" t="inlineStr">
        <is>
          <t>biosphere</t>
        </is>
      </c>
      <c r="H535" t="inlineStr">
        <is>
          <t>1.24E-05 kg/tkm, emission of particulates due to abrasion from rail tracks, wheels,and brakes Spielmann et al. (2007)
Spielmann, M., Bauer, C., Dones, R., Institut, P. S., &amp; Tuchschmid, M. (2007). Transport Services. Swiss Centre for Life Cycle Inventories, ecoinvent report No. 14.</t>
        </is>
      </c>
    </row>
    <row r="536">
      <c r="A536" t="inlineStr">
        <is>
          <t>Lead II</t>
        </is>
      </c>
      <c r="B536" t="n">
        <v>6.929805918730001e-13</v>
      </c>
      <c r="D536" t="inlineStr">
        <is>
          <t>kilogram</t>
        </is>
      </c>
      <c r="E536" t="inlineStr">
        <is>
          <t>air</t>
        </is>
      </c>
      <c r="F536" t="inlineStr">
        <is>
          <t>biosphere</t>
        </is>
      </c>
      <c r="H536" t="inlineStr">
        <is>
          <t>1.1E-10 kg/kg fuel for diesel locomotives, according to Spielmann et al. (2007)
Spielmann, M., Bauer, C., Dones, R., Institut, P. S., &amp; Tuchschmid, M. (2007). Transport Services. Swiss Centre for Life Cycle Inventories, ecoinvent report No. 14.</t>
        </is>
      </c>
    </row>
    <row r="537">
      <c r="A537" t="inlineStr">
        <is>
          <t>Mercury II</t>
        </is>
      </c>
      <c r="B537" t="n">
        <v>1.259964712496364e-13</v>
      </c>
      <c r="D537" t="inlineStr">
        <is>
          <t>kilogram</t>
        </is>
      </c>
      <c r="E537" t="inlineStr">
        <is>
          <t>air</t>
        </is>
      </c>
      <c r="F537" t="inlineStr">
        <is>
          <t>biosphere</t>
        </is>
      </c>
      <c r="H537" t="inlineStr">
        <is>
          <t>2.0E-11 kg/kg fuel for diesel locomotives, according to Spielmann et al. (2007)
Spielmann, M., Bauer, C., Dones, R., Institut, P. S., &amp; Tuchschmid, M. (2007). Transport Services. Swiss Centre for Life Cycle Inventories, ecoinvent report No. 14.</t>
        </is>
      </c>
    </row>
    <row r="538">
      <c r="A538" t="inlineStr">
        <is>
          <t>Methane, fossil</t>
        </is>
      </c>
      <c r="B538" t="n">
        <v>8.189770631226365e-07</v>
      </c>
      <c r="D538" t="inlineStr">
        <is>
          <t>kilogram</t>
        </is>
      </c>
      <c r="E538" t="inlineStr">
        <is>
          <t>air</t>
        </is>
      </c>
      <c r="F538" t="inlineStr">
        <is>
          <t>biosphere</t>
        </is>
      </c>
      <c r="H538" t="inlineStr">
        <is>
          <t>1.3E-04 kg/kg fuel for diesel locomotives, according to Spielmann et al. (2007)
Spielmann, M., Bauer, C., Dones, R., Institut, P. S., &amp; Tuchschmid, M. (2007). Transport Services. Swiss Centre for Life Cycle Inventories, ecoinvent report No. 14.</t>
        </is>
      </c>
    </row>
    <row r="539">
      <c r="A539" t="inlineStr">
        <is>
          <t>NMVOC, non-methane volatile organic compounds</t>
        </is>
      </c>
      <c r="B539" t="n">
        <v>3.307407370302956e-05</v>
      </c>
      <c r="D539" t="inlineStr">
        <is>
          <t>kilogram</t>
        </is>
      </c>
      <c r="E539" t="inlineStr">
        <is>
          <t>air</t>
        </is>
      </c>
      <c r="F539" t="inlineStr">
        <is>
          <t>biosphere</t>
        </is>
      </c>
      <c r="H539" t="inlineStr">
        <is>
          <t>5.25E-03 kg/kg fuel for diesel locomotives, according to Spielmann et al. (2007)
Spielmann, M., Bauer, C., Dones, R., Institut, P. S., &amp; Tuchschmid, M. (2007). Transport Services. Swiss Centre for Life Cycle Inventories, ecoinvent report No. 14.</t>
        </is>
      </c>
    </row>
    <row r="540">
      <c r="A540" t="inlineStr">
        <is>
          <t>Nickel II</t>
        </is>
      </c>
      <c r="B540" t="n">
        <v>4.409876493737275e-10</v>
      </c>
      <c r="D540" t="inlineStr">
        <is>
          <t>kilogram</t>
        </is>
      </c>
      <c r="E540" t="inlineStr">
        <is>
          <t>air</t>
        </is>
      </c>
      <c r="F540" t="inlineStr">
        <is>
          <t>biosphere</t>
        </is>
      </c>
      <c r="H540" t="inlineStr">
        <is>
          <t>7.0E-08 kg/kg fuel for diesel locomotives, according to Spielmann et al. (2007)
Spielmann, M., Bauer, C., Dones, R., Institut, P. S., &amp; Tuchschmid, M. (2007). Transport Services. Swiss Centre for Life Cycle Inventories, ecoinvent report No. 14.</t>
        </is>
      </c>
    </row>
    <row r="541">
      <c r="A541" t="inlineStr">
        <is>
          <t>Nitrogen oxides</t>
        </is>
      </c>
      <c r="B541" t="n">
        <v>0.0003464902959365001</v>
      </c>
      <c r="D541" t="inlineStr">
        <is>
          <t>kilogram</t>
        </is>
      </c>
      <c r="E541" t="inlineStr">
        <is>
          <t>air</t>
        </is>
      </c>
      <c r="F541" t="inlineStr">
        <is>
          <t>biosphere</t>
        </is>
      </c>
      <c r="H541" t="inlineStr">
        <is>
          <t>5.5E-02 kg/kg fuel for diesel locomotives, according to Spielmann et al. (2007)
Spielmann, M., Bauer, C., Dones, R., Institut, P. S., &amp; Tuchschmid, M. (2007). Transport Services. Swiss Centre for Life Cycle Inventories, ecoinvent report No. 14.</t>
        </is>
      </c>
    </row>
    <row r="542">
      <c r="A542" t="inlineStr">
        <is>
          <t>Particulate Matter, &lt; 2.5 um</t>
        </is>
      </c>
      <c r="B542" t="n">
        <v>7.748782981852639e-06</v>
      </c>
      <c r="D542" t="inlineStr">
        <is>
          <t>kilogram</t>
        </is>
      </c>
      <c r="E542" t="inlineStr">
        <is>
          <t>air</t>
        </is>
      </c>
      <c r="F542" t="inlineStr">
        <is>
          <t>biosphere</t>
        </is>
      </c>
      <c r="H542" t="inlineStr">
        <is>
          <t>1.28E-03 kg/kg fuel for diesel locomotives, according to Spielmann et al. (2007)
Spielmann, M., Bauer, C., Dones, R., Institut, P. S., &amp; Tuchschmid, M. (2007). Transport Services. Swiss Centre for Life Cycle Inventories, ecoinvent report No. 14.</t>
        </is>
      </c>
    </row>
    <row r="543">
      <c r="A543" t="inlineStr">
        <is>
          <t>Particulate Matter, &gt; 10 um</t>
        </is>
      </c>
      <c r="B543" t="n">
        <v>1.804586031358025e-05</v>
      </c>
      <c r="D543" t="inlineStr">
        <is>
          <t>kilogram</t>
        </is>
      </c>
      <c r="E543" t="inlineStr">
        <is>
          <t>air</t>
        </is>
      </c>
      <c r="F543" t="inlineStr">
        <is>
          <t>biosphere</t>
        </is>
      </c>
      <c r="H543" t="inlineStr">
        <is>
          <t>4.59E-05 kg/kg fuel for diesel locomotives, according to Spielmann et al. (2007), plus
1.77E-05 kg/tkm, emission of particulates due to abrasion from rail tracks, wheels,and brakes Spielmann et al. (2007)
Spielmann, M., Bauer, C., Dones, R., Institut, P. S., &amp; Tuchschmid, M. (2007). Transport Services. Swiss Centre for Life Cycle Inventories, ecoinvent report No. 14.</t>
        </is>
      </c>
    </row>
    <row r="544">
      <c r="A544" t="inlineStr">
        <is>
          <t>Particulate Matter, &gt; 2.5 um and &lt; 10um</t>
        </is>
      </c>
      <c r="B544" t="n">
        <v>1.697408112118555e-05</v>
      </c>
      <c r="D544" t="inlineStr">
        <is>
          <t>kilogram</t>
        </is>
      </c>
      <c r="E544" t="inlineStr">
        <is>
          <t>air</t>
        </is>
      </c>
      <c r="F544" t="inlineStr">
        <is>
          <t>biosphere</t>
        </is>
      </c>
      <c r="H544" t="inlineStr">
        <is>
          <t>1.07E-04 kg/kg fuel for diesel locomotives, according to Spielmann et al. (2007), plus
1.63E-05 kg/tkm, emission of particulates due to abrasion from rail tracks, wheels,and brakes Spielmann et al. (2007)
Spielmann, M., Bauer, C., Dones, R., Institut, P. S., &amp; Tuchschmid, M. (2007). Transport Services. Swiss Centre for Life Cycle Inventories, ecoinvent report No. 14.</t>
        </is>
      </c>
    </row>
    <row r="545">
      <c r="A545" t="inlineStr">
        <is>
          <t>Selenium IV</t>
        </is>
      </c>
      <c r="B545" t="n">
        <v>6.29982356248182e-11</v>
      </c>
      <c r="D545" t="inlineStr">
        <is>
          <t>kilogram</t>
        </is>
      </c>
      <c r="E545" t="inlineStr">
        <is>
          <t>air</t>
        </is>
      </c>
      <c r="F545" t="inlineStr">
        <is>
          <t>biosphere</t>
        </is>
      </c>
      <c r="H545" t="inlineStr">
        <is>
          <t>1.0E-08 kg/kg fuel for diesel locomotives, according to Spielmann et al. (2007)
Spielmann, M., Bauer, C., Dones, R., Institut, P. S., &amp; Tuchschmid, M. (2007). Transport Services. Swiss Centre for Life Cycle Inventories, ecoinvent report No. 14.</t>
        </is>
      </c>
    </row>
    <row r="546">
      <c r="A546" t="inlineStr">
        <is>
          <t>Sulfur dioxide</t>
        </is>
      </c>
      <c r="B546" t="n">
        <v>3.779894137489092e-06</v>
      </c>
      <c r="D546" t="inlineStr">
        <is>
          <t>kilogram</t>
        </is>
      </c>
      <c r="E546" t="inlineStr">
        <is>
          <t>air</t>
        </is>
      </c>
      <c r="F546" t="inlineStr">
        <is>
          <t>biosphere</t>
        </is>
      </c>
      <c r="H546" t="inlineStr">
        <is>
          <t>6.0E-04 kg/kg fuel for diesel locomotives, according to Spielmann et al. (2007)
Spielmann, M., Bauer, C., Dones, R., Institut, P. S., &amp; Tuchschmid, M. (2007). Transport Services. Swiss Centre for Life Cycle Inventories, ecoinvent report No. 14.</t>
        </is>
      </c>
    </row>
    <row r="547">
      <c r="A547" t="inlineStr">
        <is>
          <t>Toluene</t>
        </is>
      </c>
      <c r="B547" t="n">
        <v>2.519929424992728e-07</v>
      </c>
      <c r="D547" t="inlineStr">
        <is>
          <t>kilogram</t>
        </is>
      </c>
      <c r="E547" t="inlineStr">
        <is>
          <t>air</t>
        </is>
      </c>
      <c r="F547" t="inlineStr">
        <is>
          <t>biosphere</t>
        </is>
      </c>
      <c r="H547" t="inlineStr">
        <is>
          <t>4.0E-05 kg/kg fuel for diesel locomotives, according to Spielmann et al. (2007)
Spielmann, M., Bauer, C., Dones, R., Institut, P. S., &amp; Tuchschmid, M. (2007). Transport Services. Swiss Centre for Life Cycle Inventories, ecoinvent report No. 14.</t>
        </is>
      </c>
    </row>
    <row r="548">
      <c r="A548" t="inlineStr">
        <is>
          <t>Xylene</t>
        </is>
      </c>
      <c r="B548" t="n">
        <v>2.519929424992728e-07</v>
      </c>
      <c r="D548" t="inlineStr">
        <is>
          <t>kilogram</t>
        </is>
      </c>
      <c r="E548" t="inlineStr">
        <is>
          <t>air</t>
        </is>
      </c>
      <c r="F548" t="inlineStr">
        <is>
          <t>biosphere</t>
        </is>
      </c>
      <c r="H548" t="inlineStr">
        <is>
          <t>4.0E-05 kg/kg fuel for diesel locomotives, according to Spielmann et al. (2007)
Spielmann, M., Bauer, C., Dones, R., Institut, P. S., &amp; Tuchschmid, M. (2007). Transport Services. Swiss Centre for Life Cycle Inventories, ecoinvent report No. 14.</t>
        </is>
      </c>
    </row>
    <row r="549">
      <c r="A549" t="inlineStr">
        <is>
          <t>Zinc II</t>
        </is>
      </c>
      <c r="B549" t="n">
        <v>6.29982356248182e-09</v>
      </c>
      <c r="D549" t="inlineStr">
        <is>
          <t>kilogram</t>
        </is>
      </c>
      <c r="E549" t="inlineStr">
        <is>
          <t>air</t>
        </is>
      </c>
      <c r="F549" t="inlineStr">
        <is>
          <t>biosphere</t>
        </is>
      </c>
      <c r="H549" t="inlineStr">
        <is>
          <t>1.0E-06 kg/kg fuel for diesel locomotives, according to Spielmann et al. (2007)
Spielmann, M., Bauer, C., Dones, R., Institut, P. S., &amp; Tuchschmid, M. (2007). Transport Services. Swiss Centre for Life Cycle Inventories, ecoinvent report No. 14.</t>
        </is>
      </c>
    </row>
    <row r="550">
      <c r="A550" t="inlineStr">
        <is>
          <t>transport, freight train, diesel-electric</t>
        </is>
      </c>
      <c r="B550" t="n">
        <v>1</v>
      </c>
      <c r="C550" t="inlineStr">
        <is>
          <t>US</t>
        </is>
      </c>
      <c r="D550" t="inlineStr">
        <is>
          <t>ton kilometer</t>
        </is>
      </c>
      <c r="F550" t="inlineStr">
        <is>
          <t>production</t>
        </is>
      </c>
      <c r="G550" t="inlineStr">
        <is>
          <t>transport, freight train</t>
        </is>
      </c>
    </row>
    <row r="551"/>
    <row r="552">
      <c r="A552" s="2" t="inlineStr">
        <is>
          <t>Activity</t>
        </is>
      </c>
      <c r="B552" s="2" t="inlineStr">
        <is>
          <t>transport, freight train, electric</t>
        </is>
      </c>
    </row>
    <row r="553">
      <c r="A553" t="inlineStr">
        <is>
          <t>location</t>
        </is>
      </c>
      <c r="B553" t="inlineStr">
        <is>
          <t>US</t>
        </is>
      </c>
    </row>
    <row r="554">
      <c r="A554" t="inlineStr">
        <is>
          <t>production amount</t>
        </is>
      </c>
      <c r="B554" t="n">
        <v>1</v>
      </c>
    </row>
    <row r="555">
      <c r="A555" t="inlineStr">
        <is>
          <t>reference product</t>
        </is>
      </c>
      <c r="B555" t="inlineStr">
        <is>
          <t>transport, freight train</t>
        </is>
      </c>
    </row>
    <row r="556">
      <c r="A556" t="inlineStr">
        <is>
          <t>type</t>
        </is>
      </c>
      <c r="B556" t="inlineStr">
        <is>
          <t>process</t>
        </is>
      </c>
    </row>
    <row r="557">
      <c r="A557" t="inlineStr">
        <is>
          <t>unit</t>
        </is>
      </c>
      <c r="B557" t="inlineStr">
        <is>
          <t>ton kilometer</t>
        </is>
      </c>
    </row>
    <row r="558">
      <c r="A558" t="inlineStr">
        <is>
          <t>Exchanges</t>
        </is>
      </c>
    </row>
    <row r="559">
      <c r="A559" s="2" t="inlineStr">
        <is>
          <t>name</t>
        </is>
      </c>
      <c r="B559" s="2" t="inlineStr">
        <is>
          <t>amount</t>
        </is>
      </c>
      <c r="C559" s="2" t="inlineStr">
        <is>
          <t>location</t>
        </is>
      </c>
      <c r="D559" s="2" t="inlineStr">
        <is>
          <t>unit</t>
        </is>
      </c>
      <c r="E559" s="2" t="inlineStr">
        <is>
          <t>categories</t>
        </is>
      </c>
      <c r="F559" s="2" t="inlineStr">
        <is>
          <t>type</t>
        </is>
      </c>
      <c r="G559" s="2" t="inlineStr">
        <is>
          <t>reference product</t>
        </is>
      </c>
      <c r="H559" s="2" t="inlineStr">
        <is>
          <t>comment</t>
        </is>
      </c>
    </row>
    <row r="560">
      <c r="A560" t="inlineStr">
        <is>
          <t>market for diesel</t>
        </is>
      </c>
      <c r="B560" t="n">
        <v>0.000677</v>
      </c>
      <c r="C560" t="inlineStr">
        <is>
          <t>RoW</t>
        </is>
      </c>
      <c r="D560" t="inlineStr">
        <is>
          <t>kilogram</t>
        </is>
      </c>
      <c r="F560" t="inlineStr">
        <is>
          <t>technosphere</t>
        </is>
      </c>
      <c r="G560" t="inlineStr">
        <is>
          <t>diesel</t>
        </is>
      </c>
      <c r="H560" t="inlineStr">
        <is>
          <t>The energy consumption for shunting processes is added. The shunting process is assumed to be done by diesel shunting locomotives exclusivley. The specific diesel consumption for the shunting is taken from the regional ecoinvent datasets "transport, freight train, electric".</t>
        </is>
      </c>
    </row>
    <row r="561">
      <c r="A561" t="inlineStr">
        <is>
          <t>market group for electricity, high voltage</t>
        </is>
      </c>
      <c r="B561" t="n">
        <v>0.0103632649118508</v>
      </c>
      <c r="C561" t="inlineStr">
        <is>
          <t>US</t>
        </is>
      </c>
      <c r="D561" t="inlineStr">
        <is>
          <t>kilowatt hour</t>
        </is>
      </c>
      <c r="F561" t="inlineStr">
        <is>
          <t>technosphere</t>
        </is>
      </c>
      <c r="G561" t="inlineStr">
        <is>
          <t>electricity, high voltage</t>
        </is>
      </c>
      <c r="H561" t="inlineStr">
        <is>
          <t>mention for the year 2025 instead of 2020. As the exact electrcity composition is not known/data is not available a 50/50 split between high and medium voltage electricity is assumed, similar to other datasets in ecoinvent like IN or ZA.
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t>
        </is>
      </c>
    </row>
    <row r="562">
      <c r="A562" t="inlineStr">
        <is>
          <t>market group for electricity, medium voltage</t>
        </is>
      </c>
      <c r="B562" t="n">
        <v>0.0103632649118508</v>
      </c>
      <c r="C562" t="inlineStr">
        <is>
          <t>US</t>
        </is>
      </c>
      <c r="D562" t="inlineStr">
        <is>
          <t>kilowatt hour</t>
        </is>
      </c>
      <c r="F562" t="inlineStr">
        <is>
          <t>technosphere</t>
        </is>
      </c>
      <c r="G562" t="inlineStr">
        <is>
          <t>electricity, medium voltage</t>
        </is>
      </c>
      <c r="H562" t="inlineStr">
        <is>
          <t>As the exact electrcity composition is not known/data is not available a 50/50 split between high and medium voltage electricity is assumed, similar to other datasets in ecoinvent like IN or ZA</t>
        </is>
      </c>
    </row>
    <row r="563">
      <c r="A563" t="inlineStr">
        <is>
          <t>production of locomotive, electric catenary</t>
        </is>
      </c>
      <c r="B563" t="n">
        <v>7.11e-10</v>
      </c>
      <c r="C563" t="inlineStr">
        <is>
          <t>GLO</t>
        </is>
      </c>
      <c r="D563" t="inlineStr">
        <is>
          <t>unit</t>
        </is>
      </c>
      <c r="F563" t="inlineStr">
        <is>
          <t>technosphere</t>
        </is>
      </c>
      <c r="G563" t="inlineStr">
        <is>
          <t>locomotive electric, catenary</t>
        </is>
      </c>
      <c r="H563" t="inlineStr">
        <is>
          <t>taken from ecoinvent inventory "transport, freight train, diesel - US"</t>
        </is>
      </c>
    </row>
    <row r="564">
      <c r="A564" t="inlineStr">
        <is>
          <t>market for maintenance, locomotive</t>
        </is>
      </c>
      <c r="B564" t="n">
        <v>7.11e-10</v>
      </c>
      <c r="C564" t="inlineStr">
        <is>
          <t>GLO</t>
        </is>
      </c>
      <c r="D564" t="inlineStr">
        <is>
          <t>unit</t>
        </is>
      </c>
      <c r="F564" t="inlineStr">
        <is>
          <t>technosphere</t>
        </is>
      </c>
      <c r="G564" t="inlineStr">
        <is>
          <t>maintenance, locomotive</t>
        </is>
      </c>
      <c r="H564" t="inlineStr">
        <is>
          <t>taken from ecoinvent inventory "transport, freight train, diesel - US"</t>
        </is>
      </c>
    </row>
    <row r="565">
      <c r="A565" t="inlineStr">
        <is>
          <t>market for goods wagon</t>
        </is>
      </c>
      <c r="B565" t="n">
        <v>4.59e-08</v>
      </c>
      <c r="C565" t="inlineStr">
        <is>
          <t>GLO</t>
        </is>
      </c>
      <c r="D565" t="inlineStr">
        <is>
          <t>unit</t>
        </is>
      </c>
      <c r="F565" t="inlineStr">
        <is>
          <t>technosphere</t>
        </is>
      </c>
      <c r="G565" t="inlineStr">
        <is>
          <t>goods wagon</t>
        </is>
      </c>
      <c r="H565" t="inlineStr">
        <is>
          <t>taken from ecoinvent inventory "transport, freight train, diesel - US"</t>
        </is>
      </c>
    </row>
    <row r="566">
      <c r="A566" t="inlineStr">
        <is>
          <t>market for maintenance, goods wagon</t>
        </is>
      </c>
      <c r="B566" t="n">
        <v>4.59e-08</v>
      </c>
      <c r="C566" t="inlineStr">
        <is>
          <t>GLO</t>
        </is>
      </c>
      <c r="D566" t="inlineStr">
        <is>
          <t>unit</t>
        </is>
      </c>
      <c r="F566" t="inlineStr">
        <is>
          <t>technosphere</t>
        </is>
      </c>
      <c r="G566" t="inlineStr">
        <is>
          <t>maintenance, goods wagon</t>
        </is>
      </c>
      <c r="H566" t="inlineStr">
        <is>
          <t>taken from ecoinvent inventory "transport, freight train, diesel - US"</t>
        </is>
      </c>
    </row>
    <row r="567">
      <c r="A567" t="inlineStr">
        <is>
          <t>market for railway track</t>
        </is>
      </c>
      <c r="B567" t="n">
        <v>9.3e-05</v>
      </c>
      <c r="C567" t="inlineStr">
        <is>
          <t>GLO</t>
        </is>
      </c>
      <c r="D567" t="inlineStr">
        <is>
          <t>meter-year</t>
        </is>
      </c>
      <c r="F567" t="inlineStr">
        <is>
          <t>technosphere</t>
        </is>
      </c>
      <c r="G567" t="inlineStr">
        <is>
          <t>railway track</t>
        </is>
      </c>
      <c r="H567" t="inlineStr">
        <is>
          <t>taken from ecoinvent inventory "transport, freight train, diesel - US"</t>
        </is>
      </c>
    </row>
    <row r="568">
      <c r="A568" t="inlineStr">
        <is>
          <t>Ammonia</t>
        </is>
      </c>
      <c r="B568" t="n">
        <v>1.354e-08</v>
      </c>
      <c r="D568" t="inlineStr">
        <is>
          <t>kilogram</t>
        </is>
      </c>
      <c r="E568" t="inlineStr">
        <is>
          <t>air</t>
        </is>
      </c>
      <c r="F568" t="inlineStr">
        <is>
          <t>biosphere</t>
        </is>
      </c>
      <c r="H568" t="inlineStr">
        <is>
          <t>2.0E-05 kg/kg fuel for diesel locomotives, according to Spielmann et al. (2007)
Spielmann, M., Bauer, C., Dones, R., Institut, P. S., &amp; Tuchschmid, M. (2007). Transport Services. Swiss Centre for Life Cycle Inventories, ecoinvent report No. 14.</t>
        </is>
      </c>
    </row>
    <row r="569">
      <c r="A569" t="inlineStr">
        <is>
          <t>Benzene</t>
        </is>
      </c>
      <c r="B569" t="n">
        <v>6.77e-08</v>
      </c>
      <c r="D569" t="inlineStr">
        <is>
          <t>kilogram</t>
        </is>
      </c>
      <c r="E569" t="inlineStr">
        <is>
          <t>air</t>
        </is>
      </c>
      <c r="F569" t="inlineStr">
        <is>
          <t>biosphere</t>
        </is>
      </c>
      <c r="H569" t="inlineStr">
        <is>
          <t>1.0E-04 kg/kg fuel for diesel locomotives, according to Spielmann et al. (2007)
Spielmann, M., Bauer, C., Dones, R., Institut, P. S., &amp; Tuchschmid, M. (2007). Transport Services. Swiss Centre for Life Cycle Inventories, ecoinvent report No. 14.</t>
        </is>
      </c>
    </row>
    <row r="570">
      <c r="A570" t="inlineStr">
        <is>
          <t>Cadmium II</t>
        </is>
      </c>
      <c r="B570" t="n">
        <v>6.77e-12</v>
      </c>
      <c r="D570" t="inlineStr">
        <is>
          <t>kilogram</t>
        </is>
      </c>
      <c r="E570" t="inlineStr">
        <is>
          <t>air</t>
        </is>
      </c>
      <c r="F570" t="inlineStr">
        <is>
          <t>biosphere</t>
        </is>
      </c>
      <c r="H570" t="inlineStr">
        <is>
          <t>1.0E-08 kg/kg fuel for diesel locomotives, according to Spielmann et al. (2007)
Spielmann, M., Bauer, C., Dones, R., Institut, P. S., &amp; Tuchschmid, M. (2007). Transport Services. Swiss Centre for Life Cycle Inventories, ecoinvent report No. 14.</t>
        </is>
      </c>
    </row>
    <row r="571">
      <c r="A571" t="inlineStr">
        <is>
          <t>Carbon dioxide, fossil</t>
        </is>
      </c>
      <c r="B571" t="n">
        <v>0.002129842</v>
      </c>
      <c r="D571" t="inlineStr">
        <is>
          <t>kilogram</t>
        </is>
      </c>
      <c r="E571" t="inlineStr">
        <is>
          <t>air</t>
        </is>
      </c>
      <c r="F571" t="inlineStr">
        <is>
          <t>biosphere</t>
        </is>
      </c>
      <c r="H571" t="inlineStr">
        <is>
          <t>3.146 kg/kg fuel for diesel locomotives, according to Spielmann et al. (2007)
Spielmann, M., Bauer, C., Dones, R., Institut, P. S., &amp; Tuchschmid, M. (2007). Transport Services. Swiss Centre for Life Cycle Inventories, ecoinvent report No. 14.</t>
        </is>
      </c>
    </row>
    <row r="572">
      <c r="A572" t="inlineStr">
        <is>
          <t>Carbon monoxide, fossil</t>
        </is>
      </c>
      <c r="B572" t="n">
        <v>1.06966e-05</v>
      </c>
      <c r="D572" t="inlineStr">
        <is>
          <t>kilogram</t>
        </is>
      </c>
      <c r="E572" t="inlineStr">
        <is>
          <t>air</t>
        </is>
      </c>
      <c r="F572" t="inlineStr">
        <is>
          <t>biosphere</t>
        </is>
      </c>
      <c r="H572" t="inlineStr">
        <is>
          <t>1.58E-02 kg/kg fuel for diesel locomotives, according to Spielmann et al. (2007)
Spielmann, M., Bauer, C., Dones, R., Institut, P. S., &amp; Tuchschmid, M. (2007). Transport Services. Swiss Centre for Life Cycle Inventories, ecoinvent report No. 14.</t>
        </is>
      </c>
    </row>
    <row r="573">
      <c r="A573" t="inlineStr">
        <is>
          <t>Chromium III</t>
        </is>
      </c>
      <c r="B573" t="n">
        <v>3.385e-11</v>
      </c>
      <c r="D573" t="inlineStr">
        <is>
          <t>kilogram</t>
        </is>
      </c>
      <c r="E573" t="inlineStr">
        <is>
          <t>air</t>
        </is>
      </c>
      <c r="F573" t="inlineStr">
        <is>
          <t>biosphere</t>
        </is>
      </c>
      <c r="H573" t="inlineStr">
        <is>
          <t>5.0E-08 kg/kg fuel for diesel locomotives, according to Spielmann et al. (2007)
Spielmann, M., Bauer, C., Dones, R., Institut, P. S., &amp; Tuchschmid, M. (2007). Transport Services. Swiss Centre for Life Cycle Inventories, ecoinvent report No. 14.</t>
        </is>
      </c>
    </row>
    <row r="574">
      <c r="A574" t="inlineStr">
        <is>
          <t>Copper ion</t>
        </is>
      </c>
      <c r="B574" t="n">
        <v>1.1509e-09</v>
      </c>
      <c r="D574" t="inlineStr">
        <is>
          <t>kilogram</t>
        </is>
      </c>
      <c r="E574" t="inlineStr">
        <is>
          <t>air</t>
        </is>
      </c>
      <c r="F574" t="inlineStr">
        <is>
          <t>biosphere</t>
        </is>
      </c>
      <c r="H574" t="inlineStr">
        <is>
          <t>1.7E-06 kg/kg fuel for diesel locomotives, according to Spielmann et al. (2007)
Spielmann, M., Bauer, C., Dones, R., Institut, P. S., &amp; Tuchschmid, M. (2007). Transport Services. Swiss Centre for Life Cycle Inventories, ecoinvent report No. 14.</t>
        </is>
      </c>
    </row>
    <row r="575">
      <c r="A575" t="inlineStr">
        <is>
          <t>Dinitrogen monoxide</t>
        </is>
      </c>
      <c r="B575" t="n">
        <v>6.77e-08</v>
      </c>
      <c r="D575" t="inlineStr">
        <is>
          <t>kilogram</t>
        </is>
      </c>
      <c r="E575" t="inlineStr">
        <is>
          <t>air</t>
        </is>
      </c>
      <c r="F575" t="inlineStr">
        <is>
          <t>biosphere</t>
        </is>
      </c>
      <c r="H575" t="inlineStr">
        <is>
          <t>1.0E-04 kg/kg fuel for diesel locomotives, according to Spielmann et al. (2007)
Spielmann, M., Bauer, C., Dones, R., Institut, P. S., &amp; Tuchschmid, M. (2007). Transport Services. Swiss Centre for Life Cycle Inventories, ecoinvent report No. 14.</t>
        </is>
      </c>
    </row>
    <row r="576">
      <c r="A576" t="inlineStr">
        <is>
          <t>Iron ion</t>
        </is>
      </c>
      <c r="B576" t="n">
        <v>1.24e-05</v>
      </c>
      <c r="D576" t="inlineStr">
        <is>
          <t>kilogram</t>
        </is>
      </c>
      <c r="E576" t="inlineStr">
        <is>
          <t>soil</t>
        </is>
      </c>
      <c r="F576" t="inlineStr">
        <is>
          <t>biosphere</t>
        </is>
      </c>
      <c r="H576" t="inlineStr">
        <is>
          <t>1.24E-05 kg/tkm, emission of particulates due to abrasion from rail tracks, wheels,and brakes Spielmann et al. (2007)
Spielmann, M., Bauer, C., Dones, R., Institut, P. S., &amp; Tuchschmid, M. (2007). Transport Services. Swiss Centre for Life Cycle Inventories, ecoinvent report No. 14.</t>
        </is>
      </c>
    </row>
    <row r="577">
      <c r="A577" t="inlineStr">
        <is>
          <t>Lead II</t>
        </is>
      </c>
      <c r="B577" t="n">
        <v>7.447e-14</v>
      </c>
      <c r="D577" t="inlineStr">
        <is>
          <t>kilogram</t>
        </is>
      </c>
      <c r="E577" t="inlineStr">
        <is>
          <t>air</t>
        </is>
      </c>
      <c r="F577" t="inlineStr">
        <is>
          <t>biosphere</t>
        </is>
      </c>
      <c r="H577" t="inlineStr">
        <is>
          <t>1.1E-10 kg/kg fuel for diesel locomotives, according to Spielmann et al. (2007)
Spielmann, M., Bauer, C., Dones, R., Institut, P. S., &amp; Tuchschmid, M. (2007). Transport Services. Swiss Centre for Life Cycle Inventories, ecoinvent report No. 14.</t>
        </is>
      </c>
    </row>
    <row r="578">
      <c r="A578" t="inlineStr">
        <is>
          <t>Mercury II</t>
        </is>
      </c>
      <c r="B578" t="n">
        <v>1.354e-14</v>
      </c>
      <c r="D578" t="inlineStr">
        <is>
          <t>kilogram</t>
        </is>
      </c>
      <c r="E578" t="inlineStr">
        <is>
          <t>air</t>
        </is>
      </c>
      <c r="F578" t="inlineStr">
        <is>
          <t>biosphere</t>
        </is>
      </c>
      <c r="H578" t="inlineStr">
        <is>
          <t>2.0E-11 kg/kg fuel for diesel locomotives, according to Spielmann et al. (2007)
Spielmann, M., Bauer, C., Dones, R., Institut, P. S., &amp; Tuchschmid, M. (2007). Transport Services. Swiss Centre for Life Cycle Inventories, ecoinvent report No. 14.</t>
        </is>
      </c>
    </row>
    <row r="579">
      <c r="A579" t="inlineStr">
        <is>
          <t>Methane, fossil</t>
        </is>
      </c>
      <c r="B579" t="n">
        <v>8.800999999999999e-08</v>
      </c>
      <c r="D579" t="inlineStr">
        <is>
          <t>kilogram</t>
        </is>
      </c>
      <c r="E579" t="inlineStr">
        <is>
          <t>air</t>
        </is>
      </c>
      <c r="F579" t="inlineStr">
        <is>
          <t>biosphere</t>
        </is>
      </c>
      <c r="H579" t="inlineStr">
        <is>
          <t>1.3E-04 kg/kg fuel for diesel locomotives, according to Spielmann et al. (2007)
Spielmann, M., Bauer, C., Dones, R., Institut, P. S., &amp; Tuchschmid, M. (2007). Transport Services. Swiss Centre for Life Cycle Inventories, ecoinvent report No. 14.</t>
        </is>
      </c>
    </row>
    <row r="580">
      <c r="A580" t="inlineStr">
        <is>
          <t>NMVOC, non-methane volatile organic compounds</t>
        </is>
      </c>
      <c r="B580" t="n">
        <v>3.55425e-06</v>
      </c>
      <c r="D580" t="inlineStr">
        <is>
          <t>kilogram</t>
        </is>
      </c>
      <c r="E580" t="inlineStr">
        <is>
          <t>air</t>
        </is>
      </c>
      <c r="F580" t="inlineStr">
        <is>
          <t>biosphere</t>
        </is>
      </c>
      <c r="H580" t="inlineStr">
        <is>
          <t>5.25E-03 kg/kg fuel for diesel locomotives, according to Spielmann et al. (2007)
Spielmann, M., Bauer, C., Dones, R., Institut, P. S., &amp; Tuchschmid, M. (2007). Transport Services. Swiss Centre for Life Cycle Inventories, ecoinvent report No. 14.</t>
        </is>
      </c>
    </row>
    <row r="581">
      <c r="A581" t="inlineStr">
        <is>
          <t>Nickel II</t>
        </is>
      </c>
      <c r="B581" t="n">
        <v>4.739e-11</v>
      </c>
      <c r="D581" t="inlineStr">
        <is>
          <t>kilogram</t>
        </is>
      </c>
      <c r="E581" t="inlineStr">
        <is>
          <t>air</t>
        </is>
      </c>
      <c r="F581" t="inlineStr">
        <is>
          <t>biosphere</t>
        </is>
      </c>
      <c r="H581" t="inlineStr">
        <is>
          <t>7.0E-08 kg/kg fuel for diesel locomotives, according to Spielmann et al. (2007)
Spielmann, M., Bauer, C., Dones, R., Institut, P. S., &amp; Tuchschmid, M. (2007). Transport Services. Swiss Centre for Life Cycle Inventories, ecoinvent report No. 14.</t>
        </is>
      </c>
    </row>
    <row r="582">
      <c r="A582" t="inlineStr">
        <is>
          <t>Nitrogen oxides</t>
        </is>
      </c>
      <c r="B582" t="n">
        <v>3.7235e-05</v>
      </c>
      <c r="D582" t="inlineStr">
        <is>
          <t>kilogram</t>
        </is>
      </c>
      <c r="E582" t="inlineStr">
        <is>
          <t>air</t>
        </is>
      </c>
      <c r="F582" t="inlineStr">
        <is>
          <t>biosphere</t>
        </is>
      </c>
      <c r="H582" t="inlineStr">
        <is>
          <t>5.5E-02 kg/kg fuel for diesel locomotives, according to Spielmann et al. (2007)
Spielmann, M., Bauer, C., Dones, R., Institut, P. S., &amp; Tuchschmid, M. (2007). Transport Services. Swiss Centre for Life Cycle Inventories, ecoinvent report No. 14.</t>
        </is>
      </c>
    </row>
    <row r="583">
      <c r="A583" t="inlineStr">
        <is>
          <t>Particulate Matter, &lt; 2.5 um</t>
        </is>
      </c>
      <c r="B583" t="n">
        <v>8.327099999999999e-07</v>
      </c>
      <c r="D583" t="inlineStr">
        <is>
          <t>kilogram</t>
        </is>
      </c>
      <c r="E583" t="inlineStr">
        <is>
          <t>air</t>
        </is>
      </c>
      <c r="F583" t="inlineStr">
        <is>
          <t>biosphere</t>
        </is>
      </c>
      <c r="H583" t="inlineStr">
        <is>
          <t>1.28E-03 kg/kg fuel for diesel locomotives, according to Spielmann et al. (2007)
Spielmann, M., Bauer, C., Dones, R., Institut, P. S., &amp; Tuchschmid, M. (2007). Transport Services. Swiss Centre for Life Cycle Inventories, ecoinvent report No. 14.</t>
        </is>
      </c>
    </row>
    <row r="584">
      <c r="A584" t="inlineStr">
        <is>
          <t>Particulate Matter, &gt; 10 um</t>
        </is>
      </c>
      <c r="B584" t="n">
        <v>1.77371673e-05</v>
      </c>
      <c r="D584" t="inlineStr">
        <is>
          <t>kilogram</t>
        </is>
      </c>
      <c r="E584" t="inlineStr">
        <is>
          <t>air</t>
        </is>
      </c>
      <c r="F584" t="inlineStr">
        <is>
          <t>biosphere</t>
        </is>
      </c>
      <c r="H584" t="inlineStr">
        <is>
          <t>4.59E-05 kg/kg fuel for diesel locomotives, according to Spielmann et al. (2007), plus
1.77E-05 kg/tkm, emission of particulates due to abrasion from rail tracks, wheels,and brakes Spielmann et al. (2007)
Spielmann, M., Bauer, C., Dones, R., Institut, P. S., &amp; Tuchschmid, M. (2007). Transport Services. Swiss Centre for Life Cycle Inventories, ecoinvent report No. 14.</t>
        </is>
      </c>
    </row>
    <row r="585">
      <c r="A585" t="inlineStr">
        <is>
          <t>Particulate Matter, &gt; 2.5 um and &lt; 10um</t>
        </is>
      </c>
      <c r="B585" t="n">
        <v>1.6372439e-05</v>
      </c>
      <c r="D585" t="inlineStr">
        <is>
          <t>kilogram</t>
        </is>
      </c>
      <c r="E585" t="inlineStr">
        <is>
          <t>air</t>
        </is>
      </c>
      <c r="F585" t="inlineStr">
        <is>
          <t>biosphere</t>
        </is>
      </c>
      <c r="H585" t="inlineStr">
        <is>
          <t>1.07E-04 kg/kg fuel for diesel locomotives, according to Spielmann et al. (2007), plus
1.63E-05 kg/tkm, emission of particulates due to abrasion from rail tracks, wheels,and brakes Spielmann et al. (2007)
Spielmann, M., Bauer, C., Dones, R., Institut, P. S., &amp; Tuchschmid, M. (2007). Transport Services. Swiss Centre for Life Cycle Inventories, ecoinvent report No. 14.</t>
        </is>
      </c>
    </row>
    <row r="586">
      <c r="A586" t="inlineStr">
        <is>
          <t>Selenium IV</t>
        </is>
      </c>
      <c r="B586" t="n">
        <v>6.77e-12</v>
      </c>
      <c r="D586" t="inlineStr">
        <is>
          <t>kilogram</t>
        </is>
      </c>
      <c r="E586" t="inlineStr">
        <is>
          <t>air</t>
        </is>
      </c>
      <c r="F586" t="inlineStr">
        <is>
          <t>biosphere</t>
        </is>
      </c>
      <c r="H586" t="inlineStr">
        <is>
          <t>1.0E-08 kg/kg fuel for diesel locomotives, according to Spielmann et al. (2007)
Spielmann, M., Bauer, C., Dones, R., Institut, P. S., &amp; Tuchschmid, M. (2007). Transport Services. Swiss Centre for Life Cycle Inventories, ecoinvent report No. 14.</t>
        </is>
      </c>
    </row>
    <row r="587">
      <c r="A587" t="inlineStr">
        <is>
          <t>Sulfur dioxide</t>
        </is>
      </c>
      <c r="B587" t="n">
        <v>4.062e-07</v>
      </c>
      <c r="D587" t="inlineStr">
        <is>
          <t>kilogram</t>
        </is>
      </c>
      <c r="E587" t="inlineStr">
        <is>
          <t>air</t>
        </is>
      </c>
      <c r="F587" t="inlineStr">
        <is>
          <t>biosphere</t>
        </is>
      </c>
      <c r="H587" t="inlineStr">
        <is>
          <t>6.0E-04 kg/kg fuel for diesel locomotives, according to Spielmann et al. (2007)
Spielmann, M., Bauer, C., Dones, R., Institut, P. S., &amp; Tuchschmid, M. (2007). Transport Services. Swiss Centre for Life Cycle Inventories, ecoinvent report No. 14.</t>
        </is>
      </c>
    </row>
    <row r="588">
      <c r="A588" t="inlineStr">
        <is>
          <t>Sulfur hexafluoride</t>
        </is>
      </c>
      <c r="B588" t="n">
        <v>3.14e-09</v>
      </c>
      <c r="D588" t="inlineStr">
        <is>
          <t>kilogram</t>
        </is>
      </c>
      <c r="E588" t="inlineStr">
        <is>
          <t>air</t>
        </is>
      </c>
      <c r="F588" t="inlineStr">
        <is>
          <t>biosphere</t>
        </is>
      </c>
      <c r="H588" t="inlineStr">
        <is>
          <t>3.14E-09 kg/tkm, emission of particulates due to abrasion from rail tracks, wheels,and brakes Spielmann et al. (2007)
Spielmann, M., Bauer, C., Dones, R., Institut, P. S., &amp; Tuchschmid, M. (2007). Transport Services. Swiss Centre for Life Cycle Inventories, ecoinvent report No. 14.</t>
        </is>
      </c>
    </row>
    <row r="589">
      <c r="A589" t="inlineStr">
        <is>
          <t>Toluene</t>
        </is>
      </c>
      <c r="B589" t="n">
        <v>2.708e-08</v>
      </c>
      <c r="D589" t="inlineStr">
        <is>
          <t>kilogram</t>
        </is>
      </c>
      <c r="E589" t="inlineStr">
        <is>
          <t>air</t>
        </is>
      </c>
      <c r="F589" t="inlineStr">
        <is>
          <t>biosphere</t>
        </is>
      </c>
      <c r="H589" t="inlineStr">
        <is>
          <t>4.0E-05 kg/kg fuel for diesel locomotives, according to Spielmann et al. (2007)
Spielmann, M., Bauer, C., Dones, R., Institut, P. S., &amp; Tuchschmid, M. (2007). Transport Services. Swiss Centre for Life Cycle Inventories, ecoinvent report No. 14.</t>
        </is>
      </c>
    </row>
    <row r="590">
      <c r="A590" t="inlineStr">
        <is>
          <t>Xylene</t>
        </is>
      </c>
      <c r="B590" t="n">
        <v>2.708e-08</v>
      </c>
      <c r="D590" t="inlineStr">
        <is>
          <t>kilogram</t>
        </is>
      </c>
      <c r="E590" t="inlineStr">
        <is>
          <t>air</t>
        </is>
      </c>
      <c r="F590" t="inlineStr">
        <is>
          <t>biosphere</t>
        </is>
      </c>
      <c r="H590" t="inlineStr">
        <is>
          <t>4.0E-05 kg/kg fuel for diesel locomotives, according to Spielmann et al. (2007)
Spielmann, M., Bauer, C., Dones, R., Institut, P. S., &amp; Tuchschmid, M. (2007). Transport Services. Swiss Centre for Life Cycle Inventories, ecoinvent report No. 14.</t>
        </is>
      </c>
    </row>
    <row r="591">
      <c r="A591" t="inlineStr">
        <is>
          <t>Zinc II</t>
        </is>
      </c>
      <c r="B591" t="n">
        <v>6.769999999999999e-10</v>
      </c>
      <c r="D591" t="inlineStr">
        <is>
          <t>kilogram</t>
        </is>
      </c>
      <c r="E591" t="inlineStr">
        <is>
          <t>air</t>
        </is>
      </c>
      <c r="F591" t="inlineStr">
        <is>
          <t>biosphere</t>
        </is>
      </c>
      <c r="H591" t="inlineStr">
        <is>
          <t>1.0E-06 kg/kg fuel for diesel locomotives, according to Spielmann et al. (2007)
Spielmann, M., Bauer, C., Dones, R., Institut, P. S., &amp; Tuchschmid, M. (2007). Transport Services. Swiss Centre for Life Cycle Inventories, ecoinvent report No. 14.</t>
        </is>
      </c>
    </row>
    <row r="592">
      <c r="A592" t="inlineStr">
        <is>
          <t>transport, freight train, electric</t>
        </is>
      </c>
      <c r="B592" t="n">
        <v>1</v>
      </c>
      <c r="C592" t="inlineStr">
        <is>
          <t>US</t>
        </is>
      </c>
      <c r="D592" t="inlineStr">
        <is>
          <t>ton kilometer</t>
        </is>
      </c>
      <c r="F592" t="inlineStr">
        <is>
          <t>production</t>
        </is>
      </c>
      <c r="G592" t="inlineStr">
        <is>
          <t>transport, freight train</t>
        </is>
      </c>
    </row>
    <row r="593"/>
    <row r="594">
      <c r="A594" s="2" t="inlineStr">
        <is>
          <t>Activity</t>
        </is>
      </c>
      <c r="B594" s="2" t="inlineStr">
        <is>
          <t>transport, freight train, fuel cell, hydrogen</t>
        </is>
      </c>
    </row>
    <row r="595">
      <c r="A595" t="inlineStr">
        <is>
          <t>location</t>
        </is>
      </c>
      <c r="B595" t="inlineStr">
        <is>
          <t>US</t>
        </is>
      </c>
    </row>
    <row r="596">
      <c r="A596" t="inlineStr">
        <is>
          <t>production amount</t>
        </is>
      </c>
      <c r="B596" t="n">
        <v>1</v>
      </c>
    </row>
    <row r="597">
      <c r="A597" t="inlineStr">
        <is>
          <t>reference product</t>
        </is>
      </c>
      <c r="B597" t="inlineStr">
        <is>
          <t>transport, freight train</t>
        </is>
      </c>
    </row>
    <row r="598">
      <c r="A598" t="inlineStr">
        <is>
          <t>type</t>
        </is>
      </c>
      <c r="B598" t="inlineStr">
        <is>
          <t>process</t>
        </is>
      </c>
    </row>
    <row r="599">
      <c r="A599" t="inlineStr">
        <is>
          <t>unit</t>
        </is>
      </c>
      <c r="B599" t="inlineStr">
        <is>
          <t>ton kilometer</t>
        </is>
      </c>
    </row>
    <row r="600">
      <c r="A600" t="inlineStr">
        <is>
          <t>Exchanges</t>
        </is>
      </c>
    </row>
    <row r="601">
      <c r="A601" s="2" t="inlineStr">
        <is>
          <t>name</t>
        </is>
      </c>
      <c r="B601" s="2" t="inlineStr">
        <is>
          <t>amount</t>
        </is>
      </c>
      <c r="C601" s="2" t="inlineStr">
        <is>
          <t>location</t>
        </is>
      </c>
      <c r="D601" s="2" t="inlineStr">
        <is>
          <t>unit</t>
        </is>
      </c>
      <c r="E601" s="2" t="inlineStr">
        <is>
          <t>categories</t>
        </is>
      </c>
      <c r="F601" s="2" t="inlineStr">
        <is>
          <t>type</t>
        </is>
      </c>
      <c r="G601" s="2" t="inlineStr">
        <is>
          <t>reference product</t>
        </is>
      </c>
      <c r="H601" s="2" t="inlineStr">
        <is>
          <t>comment</t>
        </is>
      </c>
    </row>
    <row r="602">
      <c r="A602" t="inlineStr">
        <is>
          <t>market for diesel</t>
        </is>
      </c>
      <c r="B602" t="n">
        <v>0.000677</v>
      </c>
      <c r="C602" t="inlineStr">
        <is>
          <t>RoW</t>
        </is>
      </c>
      <c r="D602" t="inlineStr">
        <is>
          <t>kilogram</t>
        </is>
      </c>
      <c r="F602" t="inlineStr">
        <is>
          <t>technosphere</t>
        </is>
      </c>
      <c r="G602" t="inlineStr">
        <is>
          <t>diesel</t>
        </is>
      </c>
      <c r="H602" t="inlineStr">
        <is>
          <t>The energy consumption for shunting processes is added. The shunting process is assumed to be done by diesel shunting locomotives exclusivley. The specific diesel consumption for the shunting is taken from the regional ecoinvent datasets "transport, freight train, electric".</t>
        </is>
      </c>
    </row>
    <row r="603">
      <c r="A603" t="inlineStr">
        <is>
          <t>market for hydrogen, gaseous</t>
        </is>
      </c>
      <c r="B603" t="n">
        <v>0.003107679230409566</v>
      </c>
      <c r="C603" t="inlineStr">
        <is>
          <t>GLO</t>
        </is>
      </c>
      <c r="D603" t="inlineStr">
        <is>
          <t>kilogram</t>
        </is>
      </c>
      <c r="F603" t="inlineStr">
        <is>
          <t>technosphere</t>
        </is>
      </c>
      <c r="G603" t="inlineStr">
        <is>
          <t>hydrogen, gaseous</t>
        </is>
      </c>
      <c r="H603"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t>
        </is>
      </c>
    </row>
    <row r="604">
      <c r="A604" t="inlineStr">
        <is>
          <t>production of locomotive, fuel cell, hydrogen</t>
        </is>
      </c>
      <c r="B604" t="n">
        <v>7.11e-10</v>
      </c>
      <c r="C604" t="inlineStr">
        <is>
          <t>GLO</t>
        </is>
      </c>
      <c r="D604" t="inlineStr">
        <is>
          <t>unit</t>
        </is>
      </c>
      <c r="F604" t="inlineStr">
        <is>
          <t>technosphere</t>
        </is>
      </c>
      <c r="G604" t="inlineStr">
        <is>
          <t>locomotive fuel cell, hydrogen</t>
        </is>
      </c>
      <c r="H604" t="inlineStr">
        <is>
          <t>taken from ecoinvent inventory "transport, freight train, diesel - US" as the hydrogen locomotive has similar output power as the diesel-electric train, and it is assumed that diesel trains can used for retrofitting HFC-systems</t>
        </is>
      </c>
    </row>
    <row r="605">
      <c r="A605" t="inlineStr">
        <is>
          <t>market for maintenance, locomotive</t>
        </is>
      </c>
      <c r="B605" t="n">
        <v>7.11e-10</v>
      </c>
      <c r="C605" t="inlineStr">
        <is>
          <t>GLO</t>
        </is>
      </c>
      <c r="D605" t="inlineStr">
        <is>
          <t>unit</t>
        </is>
      </c>
      <c r="F605" t="inlineStr">
        <is>
          <t>technosphere</t>
        </is>
      </c>
      <c r="G605" t="inlineStr">
        <is>
          <t>maintenance, locomotive</t>
        </is>
      </c>
      <c r="H605" t="inlineStr">
        <is>
          <t>taken from ecoinvent inventory "transport, freight train, diesel - US" as the hydrogen locomotive has similar output power as the diesel-electric train, and it is assumed that diesel trains can used for retrofitting HFC-systems</t>
        </is>
      </c>
    </row>
    <row r="606">
      <c r="A606" t="inlineStr">
        <is>
          <t>market for goods wagon</t>
        </is>
      </c>
      <c r="B606" t="n">
        <v>4.59e-08</v>
      </c>
      <c r="C606" t="inlineStr">
        <is>
          <t>GLO</t>
        </is>
      </c>
      <c r="D606" t="inlineStr">
        <is>
          <t>unit</t>
        </is>
      </c>
      <c r="F606" t="inlineStr">
        <is>
          <t>technosphere</t>
        </is>
      </c>
      <c r="G606" t="inlineStr">
        <is>
          <t>goods wagon</t>
        </is>
      </c>
      <c r="H606" t="inlineStr">
        <is>
          <t>taken from ecoinvent inventory "transport, freight train, diesel - US" as the hydrogen locomotive has similar output power as the diesel-electric train, and it is assumed that diesel trains can used for retrofitting HFC-systems</t>
        </is>
      </c>
    </row>
    <row r="607">
      <c r="A607" t="inlineStr">
        <is>
          <t>market for maintenance, goods wagon</t>
        </is>
      </c>
      <c r="B607" t="n">
        <v>4.59e-08</v>
      </c>
      <c r="C607" t="inlineStr">
        <is>
          <t>GLO</t>
        </is>
      </c>
      <c r="D607" t="inlineStr">
        <is>
          <t>unit</t>
        </is>
      </c>
      <c r="F607" t="inlineStr">
        <is>
          <t>technosphere</t>
        </is>
      </c>
      <c r="G607" t="inlineStr">
        <is>
          <t>maintenance, goods wagon</t>
        </is>
      </c>
      <c r="H607" t="inlineStr">
        <is>
          <t>taken from ecoinvent inventory "transport, freight train, diesel - US" as the hydrogen locomotive has similar output power as the diesel-electric train, and it is assumed that diesel trains can used for retrofitting HFC-systems</t>
        </is>
      </c>
    </row>
    <row r="608">
      <c r="A608" t="inlineStr">
        <is>
          <t>market for railway track</t>
        </is>
      </c>
      <c r="B608" t="n">
        <v>9.3e-05</v>
      </c>
      <c r="C608" t="inlineStr">
        <is>
          <t>GLO</t>
        </is>
      </c>
      <c r="D608" t="inlineStr">
        <is>
          <t>meter-year</t>
        </is>
      </c>
      <c r="F608" t="inlineStr">
        <is>
          <t>technosphere</t>
        </is>
      </c>
      <c r="G608" t="inlineStr">
        <is>
          <t>railway track</t>
        </is>
      </c>
      <c r="H608" t="inlineStr">
        <is>
          <t>taken from ecoinvent inventory "transport, freight train, diesel - US" as the hydrogen locomotive has similar output power as the diesel-electric train, and it is assumed that diesel trains can used for retrofitting HFC-systems</t>
        </is>
      </c>
    </row>
    <row r="609">
      <c r="A609" t="inlineStr">
        <is>
          <t>Ammonia</t>
        </is>
      </c>
      <c r="B609" t="n">
        <v>1.354e-08</v>
      </c>
      <c r="D609" t="inlineStr">
        <is>
          <t>kilogram</t>
        </is>
      </c>
      <c r="E609" t="inlineStr">
        <is>
          <t>air</t>
        </is>
      </c>
      <c r="F609" t="inlineStr">
        <is>
          <t>biosphere</t>
        </is>
      </c>
      <c r="H609" t="inlineStr">
        <is>
          <t>2.0E-05 kg/kg fuel for diesel locomotives, according to Spielmann et al. (2007)
Spielmann, M., Bauer, C., Dones, R., Institut, P. S., &amp; Tuchschmid, M. (2007). Transport Services. Swiss Centre for Life Cycle Inventories, ecoinvent report No. 14.</t>
        </is>
      </c>
    </row>
    <row r="610">
      <c r="A610" t="inlineStr">
        <is>
          <t>Benzene</t>
        </is>
      </c>
      <c r="B610" t="n">
        <v>6.77e-08</v>
      </c>
      <c r="D610" t="inlineStr">
        <is>
          <t>kilogram</t>
        </is>
      </c>
      <c r="E610" t="inlineStr">
        <is>
          <t>air</t>
        </is>
      </c>
      <c r="F610" t="inlineStr">
        <is>
          <t>biosphere</t>
        </is>
      </c>
      <c r="H610" t="inlineStr">
        <is>
          <t>1.0E-04 kg/kg fuel for diesel locomotives, according to Spielmann et al. (2007)
Spielmann, M., Bauer, C., Dones, R., Institut, P. S., &amp; Tuchschmid, M. (2007). Transport Services. Swiss Centre for Life Cycle Inventories, ecoinvent report No. 14.</t>
        </is>
      </c>
    </row>
    <row r="611">
      <c r="A611" t="inlineStr">
        <is>
          <t>Cadmium II</t>
        </is>
      </c>
      <c r="B611" t="n">
        <v>6.77e-12</v>
      </c>
      <c r="D611" t="inlineStr">
        <is>
          <t>kilogram</t>
        </is>
      </c>
      <c r="E611" t="inlineStr">
        <is>
          <t>air</t>
        </is>
      </c>
      <c r="F611" t="inlineStr">
        <is>
          <t>biosphere</t>
        </is>
      </c>
      <c r="H611" t="inlineStr">
        <is>
          <t>1.0E-08 kg/kg fuel for diesel locomotives, according to Spielmann et al. (2007)
Spielmann, M., Bauer, C., Dones, R., Institut, P. S., &amp; Tuchschmid, M. (2007). Transport Services. Swiss Centre for Life Cycle Inventories, ecoinvent report No. 14.</t>
        </is>
      </c>
    </row>
    <row r="612">
      <c r="A612" t="inlineStr">
        <is>
          <t>Carbon dioxide, fossil</t>
        </is>
      </c>
      <c r="B612" t="n">
        <v>0.002129842</v>
      </c>
      <c r="D612" t="inlineStr">
        <is>
          <t>kilogram</t>
        </is>
      </c>
      <c r="E612" t="inlineStr">
        <is>
          <t>air</t>
        </is>
      </c>
      <c r="F612" t="inlineStr">
        <is>
          <t>biosphere</t>
        </is>
      </c>
      <c r="H612" t="inlineStr">
        <is>
          <t>3.146 kg/kg fuel for diesel locomotives, according to Spielmann et al. (2007)
Spielmann, M., Bauer, C., Dones, R., Institut, P. S., &amp; Tuchschmid, M. (2007). Transport Services. Swiss Centre for Life Cycle Inventories, ecoinvent report No. 14.</t>
        </is>
      </c>
    </row>
    <row r="613">
      <c r="A613" t="inlineStr">
        <is>
          <t>Carbon monoxide, fossil</t>
        </is>
      </c>
      <c r="B613" t="n">
        <v>1.06966e-05</v>
      </c>
      <c r="D613" t="inlineStr">
        <is>
          <t>kilogram</t>
        </is>
      </c>
      <c r="E613" t="inlineStr">
        <is>
          <t>air</t>
        </is>
      </c>
      <c r="F613" t="inlineStr">
        <is>
          <t>biosphere</t>
        </is>
      </c>
      <c r="H613" t="inlineStr">
        <is>
          <t>1.58E-02 kg/kg fuel for diesel locomotives, according to Spielmann et al. (2007)
Spielmann, M., Bauer, C., Dones, R., Institut, P. S., &amp; Tuchschmid, M. (2007). Transport Services. Swiss Centre for Life Cycle Inventories, ecoinvent report No. 14.</t>
        </is>
      </c>
    </row>
    <row r="614">
      <c r="A614" t="inlineStr">
        <is>
          <t>Chromium III</t>
        </is>
      </c>
      <c r="B614" t="n">
        <v>3.385e-11</v>
      </c>
      <c r="D614" t="inlineStr">
        <is>
          <t>kilogram</t>
        </is>
      </c>
      <c r="E614" t="inlineStr">
        <is>
          <t>air</t>
        </is>
      </c>
      <c r="F614" t="inlineStr">
        <is>
          <t>biosphere</t>
        </is>
      </c>
      <c r="H614" t="inlineStr">
        <is>
          <t>5.0E-08 kg/kg fuel for diesel locomotives, according to Spielmann et al. (2007)
Spielmann, M., Bauer, C., Dones, R., Institut, P. S., &amp; Tuchschmid, M. (2007). Transport Services. Swiss Centre for Life Cycle Inventories, ecoinvent report No. 14.</t>
        </is>
      </c>
    </row>
    <row r="615">
      <c r="A615" t="inlineStr">
        <is>
          <t>Copper ion</t>
        </is>
      </c>
      <c r="B615" t="n">
        <v>1.1509e-09</v>
      </c>
      <c r="D615" t="inlineStr">
        <is>
          <t>kilogram</t>
        </is>
      </c>
      <c r="E615" t="inlineStr">
        <is>
          <t>air</t>
        </is>
      </c>
      <c r="F615" t="inlineStr">
        <is>
          <t>biosphere</t>
        </is>
      </c>
      <c r="H615" t="inlineStr">
        <is>
          <t>1.7E-06 kg/kg fuel for diesel locomotives, according to Spielmann et al. (2007)
Spielmann, M., Bauer, C., Dones, R., Institut, P. S., &amp; Tuchschmid, M. (2007). Transport Services. Swiss Centre for Life Cycle Inventories, ecoinvent report No. 14.</t>
        </is>
      </c>
    </row>
    <row r="616">
      <c r="A616" t="inlineStr">
        <is>
          <t>Dinitrogen monoxide</t>
        </is>
      </c>
      <c r="B616" t="n">
        <v>6.77e-08</v>
      </c>
      <c r="D616" t="inlineStr">
        <is>
          <t>kilogram</t>
        </is>
      </c>
      <c r="E616" t="inlineStr">
        <is>
          <t>air</t>
        </is>
      </c>
      <c r="F616" t="inlineStr">
        <is>
          <t>biosphere</t>
        </is>
      </c>
      <c r="H616" t="inlineStr">
        <is>
          <t>1.0E-04 kg/kg fuel for diesel locomotives, according to Spielmann et al. (2007)
Spielmann, M., Bauer, C., Dones, R., Institut, P. S., &amp; Tuchschmid, M. (2007). Transport Services. Swiss Centre for Life Cycle Inventories, ecoinvent report No. 14.</t>
        </is>
      </c>
    </row>
    <row r="617">
      <c r="A617" t="inlineStr">
        <is>
          <t>Iron ion</t>
        </is>
      </c>
      <c r="B617" t="n">
        <v>0</v>
      </c>
      <c r="D617" t="inlineStr">
        <is>
          <t>kilogram</t>
        </is>
      </c>
      <c r="E617" t="inlineStr">
        <is>
          <t>soil</t>
        </is>
      </c>
      <c r="F617" t="inlineStr">
        <is>
          <t>biosphere</t>
        </is>
      </c>
      <c r="H617" t="inlineStr">
        <is>
          <t>1.24E-05 kg/tkm, emission of particulates due to abrasion from rail tracks, wheels,and brakes Spielmann et al. (2007)
Spielmann, M., Bauer, C., Dones, R., Institut, P. S., &amp; Tuchschmid, M. (2007). Transport Services. Swiss Centre for Life Cycle Inventories, ecoinvent report No. 14.</t>
        </is>
      </c>
    </row>
    <row r="618">
      <c r="A618" t="inlineStr">
        <is>
          <t>Lead II</t>
        </is>
      </c>
      <c r="B618" t="n">
        <v>7.447e-14</v>
      </c>
      <c r="D618" t="inlineStr">
        <is>
          <t>kilogram</t>
        </is>
      </c>
      <c r="E618" t="inlineStr">
        <is>
          <t>air</t>
        </is>
      </c>
      <c r="F618" t="inlineStr">
        <is>
          <t>biosphere</t>
        </is>
      </c>
      <c r="H618" t="inlineStr">
        <is>
          <t>1.1E-10 kg/kg fuel for diesel locomotives, according to Spielmann et al. (2007)
Spielmann, M., Bauer, C., Dones, R., Institut, P. S., &amp; Tuchschmid, M. (2007). Transport Services. Swiss Centre for Life Cycle Inventories, ecoinvent report No. 14.</t>
        </is>
      </c>
    </row>
    <row r="619">
      <c r="A619" t="inlineStr">
        <is>
          <t>Mercury II</t>
        </is>
      </c>
      <c r="B619" t="n">
        <v>1.354e-14</v>
      </c>
      <c r="D619" t="inlineStr">
        <is>
          <t>kilogram</t>
        </is>
      </c>
      <c r="E619" t="inlineStr">
        <is>
          <t>air</t>
        </is>
      </c>
      <c r="F619" t="inlineStr">
        <is>
          <t>biosphere</t>
        </is>
      </c>
      <c r="H619" t="inlineStr">
        <is>
          <t>2.0E-11 kg/kg fuel for diesel locomotives, according to Spielmann et al. (2007)
Spielmann, M., Bauer, C., Dones, R., Institut, P. S., &amp; Tuchschmid, M. (2007). Transport Services. Swiss Centre for Life Cycle Inventories, ecoinvent report No. 14.</t>
        </is>
      </c>
    </row>
    <row r="620">
      <c r="A620" t="inlineStr">
        <is>
          <t>Methane, fossil</t>
        </is>
      </c>
      <c r="B620" t="n">
        <v>8.800999999999999e-08</v>
      </c>
      <c r="D620" t="inlineStr">
        <is>
          <t>kilogram</t>
        </is>
      </c>
      <c r="E620" t="inlineStr">
        <is>
          <t>air</t>
        </is>
      </c>
      <c r="F620" t="inlineStr">
        <is>
          <t>biosphere</t>
        </is>
      </c>
      <c r="H620" t="inlineStr">
        <is>
          <t>1.3E-04 kg/kg fuel for diesel locomotives, according to Spielmann et al. (2007)
Spielmann, M., Bauer, C., Dones, R., Institut, P. S., &amp; Tuchschmid, M. (2007). Transport Services. Swiss Centre for Life Cycle Inventories, ecoinvent report No. 14.</t>
        </is>
      </c>
    </row>
    <row r="621">
      <c r="A621" t="inlineStr">
        <is>
          <t>NMVOC, non-methane volatile organic compounds</t>
        </is>
      </c>
      <c r="B621" t="n">
        <v>3.55425e-06</v>
      </c>
      <c r="D621" t="inlineStr">
        <is>
          <t>kilogram</t>
        </is>
      </c>
      <c r="E621" t="inlineStr">
        <is>
          <t>air</t>
        </is>
      </c>
      <c r="F621" t="inlineStr">
        <is>
          <t>biosphere</t>
        </is>
      </c>
      <c r="H621" t="inlineStr">
        <is>
          <t>5.25E-03 kg/kg fuel for diesel locomotives, according to Spielmann et al. (2007)
Spielmann, M., Bauer, C., Dones, R., Institut, P. S., &amp; Tuchschmid, M. (2007). Transport Services. Swiss Centre for Life Cycle Inventories, ecoinvent report No. 14.</t>
        </is>
      </c>
    </row>
    <row r="622">
      <c r="A622" t="inlineStr">
        <is>
          <t>Nickel II</t>
        </is>
      </c>
      <c r="B622" t="n">
        <v>4.739e-11</v>
      </c>
      <c r="D622" t="inlineStr">
        <is>
          <t>kilogram</t>
        </is>
      </c>
      <c r="E622" t="inlineStr">
        <is>
          <t>air</t>
        </is>
      </c>
      <c r="F622" t="inlineStr">
        <is>
          <t>biosphere</t>
        </is>
      </c>
      <c r="H622" t="inlineStr">
        <is>
          <t>7.0E-08 kg/kg fuel for diesel locomotives, according to Spielmann et al. (2007)
Spielmann, M., Bauer, C., Dones, R., Institut, P. S., &amp; Tuchschmid, M. (2007). Transport Services. Swiss Centre for Life Cycle Inventories, ecoinvent report No. 14.</t>
        </is>
      </c>
    </row>
    <row r="623">
      <c r="A623" t="inlineStr">
        <is>
          <t>Nitrogen oxides</t>
        </is>
      </c>
      <c r="B623" t="n">
        <v>3.7235e-05</v>
      </c>
      <c r="D623" t="inlineStr">
        <is>
          <t>kilogram</t>
        </is>
      </c>
      <c r="E623" t="inlineStr">
        <is>
          <t>air</t>
        </is>
      </c>
      <c r="F623" t="inlineStr">
        <is>
          <t>biosphere</t>
        </is>
      </c>
      <c r="H623" t="inlineStr">
        <is>
          <t>5.5E-02 kg/kg fuel for diesel locomotives, according to Spielmann et al. (2007)
Spielmann, M., Bauer, C., Dones, R., Institut, P. S., &amp; Tuchschmid, M. (2007). Transport Services. Swiss Centre for Life Cycle Inventories, ecoinvent report No. 14.</t>
        </is>
      </c>
    </row>
    <row r="624">
      <c r="A624" t="inlineStr">
        <is>
          <t>Particulate Matter, &lt; 2.5 um</t>
        </is>
      </c>
      <c r="B624" t="n">
        <v>8.327099999999999e-07</v>
      </c>
      <c r="D624" t="inlineStr">
        <is>
          <t>kilogram</t>
        </is>
      </c>
      <c r="E624" t="inlineStr">
        <is>
          <t>air</t>
        </is>
      </c>
      <c r="F624" t="inlineStr">
        <is>
          <t>biosphere</t>
        </is>
      </c>
      <c r="H624" t="inlineStr">
        <is>
          <t>1.28E-03 kg/kg fuel for diesel locomotives, according to Spielmann et al. (2007)
Spielmann, M., Bauer, C., Dones, R., Institut, P. S., &amp; Tuchschmid, M. (2007). Transport Services. Swiss Centre for Life Cycle Inventories, ecoinvent report No. 14.</t>
        </is>
      </c>
    </row>
    <row r="625">
      <c r="A625" t="inlineStr">
        <is>
          <t>Particulate Matter, &gt; 10 um</t>
        </is>
      </c>
      <c r="B625" t="n">
        <v>1.77371673e-05</v>
      </c>
      <c r="D625" t="inlineStr">
        <is>
          <t>kilogram</t>
        </is>
      </c>
      <c r="E625" t="inlineStr">
        <is>
          <t>air</t>
        </is>
      </c>
      <c r="F625" t="inlineStr">
        <is>
          <t>biosphere</t>
        </is>
      </c>
      <c r="H625" t="inlineStr">
        <is>
          <t>4.59E-05 kg/kg fuel for diesel locomotives, according to Spielmann et al. (2007), plus
1.77E-05 kg/tkm, emission of particulates due to abrasion from rail tracks, wheels,and brakes Spielmann et al. (2007)
Spielmann, M., Bauer, C., Dones, R., Institut, P. S., &amp; Tuchschmid, M. (2007). Transport Services. Swiss Centre for Life Cycle Inventories, ecoinvent report No. 14.</t>
        </is>
      </c>
    </row>
    <row r="626">
      <c r="A626" t="inlineStr">
        <is>
          <t>Particulate Matter, &gt; 2.5 um and &lt; 10um</t>
        </is>
      </c>
      <c r="B626" t="n">
        <v>1.6372439e-05</v>
      </c>
      <c r="D626" t="inlineStr">
        <is>
          <t>kilogram</t>
        </is>
      </c>
      <c r="E626" t="inlineStr">
        <is>
          <t>air</t>
        </is>
      </c>
      <c r="F626" t="inlineStr">
        <is>
          <t>biosphere</t>
        </is>
      </c>
      <c r="H626" t="inlineStr">
        <is>
          <t>1.07E-04 kg/kg fuel for diesel locomotives, according to Spielmann et al. (2007), plus
1.63E-05 kg/tkm, emission of particulates due to abrasion from rail tracks, wheels,and brakes Spielmann et al. (2007)
Spielmann, M., Bauer, C., Dones, R., Institut, P. S., &amp; Tuchschmid, M. (2007). Transport Services. Swiss Centre for Life Cycle Inventories, ecoinvent report No. 14.</t>
        </is>
      </c>
    </row>
    <row r="627">
      <c r="A627" t="inlineStr">
        <is>
          <t>Selenium IV</t>
        </is>
      </c>
      <c r="B627" t="n">
        <v>6.77e-12</v>
      </c>
      <c r="D627" t="inlineStr">
        <is>
          <t>kilogram</t>
        </is>
      </c>
      <c r="E627" t="inlineStr">
        <is>
          <t>air</t>
        </is>
      </c>
      <c r="F627" t="inlineStr">
        <is>
          <t>biosphere</t>
        </is>
      </c>
      <c r="H627" t="inlineStr">
        <is>
          <t>1.0E-08 kg/kg fuel for diesel locomotives, according to Spielmann et al. (2007)
Spielmann, M., Bauer, C., Dones, R., Institut, P. S., &amp; Tuchschmid, M. (2007). Transport Services. Swiss Centre for Life Cycle Inventories, ecoinvent report No. 14.</t>
        </is>
      </c>
    </row>
    <row r="628">
      <c r="A628" t="inlineStr">
        <is>
          <t>Sulfur dioxide</t>
        </is>
      </c>
      <c r="B628" t="n">
        <v>4.062e-07</v>
      </c>
      <c r="D628" t="inlineStr">
        <is>
          <t>kilogram</t>
        </is>
      </c>
      <c r="E628" t="inlineStr">
        <is>
          <t>air</t>
        </is>
      </c>
      <c r="F628" t="inlineStr">
        <is>
          <t>biosphere</t>
        </is>
      </c>
      <c r="H628" t="inlineStr">
        <is>
          <t>6.0E-04 kg/kg fuel for diesel locomotives, according to Spielmann et al. (2007)
Spielmann, M., Bauer, C., Dones, R., Institut, P. S., &amp; Tuchschmid, M. (2007). Transport Services. Swiss Centre for Life Cycle Inventories, ecoinvent report No. 14.</t>
        </is>
      </c>
    </row>
    <row r="629">
      <c r="A629" t="inlineStr">
        <is>
          <t>Toluene</t>
        </is>
      </c>
      <c r="B629" t="n">
        <v>2.708e-08</v>
      </c>
      <c r="D629" t="inlineStr">
        <is>
          <t>kilogram</t>
        </is>
      </c>
      <c r="E629" t="inlineStr">
        <is>
          <t>air</t>
        </is>
      </c>
      <c r="F629" t="inlineStr">
        <is>
          <t>biosphere</t>
        </is>
      </c>
      <c r="H629" t="inlineStr">
        <is>
          <t>4.0E-05 kg/kg fuel for diesel locomotives, according to Spielmann et al. (2007)
Spielmann, M., Bauer, C., Dones, R., Institut, P. S., &amp; Tuchschmid, M. (2007). Transport Services. Swiss Centre for Life Cycle Inventories, ecoinvent report No. 14.</t>
        </is>
      </c>
    </row>
    <row r="630">
      <c r="A630" t="inlineStr">
        <is>
          <t>Xylene</t>
        </is>
      </c>
      <c r="B630" t="n">
        <v>2.708e-08</v>
      </c>
      <c r="D630" t="inlineStr">
        <is>
          <t>kilogram</t>
        </is>
      </c>
      <c r="E630" t="inlineStr">
        <is>
          <t>air</t>
        </is>
      </c>
      <c r="F630" t="inlineStr">
        <is>
          <t>biosphere</t>
        </is>
      </c>
      <c r="H630" t="inlineStr">
        <is>
          <t>4.0E-05 kg/kg fuel for diesel locomotives, according to Spielmann et al. (2007)
Spielmann, M., Bauer, C., Dones, R., Institut, P. S., &amp; Tuchschmid, M. (2007). Transport Services. Swiss Centre for Life Cycle Inventories, ecoinvent report No. 14.</t>
        </is>
      </c>
    </row>
    <row r="631">
      <c r="A631" t="inlineStr">
        <is>
          <t>Zinc II</t>
        </is>
      </c>
      <c r="B631" t="n">
        <v>6.769999999999999e-10</v>
      </c>
      <c r="D631" t="inlineStr">
        <is>
          <t>kilogram</t>
        </is>
      </c>
      <c r="E631" t="inlineStr">
        <is>
          <t>air</t>
        </is>
      </c>
      <c r="F631" t="inlineStr">
        <is>
          <t>biosphere</t>
        </is>
      </c>
      <c r="H631" t="inlineStr">
        <is>
          <t>1.0E-06 kg/kg fuel for diesel locomotives, according to Spielmann et al. (2007)
Spielmann, M., Bauer, C., Dones, R., Institut, P. S., &amp; Tuchschmid, M. (2007). Transport Services. Swiss Centre for Life Cycle Inventories, ecoinvent report No. 14.</t>
        </is>
      </c>
    </row>
    <row r="632">
      <c r="A632" t="inlineStr">
        <is>
          <t>transport, freight train, fuel cell, hydrogen</t>
        </is>
      </c>
      <c r="B632" t="n">
        <v>1</v>
      </c>
      <c r="C632" t="inlineStr">
        <is>
          <t>US</t>
        </is>
      </c>
      <c r="D632" t="inlineStr">
        <is>
          <t>ton kilometer</t>
        </is>
      </c>
      <c r="F632" t="inlineStr">
        <is>
          <t>production</t>
        </is>
      </c>
      <c r="G632" t="inlineStr">
        <is>
          <t>transport, freight train</t>
        </is>
      </c>
    </row>
    <row r="633"/>
    <row r="634">
      <c r="A634" s="2" t="inlineStr">
        <is>
          <t>Activity</t>
        </is>
      </c>
      <c r="B634" s="2" t="inlineStr">
        <is>
          <t>transport, freight train, diesel-electric</t>
        </is>
      </c>
    </row>
    <row r="635">
      <c r="A635" t="inlineStr">
        <is>
          <t>location</t>
        </is>
      </c>
      <c r="B635" t="inlineStr">
        <is>
          <t>RoW</t>
        </is>
      </c>
    </row>
    <row r="636">
      <c r="A636" t="inlineStr">
        <is>
          <t>production amount</t>
        </is>
      </c>
      <c r="B636" t="n">
        <v>1</v>
      </c>
    </row>
    <row r="637">
      <c r="A637" t="inlineStr">
        <is>
          <t>reference product</t>
        </is>
      </c>
      <c r="B637" t="inlineStr">
        <is>
          <t>transport, freight train</t>
        </is>
      </c>
    </row>
    <row r="638">
      <c r="A638" t="inlineStr">
        <is>
          <t>type</t>
        </is>
      </c>
      <c r="B638" t="inlineStr">
        <is>
          <t>process</t>
        </is>
      </c>
    </row>
    <row r="639">
      <c r="A639" t="inlineStr">
        <is>
          <t>unit</t>
        </is>
      </c>
      <c r="B639" t="inlineStr">
        <is>
          <t>ton kilometer</t>
        </is>
      </c>
    </row>
    <row r="640">
      <c r="A640" t="inlineStr">
        <is>
          <t>Exchanges</t>
        </is>
      </c>
    </row>
    <row r="641">
      <c r="A641" s="2" t="inlineStr">
        <is>
          <t>name</t>
        </is>
      </c>
      <c r="B641" s="2" t="inlineStr">
        <is>
          <t>amount</t>
        </is>
      </c>
      <c r="C641" s="2" t="inlineStr">
        <is>
          <t>location</t>
        </is>
      </c>
      <c r="D641" s="2" t="inlineStr">
        <is>
          <t>unit</t>
        </is>
      </c>
      <c r="E641" s="2" t="inlineStr">
        <is>
          <t>categories</t>
        </is>
      </c>
      <c r="F641" s="2" t="inlineStr">
        <is>
          <t>type</t>
        </is>
      </c>
      <c r="G641" s="2" t="inlineStr">
        <is>
          <t>reference product</t>
        </is>
      </c>
      <c r="H641" s="2" t="inlineStr">
        <is>
          <t>comment</t>
        </is>
      </c>
    </row>
    <row r="642">
      <c r="A642" t="inlineStr">
        <is>
          <t>market group for diesel</t>
        </is>
      </c>
      <c r="B642" t="n">
        <v>0.008419223058601624</v>
      </c>
      <c r="C642" t="inlineStr">
        <is>
          <t>GLO</t>
        </is>
      </c>
      <c r="D642" t="inlineStr">
        <is>
          <t>kilogram</t>
        </is>
      </c>
      <c r="F642" t="inlineStr">
        <is>
          <t>technosphere</t>
        </is>
      </c>
      <c r="G642" t="inlineStr">
        <is>
          <t>diesel</t>
        </is>
      </c>
      <c r="H642"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
Additional the energy consumption for shunting processes is added. The shunting processe is assumed to be done by diesel shunting locomotives exclusivley. The specific diesel consumption for the shunting is taken from the regional ecoinvent datasets "transport, freight train, electric".</t>
        </is>
      </c>
    </row>
    <row r="643">
      <c r="A643" t="inlineStr">
        <is>
          <t>production of locomotive, diesel-electric</t>
        </is>
      </c>
      <c r="B643" t="n">
        <v>7.11e-10</v>
      </c>
      <c r="C643" t="inlineStr">
        <is>
          <t>GLO</t>
        </is>
      </c>
      <c r="D643" t="inlineStr">
        <is>
          <t>unit</t>
        </is>
      </c>
      <c r="F643" t="inlineStr">
        <is>
          <t>technosphere</t>
        </is>
      </c>
      <c r="G643" t="inlineStr">
        <is>
          <t>locomotive diesel-electric</t>
        </is>
      </c>
      <c r="H643" t="inlineStr">
        <is>
          <t>taken from ecoinvent inventory "transport, freight train, diesel - RoW"</t>
        </is>
      </c>
    </row>
    <row r="644">
      <c r="A644" t="inlineStr">
        <is>
          <t>market for maintenance, locomotive</t>
        </is>
      </c>
      <c r="B644" t="n">
        <v>7.11e-10</v>
      </c>
      <c r="C644" t="inlineStr">
        <is>
          <t>GLO</t>
        </is>
      </c>
      <c r="D644" t="inlineStr">
        <is>
          <t>unit</t>
        </is>
      </c>
      <c r="F644" t="inlineStr">
        <is>
          <t>technosphere</t>
        </is>
      </c>
      <c r="G644" t="inlineStr">
        <is>
          <t>maintenance, locomotive</t>
        </is>
      </c>
      <c r="H644" t="inlineStr">
        <is>
          <t>taken from ecoinvent inventory "transport, freight train, diesel - RoW"</t>
        </is>
      </c>
    </row>
    <row r="645">
      <c r="A645" t="inlineStr">
        <is>
          <t>market for goods wagon</t>
        </is>
      </c>
      <c r="B645" t="n">
        <v>4.59e-08</v>
      </c>
      <c r="C645" t="inlineStr">
        <is>
          <t>GLO</t>
        </is>
      </c>
      <c r="D645" t="inlineStr">
        <is>
          <t>unit</t>
        </is>
      </c>
      <c r="F645" t="inlineStr">
        <is>
          <t>technosphere</t>
        </is>
      </c>
      <c r="G645" t="inlineStr">
        <is>
          <t>goods wagon</t>
        </is>
      </c>
      <c r="H645" t="inlineStr">
        <is>
          <t>taken from ecoinvent inventory "transport, freight train, diesel - RoW"</t>
        </is>
      </c>
    </row>
    <row r="646">
      <c r="A646" t="inlineStr">
        <is>
          <t>market for maintenance, goods wagon</t>
        </is>
      </c>
      <c r="B646" t="n">
        <v>4.59e-08</v>
      </c>
      <c r="C646" t="inlineStr">
        <is>
          <t>GLO</t>
        </is>
      </c>
      <c r="D646" t="inlineStr">
        <is>
          <t>unit</t>
        </is>
      </c>
      <c r="F646" t="inlineStr">
        <is>
          <t>technosphere</t>
        </is>
      </c>
      <c r="G646" t="inlineStr">
        <is>
          <t>maintenance, goods wagon</t>
        </is>
      </c>
      <c r="H646" t="inlineStr">
        <is>
          <t>taken from ecoinvent inventory "transport, freight train, diesel - RoW"</t>
        </is>
      </c>
    </row>
    <row r="647">
      <c r="A647" t="inlineStr">
        <is>
          <t>market for railway track</t>
        </is>
      </c>
      <c r="B647" t="n">
        <v>9.3e-05</v>
      </c>
      <c r="C647" t="inlineStr">
        <is>
          <t>GLO</t>
        </is>
      </c>
      <c r="D647" t="inlineStr">
        <is>
          <t>meter-year</t>
        </is>
      </c>
      <c r="F647" t="inlineStr">
        <is>
          <t>technosphere</t>
        </is>
      </c>
      <c r="G647" t="inlineStr">
        <is>
          <t>railway track</t>
        </is>
      </c>
      <c r="H647" t="inlineStr">
        <is>
          <t>taken from ecoinvent inventory "transport, freight train, diesel - RoW"</t>
        </is>
      </c>
    </row>
    <row r="648">
      <c r="A648" t="inlineStr">
        <is>
          <t>Ammonia</t>
        </is>
      </c>
      <c r="B648" t="n">
        <v>1.373503634829587e-07</v>
      </c>
      <c r="D648" t="inlineStr">
        <is>
          <t>kilogram</t>
        </is>
      </c>
      <c r="E648" t="inlineStr">
        <is>
          <t>air</t>
        </is>
      </c>
      <c r="F648" t="inlineStr">
        <is>
          <t>biosphere</t>
        </is>
      </c>
      <c r="H648" t="inlineStr">
        <is>
          <t>2.0E-05 kg/kg fuel for diesel locomotives, according to Spielmann et al. (2007)
Spielmann, M., Bauer, C., Dones, R., Institut, P. S., &amp; Tuchschmid, M. (2007). Transport Services. Swiss Centre for Life Cycle Inventories, ecoinvent report No. 14.</t>
        </is>
      </c>
    </row>
    <row r="649">
      <c r="A649" t="inlineStr">
        <is>
          <t>Benzene</t>
        </is>
      </c>
      <c r="B649" t="n">
        <v>6.867518174147934e-07</v>
      </c>
      <c r="D649" t="inlineStr">
        <is>
          <t>kilogram</t>
        </is>
      </c>
      <c r="E649" t="inlineStr">
        <is>
          <t>air</t>
        </is>
      </c>
      <c r="F649" t="inlineStr">
        <is>
          <t>biosphere</t>
        </is>
      </c>
      <c r="H649" t="inlineStr">
        <is>
          <t>1.0E-04 kg/kg fuel for diesel locomotives, according to Spielmann et al. (2007)
Spielmann, M., Bauer, C., Dones, R., Institut, P. S., &amp; Tuchschmid, M. (2007). Transport Services. Swiss Centre for Life Cycle Inventories, ecoinvent report No. 14.</t>
        </is>
      </c>
    </row>
    <row r="650">
      <c r="A650" t="inlineStr">
        <is>
          <t>Cadmium II</t>
        </is>
      </c>
      <c r="B650" t="n">
        <v>6.867518174147933e-11</v>
      </c>
      <c r="D650" t="inlineStr">
        <is>
          <t>kilogram</t>
        </is>
      </c>
      <c r="E650" t="inlineStr">
        <is>
          <t>air</t>
        </is>
      </c>
      <c r="F650" t="inlineStr">
        <is>
          <t>biosphere</t>
        </is>
      </c>
      <c r="H650" t="inlineStr">
        <is>
          <t>1.0E-08 kg/kg fuel for diesel locomotives, according to Spielmann et al. (2007)
Spielmann, M., Bauer, C., Dones, R., Institut, P. S., &amp; Tuchschmid, M. (2007). Transport Services. Swiss Centre for Life Cycle Inventories, ecoinvent report No. 14.</t>
        </is>
      </c>
    </row>
    <row r="651">
      <c r="A651" t="inlineStr">
        <is>
          <t>Carbon dioxide, fossil</t>
        </is>
      </c>
      <c r="B651" t="n">
        <v>0.0216052121758694</v>
      </c>
      <c r="D651" t="inlineStr">
        <is>
          <t>kilogram</t>
        </is>
      </c>
      <c r="E651" t="inlineStr">
        <is>
          <t>air</t>
        </is>
      </c>
      <c r="F651" t="inlineStr">
        <is>
          <t>biosphere</t>
        </is>
      </c>
      <c r="H651" t="inlineStr">
        <is>
          <t>3.146 kg/kg fuel for diesel locomotives, according to Spielmann et al. (2007)
Spielmann, M., Bauer, C., Dones, R., Institut, P. S., &amp; Tuchschmid, M. (2007). Transport Services. Swiss Centre for Life Cycle Inventories, ecoinvent report No. 14.</t>
        </is>
      </c>
    </row>
    <row r="652">
      <c r="A652" t="inlineStr">
        <is>
          <t>Carbon monoxide, fossil</t>
        </is>
      </c>
      <c r="B652" t="n">
        <v>0.0001085067871515374</v>
      </c>
      <c r="D652" t="inlineStr">
        <is>
          <t>kilogram</t>
        </is>
      </c>
      <c r="E652" t="inlineStr">
        <is>
          <t>air</t>
        </is>
      </c>
      <c r="F652" t="inlineStr">
        <is>
          <t>biosphere</t>
        </is>
      </c>
      <c r="H652" t="inlineStr">
        <is>
          <t>1.58E-02 kg/kg fuel for diesel locomotives, according to Spielmann et al. (2007)
Spielmann, M., Bauer, C., Dones, R., Institut, P. S., &amp; Tuchschmid, M. (2007). Transport Services. Swiss Centre for Life Cycle Inventories, ecoinvent report No. 14.</t>
        </is>
      </c>
    </row>
    <row r="653">
      <c r="A653" t="inlineStr">
        <is>
          <t>Chromium III</t>
        </is>
      </c>
      <c r="B653" t="n">
        <v>3.433759087073966e-10</v>
      </c>
      <c r="D653" t="inlineStr">
        <is>
          <t>kilogram</t>
        </is>
      </c>
      <c r="E653" t="inlineStr">
        <is>
          <t>air</t>
        </is>
      </c>
      <c r="F653" t="inlineStr">
        <is>
          <t>biosphere</t>
        </is>
      </c>
      <c r="H653" t="inlineStr">
        <is>
          <t>5.0E-08 kg/kg fuel for diesel locomotives, according to Spielmann et al. (2007)
Spielmann, M., Bauer, C., Dones, R., Institut, P. S., &amp; Tuchschmid, M. (2007). Transport Services. Swiss Centre for Life Cycle Inventories, ecoinvent report No. 14.</t>
        </is>
      </c>
    </row>
    <row r="654">
      <c r="A654" t="inlineStr">
        <is>
          <t>Copper ion</t>
        </is>
      </c>
      <c r="B654" t="n">
        <v>1.167478089605149e-08</v>
      </c>
      <c r="D654" t="inlineStr">
        <is>
          <t>kilogram</t>
        </is>
      </c>
      <c r="E654" t="inlineStr">
        <is>
          <t>air</t>
        </is>
      </c>
      <c r="F654" t="inlineStr">
        <is>
          <t>biosphere</t>
        </is>
      </c>
      <c r="H654" t="inlineStr">
        <is>
          <t>1.7E-06 kg/kg fuel for diesel locomotives, according to Spielmann et al. (2007)
Spielmann, M., Bauer, C., Dones, R., Institut, P. S., &amp; Tuchschmid, M. (2007). Transport Services. Swiss Centre for Life Cycle Inventories, ecoinvent report No. 14.</t>
        </is>
      </c>
    </row>
    <row r="655">
      <c r="A655" t="inlineStr">
        <is>
          <t>Dinitrogen monoxide</t>
        </is>
      </c>
      <c r="B655" t="n">
        <v>6.867518174147934e-07</v>
      </c>
      <c r="D655" t="inlineStr">
        <is>
          <t>kilogram</t>
        </is>
      </c>
      <c r="E655" t="inlineStr">
        <is>
          <t>air</t>
        </is>
      </c>
      <c r="F655" t="inlineStr">
        <is>
          <t>biosphere</t>
        </is>
      </c>
      <c r="H655" t="inlineStr">
        <is>
          <t>1.0E-04 kg/kg fuel for diesel locomotives, according to Spielmann et al. (2007)
Spielmann, M., Bauer, C., Dones, R., Institut, P. S., &amp; Tuchschmid, M. (2007). Transport Services. Swiss Centre for Life Cycle Inventories, ecoinvent report No. 14.</t>
        </is>
      </c>
    </row>
    <row r="656">
      <c r="A656" t="inlineStr">
        <is>
          <t>Iron ion</t>
        </is>
      </c>
      <c r="B656" t="n">
        <v>1.24e-05</v>
      </c>
      <c r="D656" t="inlineStr">
        <is>
          <t>kilogram</t>
        </is>
      </c>
      <c r="E656" t="inlineStr">
        <is>
          <t>soil</t>
        </is>
      </c>
      <c r="F656" t="inlineStr">
        <is>
          <t>biosphere</t>
        </is>
      </c>
      <c r="H656" t="inlineStr">
        <is>
          <t>1.24E-05 kg/tkm, emission of particulates due to abrasion from rail tracks, wheels,and brakes Spielmann et al. (2007)
Spielmann, M., Bauer, C., Dones, R., Institut, P. S., &amp; Tuchschmid, M. (2007). Transport Services. Swiss Centre for Life Cycle Inventories, ecoinvent report No. 14.</t>
        </is>
      </c>
    </row>
    <row r="657">
      <c r="A657" t="inlineStr">
        <is>
          <t>Lead II</t>
        </is>
      </c>
      <c r="B657" t="n">
        <v>7.554269991562727e-13</v>
      </c>
      <c r="D657" t="inlineStr">
        <is>
          <t>kilogram</t>
        </is>
      </c>
      <c r="E657" t="inlineStr">
        <is>
          <t>air</t>
        </is>
      </c>
      <c r="F657" t="inlineStr">
        <is>
          <t>biosphere</t>
        </is>
      </c>
      <c r="H657" t="inlineStr">
        <is>
          <t>1.1E-10 kg/kg fuel for diesel locomotives, according to Spielmann et al. (2007)
Spielmann, M., Bauer, C., Dones, R., Institut, P. S., &amp; Tuchschmid, M. (2007). Transport Services. Swiss Centre for Life Cycle Inventories, ecoinvent report No. 14.</t>
        </is>
      </c>
    </row>
    <row r="658">
      <c r="A658" t="inlineStr">
        <is>
          <t>Mercury II</t>
        </is>
      </c>
      <c r="B658" t="n">
        <v>1.373503634829587e-13</v>
      </c>
      <c r="D658" t="inlineStr">
        <is>
          <t>kilogram</t>
        </is>
      </c>
      <c r="E658" t="inlineStr">
        <is>
          <t>air</t>
        </is>
      </c>
      <c r="F658" t="inlineStr">
        <is>
          <t>biosphere</t>
        </is>
      </c>
      <c r="H658" t="inlineStr">
        <is>
          <t>2.0E-11 kg/kg fuel for diesel locomotives, according to Spielmann et al. (2007)
Spielmann, M., Bauer, C., Dones, R., Institut, P. S., &amp; Tuchschmid, M. (2007). Transport Services. Swiss Centre for Life Cycle Inventories, ecoinvent report No. 14.</t>
        </is>
      </c>
    </row>
    <row r="659">
      <c r="A659" t="inlineStr">
        <is>
          <t>Methane, fossil</t>
        </is>
      </c>
      <c r="B659" t="n">
        <v>8.927773626392313e-07</v>
      </c>
      <c r="D659" t="inlineStr">
        <is>
          <t>kilogram</t>
        </is>
      </c>
      <c r="E659" t="inlineStr">
        <is>
          <t>air</t>
        </is>
      </c>
      <c r="F659" t="inlineStr">
        <is>
          <t>biosphere</t>
        </is>
      </c>
      <c r="H659" t="inlineStr">
        <is>
          <t>1.3E-04 kg/kg fuel for diesel locomotives, according to Spielmann et al. (2007)
Spielmann, M., Bauer, C., Dones, R., Institut, P. S., &amp; Tuchschmid, M. (2007). Transport Services. Swiss Centre for Life Cycle Inventories, ecoinvent report No. 14.</t>
        </is>
      </c>
    </row>
    <row r="660">
      <c r="A660" t="inlineStr">
        <is>
          <t>NMVOC, non-methane volatile organic compounds</t>
        </is>
      </c>
      <c r="B660" t="n">
        <v>3.605447041427666e-05</v>
      </c>
      <c r="D660" t="inlineStr">
        <is>
          <t>kilogram</t>
        </is>
      </c>
      <c r="E660" t="inlineStr">
        <is>
          <t>air</t>
        </is>
      </c>
      <c r="F660" t="inlineStr">
        <is>
          <t>biosphere</t>
        </is>
      </c>
      <c r="H660" t="inlineStr">
        <is>
          <t>5.25E-03 kg/kg fuel for diesel locomotives, according to Spielmann et al. (2007)
Spielmann, M., Bauer, C., Dones, R., Institut, P. S., &amp; Tuchschmid, M. (2007). Transport Services. Swiss Centre for Life Cycle Inventories, ecoinvent report No. 14.</t>
        </is>
      </c>
    </row>
    <row r="661">
      <c r="A661" t="inlineStr">
        <is>
          <t>Nickel II</t>
        </is>
      </c>
      <c r="B661" t="n">
        <v>4.807262721903554e-10</v>
      </c>
      <c r="D661" t="inlineStr">
        <is>
          <t>kilogram</t>
        </is>
      </c>
      <c r="E661" t="inlineStr">
        <is>
          <t>air</t>
        </is>
      </c>
      <c r="F661" t="inlineStr">
        <is>
          <t>biosphere</t>
        </is>
      </c>
      <c r="H661" t="inlineStr">
        <is>
          <t>7.0E-08 kg/kg fuel for diesel locomotives, according to Spielmann et al. (2007)
Spielmann, M., Bauer, C., Dones, R., Institut, P. S., &amp; Tuchschmid, M. (2007). Transport Services. Swiss Centre for Life Cycle Inventories, ecoinvent report No. 14.</t>
        </is>
      </c>
    </row>
    <row r="662">
      <c r="A662" t="inlineStr">
        <is>
          <t>Nitrogen oxides</t>
        </is>
      </c>
      <c r="B662" t="n">
        <v>0.0003777134995781364</v>
      </c>
      <c r="D662" t="inlineStr">
        <is>
          <t>kilogram</t>
        </is>
      </c>
      <c r="E662" t="inlineStr">
        <is>
          <t>air</t>
        </is>
      </c>
      <c r="F662" t="inlineStr">
        <is>
          <t>biosphere</t>
        </is>
      </c>
      <c r="H662" t="inlineStr">
        <is>
          <t>5.5E-02 kg/kg fuel for diesel locomotives, according to Spielmann et al. (2007)
Spielmann, M., Bauer, C., Dones, R., Institut, P. S., &amp; Tuchschmid, M. (2007). Transport Services. Swiss Centre for Life Cycle Inventories, ecoinvent report No. 14.</t>
        </is>
      </c>
    </row>
    <row r="663">
      <c r="A663" t="inlineStr">
        <is>
          <t>Particulate Matter, &lt; 2.5 um</t>
        </is>
      </c>
      <c r="B663" t="n">
        <v>8.447047354201957e-06</v>
      </c>
      <c r="D663" t="inlineStr">
        <is>
          <t>kilogram</t>
        </is>
      </c>
      <c r="E663" t="inlineStr">
        <is>
          <t>air</t>
        </is>
      </c>
      <c r="F663" t="inlineStr">
        <is>
          <t>biosphere</t>
        </is>
      </c>
      <c r="H663" t="inlineStr">
        <is>
          <t>1.28E-03 kg/kg fuel for diesel locomotives, according to Spielmann et al. (2007)
Spielmann, M., Bauer, C., Dones, R., Institut, P. S., &amp; Tuchschmid, M. (2007). Transport Services. Swiss Centre for Life Cycle Inventories, ecoinvent report No. 14.</t>
        </is>
      </c>
    </row>
    <row r="664">
      <c r="A664" t="inlineStr">
        <is>
          <t>Particulate Matter, &gt; 10 um</t>
        </is>
      </c>
      <c r="B664" t="n">
        <v>1.807702674776072e-05</v>
      </c>
      <c r="D664" t="inlineStr">
        <is>
          <t>kilogram</t>
        </is>
      </c>
      <c r="E664" t="inlineStr">
        <is>
          <t>air</t>
        </is>
      </c>
      <c r="F664" t="inlineStr">
        <is>
          <t>biosphere</t>
        </is>
      </c>
      <c r="H664" t="inlineStr">
        <is>
          <t>4.59E-05 kg/kg fuel for diesel locomotives, according to Spielmann et al. (2007), plus
1.77E-05 kg/tkm, emission of particulates due to abrasion from rail tracks, wheels,and brakes Spielmann et al. (2007)
Spielmann, M., Bauer, C., Dones, R., Institut, P. S., &amp; Tuchschmid, M. (2007). Transport Services. Swiss Centre for Life Cycle Inventories, ecoinvent report No. 14.</t>
        </is>
      </c>
    </row>
    <row r="665">
      <c r="A665" t="inlineStr">
        <is>
          <t>Particulate Matter, &gt; 2.5 um and &lt; 10um</t>
        </is>
      </c>
      <c r="B665" t="n">
        <v>1.703482444463383e-05</v>
      </c>
      <c r="D665" t="inlineStr">
        <is>
          <t>kilogram</t>
        </is>
      </c>
      <c r="E665" t="inlineStr">
        <is>
          <t>air</t>
        </is>
      </c>
      <c r="F665" t="inlineStr">
        <is>
          <t>biosphere</t>
        </is>
      </c>
      <c r="H665" t="inlineStr">
        <is>
          <t>1.07E-04 kg/kg fuel for diesel locomotives, according to Spielmann et al. (2007), plus
1.63E-05 kg/tkm, emission of particulates due to abrasion from rail tracks, wheels,and brakes Spielmann et al. (2007)
Spielmann, M., Bauer, C., Dones, R., Institut, P. S., &amp; Tuchschmid, M. (2007). Transport Services. Swiss Centre for Life Cycle Inventories, ecoinvent report No. 14.</t>
        </is>
      </c>
    </row>
    <row r="666">
      <c r="A666" t="inlineStr">
        <is>
          <t>Selenium IV</t>
        </is>
      </c>
      <c r="B666" t="n">
        <v>6.867518174147933e-11</v>
      </c>
      <c r="D666" t="inlineStr">
        <is>
          <t>kilogram</t>
        </is>
      </c>
      <c r="E666" t="inlineStr">
        <is>
          <t>air</t>
        </is>
      </c>
      <c r="F666" t="inlineStr">
        <is>
          <t>biosphere</t>
        </is>
      </c>
      <c r="H666" t="inlineStr">
        <is>
          <t>1.0E-08 kg/kg fuel for diesel locomotives, according to Spielmann et al. (2007)
Spielmann, M., Bauer, C., Dones, R., Institut, P. S., &amp; Tuchschmid, M. (2007). Transport Services. Swiss Centre for Life Cycle Inventories, ecoinvent report No. 14.</t>
        </is>
      </c>
    </row>
    <row r="667">
      <c r="A667" t="inlineStr">
        <is>
          <t>Sulfur dioxide</t>
        </is>
      </c>
      <c r="B667" t="n">
        <v>4.12051090448876e-06</v>
      </c>
      <c r="D667" t="inlineStr">
        <is>
          <t>kilogram</t>
        </is>
      </c>
      <c r="E667" t="inlineStr">
        <is>
          <t>air</t>
        </is>
      </c>
      <c r="F667" t="inlineStr">
        <is>
          <t>biosphere</t>
        </is>
      </c>
      <c r="H667" t="inlineStr">
        <is>
          <t>6.0E-04 kg/kg fuel for diesel locomotives, according to Spielmann et al. (2007)
Spielmann, M., Bauer, C., Dones, R., Institut, P. S., &amp; Tuchschmid, M. (2007). Transport Services. Swiss Centre for Life Cycle Inventories, ecoinvent report No. 14.</t>
        </is>
      </c>
    </row>
    <row r="668">
      <c r="A668" t="inlineStr">
        <is>
          <t>Toluene</t>
        </is>
      </c>
      <c r="B668" t="n">
        <v>2.747007269659173e-07</v>
      </c>
      <c r="D668" t="inlineStr">
        <is>
          <t>kilogram</t>
        </is>
      </c>
      <c r="E668" t="inlineStr">
        <is>
          <t>air</t>
        </is>
      </c>
      <c r="F668" t="inlineStr">
        <is>
          <t>biosphere</t>
        </is>
      </c>
      <c r="H668" t="inlineStr">
        <is>
          <t>4.0E-05 kg/kg fuel for diesel locomotives, according to Spielmann et al. (2007)
Spielmann, M., Bauer, C., Dones, R., Institut, P. S., &amp; Tuchschmid, M. (2007). Transport Services. Swiss Centre for Life Cycle Inventories, ecoinvent report No. 14.</t>
        </is>
      </c>
    </row>
    <row r="669">
      <c r="A669" t="inlineStr">
        <is>
          <t>Xylene</t>
        </is>
      </c>
      <c r="B669" t="n">
        <v>2.747007269659173e-07</v>
      </c>
      <c r="D669" t="inlineStr">
        <is>
          <t>kilogram</t>
        </is>
      </c>
      <c r="E669" t="inlineStr">
        <is>
          <t>air</t>
        </is>
      </c>
      <c r="F669" t="inlineStr">
        <is>
          <t>biosphere</t>
        </is>
      </c>
      <c r="H669" t="inlineStr">
        <is>
          <t>4.0E-05 kg/kg fuel for diesel locomotives, according to Spielmann et al. (2007)
Spielmann, M., Bauer, C., Dones, R., Institut, P. S., &amp; Tuchschmid, M. (2007). Transport Services. Swiss Centre for Life Cycle Inventories, ecoinvent report No. 14.</t>
        </is>
      </c>
    </row>
    <row r="670">
      <c r="A670" t="inlineStr">
        <is>
          <t>Zinc II</t>
        </is>
      </c>
      <c r="B670" t="n">
        <v>6.867518174147933e-09</v>
      </c>
      <c r="D670" t="inlineStr">
        <is>
          <t>kilogram</t>
        </is>
      </c>
      <c r="E670" t="inlineStr">
        <is>
          <t>air</t>
        </is>
      </c>
      <c r="F670" t="inlineStr">
        <is>
          <t>biosphere</t>
        </is>
      </c>
      <c r="H670" t="inlineStr">
        <is>
          <t>1.0E-06 kg/kg fuel for diesel locomotives, according to Spielmann et al. (2007)
Spielmann, M., Bauer, C., Dones, R., Institut, P. S., &amp; Tuchschmid, M. (2007). Transport Services. Swiss Centre for Life Cycle Inventories, ecoinvent report No. 14.</t>
        </is>
      </c>
    </row>
    <row r="671">
      <c r="A671" t="inlineStr">
        <is>
          <t>transport, freight train, diesel-electric</t>
        </is>
      </c>
      <c r="B671" t="n">
        <v>1</v>
      </c>
      <c r="C671" t="inlineStr">
        <is>
          <t>RoW</t>
        </is>
      </c>
      <c r="D671" t="inlineStr">
        <is>
          <t>ton kilometer</t>
        </is>
      </c>
      <c r="F671" t="inlineStr">
        <is>
          <t>production</t>
        </is>
      </c>
      <c r="G671" t="inlineStr">
        <is>
          <t>transport, freight train</t>
        </is>
      </c>
    </row>
    <row r="672"/>
    <row r="673">
      <c r="A673" s="2" t="inlineStr">
        <is>
          <t>Activity</t>
        </is>
      </c>
      <c r="B673" s="2" t="inlineStr">
        <is>
          <t>transport, freight train, electric</t>
        </is>
      </c>
    </row>
    <row r="674">
      <c r="A674" t="inlineStr">
        <is>
          <t>location</t>
        </is>
      </c>
      <c r="B674" t="inlineStr">
        <is>
          <t>RoW</t>
        </is>
      </c>
    </row>
    <row r="675">
      <c r="A675" t="inlineStr">
        <is>
          <t>production amount</t>
        </is>
      </c>
      <c r="B675" t="n">
        <v>1</v>
      </c>
    </row>
    <row r="676">
      <c r="A676" t="inlineStr">
        <is>
          <t>reference product</t>
        </is>
      </c>
      <c r="B676" t="inlineStr">
        <is>
          <t>transport, freight train</t>
        </is>
      </c>
    </row>
    <row r="677">
      <c r="A677" t="inlineStr">
        <is>
          <t>type</t>
        </is>
      </c>
      <c r="B677" t="inlineStr">
        <is>
          <t>process</t>
        </is>
      </c>
    </row>
    <row r="678">
      <c r="A678" t="inlineStr">
        <is>
          <t>unit</t>
        </is>
      </c>
      <c r="B678" t="inlineStr">
        <is>
          <t>ton kilometer</t>
        </is>
      </c>
    </row>
    <row r="679">
      <c r="A679" t="inlineStr">
        <is>
          <t>Exchanges</t>
        </is>
      </c>
    </row>
    <row r="680">
      <c r="A680" s="2" t="inlineStr">
        <is>
          <t>name</t>
        </is>
      </c>
      <c r="B680" s="2" t="inlineStr">
        <is>
          <t>amount</t>
        </is>
      </c>
      <c r="C680" s="2" t="inlineStr">
        <is>
          <t>location</t>
        </is>
      </c>
      <c r="D680" s="2" t="inlineStr">
        <is>
          <t>unit</t>
        </is>
      </c>
      <c r="E680" s="2" t="inlineStr">
        <is>
          <t>categories</t>
        </is>
      </c>
      <c r="F680" s="2" t="inlineStr">
        <is>
          <t>type</t>
        </is>
      </c>
      <c r="G680" s="2" t="inlineStr">
        <is>
          <t>reference product</t>
        </is>
      </c>
      <c r="H680" s="2" t="inlineStr">
        <is>
          <t>comment</t>
        </is>
      </c>
    </row>
    <row r="681">
      <c r="A681" t="inlineStr">
        <is>
          <t>market group for diesel</t>
        </is>
      </c>
      <c r="B681" t="n">
        <v>0.000677</v>
      </c>
      <c r="C681" t="inlineStr">
        <is>
          <t>GLO</t>
        </is>
      </c>
      <c r="D681" t="inlineStr">
        <is>
          <t>kilogram</t>
        </is>
      </c>
      <c r="F681" t="inlineStr">
        <is>
          <t>technosphere</t>
        </is>
      </c>
      <c r="G681" t="inlineStr">
        <is>
          <t>diesel</t>
        </is>
      </c>
      <c r="H681" t="inlineStr">
        <is>
          <t>The energy consumption for shunting processes is added. The shunting process is assumed to be done by diesel shunting locomotives exclusivley. The specific diesel consumption for the shunting is taken from the regional ecoinvent datasets "transport, freight train, electric".</t>
        </is>
      </c>
    </row>
    <row r="682">
      <c r="A682" t="inlineStr">
        <is>
          <t>market for electricity, high voltage</t>
        </is>
      </c>
      <c r="B682" t="n">
        <v>3.605212945267518e-06</v>
      </c>
      <c r="C682" t="inlineStr">
        <is>
          <t>AM</t>
        </is>
      </c>
      <c r="D682" t="inlineStr">
        <is>
          <t>kilowatt hour</t>
        </is>
      </c>
      <c r="F682" t="inlineStr">
        <is>
          <t>technosphere</t>
        </is>
      </c>
      <c r="G682" t="inlineStr">
        <is>
          <t>electricity, high voltage</t>
        </is>
      </c>
      <c r="H682"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
For the RoW dataset, the output variables from REMIND were for all locations with a lci dataset were substracted from the World dataset. This represents the RoW dataset. The electricity usage per region is determined by multiplying the total RoW electricity per tkm consumption with the shares electricity of the regions contained in the RoW ecoinvent dataset.</t>
        </is>
      </c>
    </row>
    <row r="683">
      <c r="A683" t="inlineStr">
        <is>
          <t>market for electricity, high voltage</t>
        </is>
      </c>
      <c r="B683" t="n">
        <v>8.287317832843088e-06</v>
      </c>
      <c r="C683" t="inlineStr">
        <is>
          <t>AO</t>
        </is>
      </c>
      <c r="D683" t="inlineStr">
        <is>
          <t>kilowatt hour</t>
        </is>
      </c>
      <c r="F683" t="inlineStr">
        <is>
          <t>technosphere</t>
        </is>
      </c>
      <c r="G683" t="inlineStr">
        <is>
          <t>electricity, high voltage</t>
        </is>
      </c>
      <c r="H683"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
For the RoW dataset, the output variables from REMIND were for all locations with a lci dataset were substracted from the World dataset. This represents the RoW dataset. The electricity usage per region is determined by multiplying the total RoW electricity per tkm consumption with the shares electricity of the regions contained in the RoW ecoinvent dataset.</t>
        </is>
      </c>
    </row>
    <row r="684">
      <c r="A684" t="inlineStr">
        <is>
          <t>market for electricity, high voltage</t>
        </is>
      </c>
      <c r="B684" t="n">
        <v>0.000123098945325886</v>
      </c>
      <c r="C684" t="inlineStr">
        <is>
          <t>AU</t>
        </is>
      </c>
      <c r="D684" t="inlineStr">
        <is>
          <t>kilowatt hour</t>
        </is>
      </c>
      <c r="F684" t="inlineStr">
        <is>
          <t>technosphere</t>
        </is>
      </c>
      <c r="G684" t="inlineStr">
        <is>
          <t>electricity, high voltage</t>
        </is>
      </c>
      <c r="H684"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
For the RoW dataset, the output variables from REMIND were for all locations with a lci dataset were substracted from the World dataset. This represents the RoW dataset. The electricity usage per region is determined by multiplying the total RoW electricity per tkm consumption with the shares electricity of the regions contained in the RoW ecoinvent dataset.</t>
        </is>
      </c>
    </row>
    <row r="685">
      <c r="A685" t="inlineStr">
        <is>
          <t>market for electricity, high voltage</t>
        </is>
      </c>
      <c r="B685" t="n">
        <v>1.201054169611185e-05</v>
      </c>
      <c r="C685" t="inlineStr">
        <is>
          <t>AZ</t>
        </is>
      </c>
      <c r="D685" t="inlineStr">
        <is>
          <t>kilowatt hour</t>
        </is>
      </c>
      <c r="F685" t="inlineStr">
        <is>
          <t>technosphere</t>
        </is>
      </c>
      <c r="G685" t="inlineStr">
        <is>
          <t>electricity, high voltage</t>
        </is>
      </c>
      <c r="H685"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
For the RoW dataset, the output variables from REMIND were for all locations with a lci dataset were substracted from the World dataset. This represents the RoW dataset. The electricity usage per region is determined by multiplying the total RoW electricity per tkm consumption with the shares electricity of the regions contained in the RoW ecoinvent dataset.</t>
        </is>
      </c>
    </row>
    <row r="686">
      <c r="A686" t="inlineStr">
        <is>
          <t>market for electricity, high voltage</t>
        </is>
      </c>
      <c r="B686" t="n">
        <v>3.947885774470512e-05</v>
      </c>
      <c r="C686" t="inlineStr">
        <is>
          <t>BD</t>
        </is>
      </c>
      <c r="D686" t="inlineStr">
        <is>
          <t>kilowatt hour</t>
        </is>
      </c>
      <c r="F686" t="inlineStr">
        <is>
          <t>technosphere</t>
        </is>
      </c>
      <c r="G686" t="inlineStr">
        <is>
          <t>electricity, high voltage</t>
        </is>
      </c>
      <c r="H686"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
For the RoW dataset, the output variables from REMIND were for all locations with a lci dataset were substracted from the World dataset. This represents the RoW dataset. The electricity usage per region is determined by multiplying the total RoW electricity per tkm consumption with the shares electricity of the regions contained in the RoW ecoinvent dataset.</t>
        </is>
      </c>
    </row>
    <row r="687">
      <c r="A687" t="inlineStr">
        <is>
          <t>market for electricity, high voltage</t>
        </is>
      </c>
      <c r="B687" t="n">
        <v>1.007648693065144e-05</v>
      </c>
      <c r="C687" t="inlineStr">
        <is>
          <t>BH</t>
        </is>
      </c>
      <c r="D687" t="inlineStr">
        <is>
          <t>kilowatt hour</t>
        </is>
      </c>
      <c r="F687" t="inlineStr">
        <is>
          <t>technosphere</t>
        </is>
      </c>
      <c r="G687" t="inlineStr">
        <is>
          <t>electricity, high voltage</t>
        </is>
      </c>
      <c r="H687"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
For the RoW dataset, the output variables from REMIND were for all locations with a lci dataset were substracted from the World dataset. This represents the RoW dataset. The electricity usage per region is determined by multiplying the total RoW electricity per tkm consumption with the shares electricity of the regions contained in the RoW ecoinvent dataset.</t>
        </is>
      </c>
    </row>
    <row r="688">
      <c r="A688" t="inlineStr">
        <is>
          <t>market for electricity, high voltage</t>
        </is>
      </c>
      <c r="B688" t="n">
        <v>7.897305604227885e-07</v>
      </c>
      <c r="C688" t="inlineStr">
        <is>
          <t>BJ</t>
        </is>
      </c>
      <c r="D688" t="inlineStr">
        <is>
          <t>kilowatt hour</t>
        </is>
      </c>
      <c r="F688" t="inlineStr">
        <is>
          <t>technosphere</t>
        </is>
      </c>
      <c r="G688" t="inlineStr">
        <is>
          <t>electricity, high voltage</t>
        </is>
      </c>
      <c r="H688"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
For the RoW dataset, the output variables from REMIND were for all locations with a lci dataset were substracted from the World dataset. This represents the RoW dataset. The electricity usage per region is determined by multiplying the total RoW electricity per tkm consumption with the shares electricity of the regions contained in the RoW ecoinvent dataset.</t>
        </is>
      </c>
    </row>
    <row r="689">
      <c r="A689" t="inlineStr">
        <is>
          <t>market for electricity, high voltage</t>
        </is>
      </c>
      <c r="B689" t="n">
        <v>2.126522165985404e-06</v>
      </c>
      <c r="C689" t="inlineStr">
        <is>
          <t>BN</t>
        </is>
      </c>
      <c r="D689" t="inlineStr">
        <is>
          <t>kilowatt hour</t>
        </is>
      </c>
      <c r="F689" t="inlineStr">
        <is>
          <t>technosphere</t>
        </is>
      </c>
      <c r="G689" t="inlineStr">
        <is>
          <t>electricity, high voltage</t>
        </is>
      </c>
      <c r="H689"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
For the RoW dataset, the output variables from REMIND were for all locations with a lci dataset were substracted from the World dataset. This represents the RoW dataset. The electricity usage per region is determined by multiplying the total RoW electricity per tkm consumption with the shares electricity of the regions contained in the RoW ecoinvent dataset.</t>
        </is>
      </c>
    </row>
    <row r="690">
      <c r="A690" t="inlineStr">
        <is>
          <t>market for electricity, high voltage</t>
        </is>
      </c>
      <c r="B690" t="n">
        <v>2.298208975557258e-06</v>
      </c>
      <c r="C690" t="inlineStr">
        <is>
          <t>BW</t>
        </is>
      </c>
      <c r="D690" t="inlineStr">
        <is>
          <t>kilowatt hour</t>
        </is>
      </c>
      <c r="F690" t="inlineStr">
        <is>
          <t>technosphere</t>
        </is>
      </c>
      <c r="G690" t="inlineStr">
        <is>
          <t>electricity, high voltage</t>
        </is>
      </c>
      <c r="H690"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
For the RoW dataset, the output variables from REMIND were for all locations with a lci dataset were substracted from the World dataset. This represents the RoW dataset. The electricity usage per region is determined by multiplying the total RoW electricity per tkm consumption with the shares electricity of the regions contained in the RoW ecoinvent dataset.</t>
        </is>
      </c>
    </row>
    <row r="691">
      <c r="A691" t="inlineStr">
        <is>
          <t>market for electricity, high voltage</t>
        </is>
      </c>
      <c r="B691" t="n">
        <v>5.971349774655328e-06</v>
      </c>
      <c r="C691" t="inlineStr">
        <is>
          <t>CD</t>
        </is>
      </c>
      <c r="D691" t="inlineStr">
        <is>
          <t>kilowatt hour</t>
        </is>
      </c>
      <c r="F691" t="inlineStr">
        <is>
          <t>technosphere</t>
        </is>
      </c>
      <c r="G691" t="inlineStr">
        <is>
          <t>electricity, high voltage</t>
        </is>
      </c>
      <c r="H691"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
For the RoW dataset, the output variables from REMIND were for all locations with a lci dataset were substracted from the World dataset. This represents the RoW dataset. The electricity usage per region is determined by multiplying the total RoW electricity per tkm consumption with the shares electricity of the regions contained in the RoW ecoinvent dataset.</t>
        </is>
      </c>
    </row>
    <row r="692">
      <c r="A692" t="inlineStr">
        <is>
          <t>market for electricity, high voltage</t>
        </is>
      </c>
      <c r="B692" t="n">
        <v>3.981284446926821e-07</v>
      </c>
      <c r="C692" t="inlineStr">
        <is>
          <t>CG</t>
        </is>
      </c>
      <c r="D692" t="inlineStr">
        <is>
          <t>kilowatt hour</t>
        </is>
      </c>
      <c r="F692" t="inlineStr">
        <is>
          <t>technosphere</t>
        </is>
      </c>
      <c r="G692" t="inlineStr">
        <is>
          <t>electricity, high voltage</t>
        </is>
      </c>
      <c r="H692"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
For the RoW dataset, the output variables from REMIND were for all locations with a lci dataset were substracted from the World dataset. This represents the RoW dataset. The electricity usage per region is determined by multiplying the total RoW electricity per tkm consumption with the shares electricity of the regions contained in the RoW ecoinvent dataset.</t>
        </is>
      </c>
    </row>
    <row r="693">
      <c r="A693" t="inlineStr">
        <is>
          <t>market for electricity, high voltage</t>
        </is>
      </c>
      <c r="B693" t="n">
        <v>4.846023757585409e-06</v>
      </c>
      <c r="C693" t="inlineStr">
        <is>
          <t>CI</t>
        </is>
      </c>
      <c r="D693" t="inlineStr">
        <is>
          <t>kilowatt hour</t>
        </is>
      </c>
      <c r="F693" t="inlineStr">
        <is>
          <t>technosphere</t>
        </is>
      </c>
      <c r="G693" t="inlineStr">
        <is>
          <t>electricity, high voltage</t>
        </is>
      </c>
      <c r="H693"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
For the RoW dataset, the output variables from REMIND were for all locations with a lci dataset were substracted from the World dataset. This represents the RoW dataset. The electricity usage per region is determined by multiplying the total RoW electricity per tkm consumption with the shares electricity of the regions contained in the RoW ecoinvent dataset.</t>
        </is>
      </c>
    </row>
    <row r="694">
      <c r="A694" t="inlineStr">
        <is>
          <t>market for electricity, high voltage</t>
        </is>
      </c>
      <c r="B694" t="n">
        <v>2.932642183021721e-06</v>
      </c>
      <c r="C694" t="inlineStr">
        <is>
          <t>CM</t>
        </is>
      </c>
      <c r="D694" t="inlineStr">
        <is>
          <t>kilowatt hour</t>
        </is>
      </c>
      <c r="F694" t="inlineStr">
        <is>
          <t>technosphere</t>
        </is>
      </c>
      <c r="G694" t="inlineStr">
        <is>
          <t>electricity, high voltage</t>
        </is>
      </c>
      <c r="H694"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
For the RoW dataset, the output variables from REMIND were for all locations with a lci dataset were substracted from the World dataset. This represents the RoW dataset. The electricity usage per region is determined by multiplying the total RoW electricity per tkm consumption with the shares electricity of the regions contained in the RoW ecoinvent dataset.</t>
        </is>
      </c>
    </row>
    <row r="695">
      <c r="A695" t="inlineStr">
        <is>
          <t>market for electricity, high voltage</t>
        </is>
      </c>
      <c r="B695" t="n">
        <v>2.709865890635731e-06</v>
      </c>
      <c r="C695" t="inlineStr">
        <is>
          <t>CY</t>
        </is>
      </c>
      <c r="D695" t="inlineStr">
        <is>
          <t>kilowatt hour</t>
        </is>
      </c>
      <c r="F695" t="inlineStr">
        <is>
          <t>technosphere</t>
        </is>
      </c>
      <c r="G695" t="inlineStr">
        <is>
          <t>electricity, high voltage</t>
        </is>
      </c>
      <c r="H695"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
For the RoW dataset, the output variables from REMIND were for all locations with a lci dataset were substracted from the World dataset. This represents the RoW dataset. The electricity usage per region is determined by multiplying the total RoW electricity per tkm consumption with the shares electricity of the regions contained in the RoW ecoinvent dataset.</t>
        </is>
      </c>
    </row>
    <row r="696">
      <c r="A696" t="inlineStr">
        <is>
          <t>market for electricity, high voltage</t>
        </is>
      </c>
      <c r="B696" t="n">
        <v>3.943172946009295e-05</v>
      </c>
      <c r="C696" t="inlineStr">
        <is>
          <t>DZ</t>
        </is>
      </c>
      <c r="D696" t="inlineStr">
        <is>
          <t>kilowatt hour</t>
        </is>
      </c>
      <c r="F696" t="inlineStr">
        <is>
          <t>technosphere</t>
        </is>
      </c>
      <c r="G696" t="inlineStr">
        <is>
          <t>electricity, high voltage</t>
        </is>
      </c>
      <c r="H696"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
For the RoW dataset, the output variables from REMIND were for all locations with a lci dataset were substracted from the World dataset. This represents the RoW dataset. The electricity usage per region is determined by multiplying the total RoW electricity per tkm consumption with the shares electricity of the regions contained in the RoW ecoinvent dataset.</t>
        </is>
      </c>
    </row>
    <row r="697">
      <c r="A697" t="inlineStr">
        <is>
          <t>market for electricity, high voltage</t>
        </is>
      </c>
      <c r="B697" t="n">
        <v>9.93469447298851e-05</v>
      </c>
      <c r="C697" t="inlineStr">
        <is>
          <t>EG</t>
        </is>
      </c>
      <c r="D697" t="inlineStr">
        <is>
          <t>kilowatt hour</t>
        </is>
      </c>
      <c r="F697" t="inlineStr">
        <is>
          <t>technosphere</t>
        </is>
      </c>
      <c r="G697" t="inlineStr">
        <is>
          <t>electricity, high voltage</t>
        </is>
      </c>
      <c r="H697"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
For the RoW dataset, the output variables from REMIND were for all locations with a lci dataset were substracted from the World dataset. This represents the RoW dataset. The electricity usage per region is determined by multiplying the total RoW electricity per tkm consumption with the shares electricity of the regions contained in the RoW ecoinvent dataset.</t>
        </is>
      </c>
    </row>
    <row r="698">
      <c r="A698" t="inlineStr">
        <is>
          <t>market for electricity, high voltage</t>
        </is>
      </c>
      <c r="B698" t="n">
        <v>2.327866079921322e-07</v>
      </c>
      <c r="C698" t="inlineStr">
        <is>
          <t>ER</t>
        </is>
      </c>
      <c r="D698" t="inlineStr">
        <is>
          <t>kilowatt hour</t>
        </is>
      </c>
      <c r="F698" t="inlineStr">
        <is>
          <t>technosphere</t>
        </is>
      </c>
      <c r="G698" t="inlineStr">
        <is>
          <t>electricity, high voltage</t>
        </is>
      </c>
      <c r="H698"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
For the RoW dataset, the output variables from REMIND were for all locations with a lci dataset were substracted from the World dataset. This represents the RoW dataset. The electricity usage per region is determined by multiplying the total RoW electricity per tkm consumption with the shares electricity of the regions contained in the RoW ecoinvent dataset.</t>
        </is>
      </c>
    </row>
    <row r="699">
      <c r="A699" t="inlineStr">
        <is>
          <t>market for electricity, high voltage</t>
        </is>
      </c>
      <c r="B699" t="n">
        <v>7.489312169068711e-06</v>
      </c>
      <c r="C699" t="inlineStr">
        <is>
          <t>ET</t>
        </is>
      </c>
      <c r="D699" t="inlineStr">
        <is>
          <t>kilowatt hour</t>
        </is>
      </c>
      <c r="F699" t="inlineStr">
        <is>
          <t>technosphere</t>
        </is>
      </c>
      <c r="G699" t="inlineStr">
        <is>
          <t>electricity, high voltage</t>
        </is>
      </c>
      <c r="H699"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
For the RoW dataset, the output variables from REMIND were for all locations with a lci dataset were substracted from the World dataset. This represents the RoW dataset. The electricity usage per region is determined by multiplying the total RoW electricity per tkm consumption with the shares electricity of the regions contained in the RoW ecoinvent dataset.</t>
        </is>
      </c>
    </row>
    <row r="700">
      <c r="A700" t="inlineStr">
        <is>
          <t>market for electricity, high voltage</t>
        </is>
      </c>
      <c r="B700" t="n">
        <v>1.392903921355809e-06</v>
      </c>
      <c r="C700" t="inlineStr">
        <is>
          <t>GA</t>
        </is>
      </c>
      <c r="D700" t="inlineStr">
        <is>
          <t>kilowatt hour</t>
        </is>
      </c>
      <c r="F700" t="inlineStr">
        <is>
          <t>technosphere</t>
        </is>
      </c>
      <c r="G700" t="inlineStr">
        <is>
          <t>electricity, high voltage</t>
        </is>
      </c>
      <c r="H700"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
For the RoW dataset, the output variables from REMIND were for all locations with a lci dataset were substracted from the World dataset. This represents the RoW dataset. The electricity usage per region is determined by multiplying the total RoW electricity per tkm consumption with the shares electricity of the regions contained in the RoW ecoinvent dataset.</t>
        </is>
      </c>
    </row>
    <row r="701">
      <c r="A701" t="inlineStr">
        <is>
          <t>market for electricity, high voltage</t>
        </is>
      </c>
      <c r="B701" t="n">
        <v>6.461776505099601e-06</v>
      </c>
      <c r="C701" t="inlineStr">
        <is>
          <t>GE</t>
        </is>
      </c>
      <c r="D701" t="inlineStr">
        <is>
          <t>kilowatt hour</t>
        </is>
      </c>
      <c r="F701" t="inlineStr">
        <is>
          <t>technosphere</t>
        </is>
      </c>
      <c r="G701" t="inlineStr">
        <is>
          <t>electricity, high voltage</t>
        </is>
      </c>
      <c r="H701"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
For the RoW dataset, the output variables from REMIND were for all locations with a lci dataset were substracted from the World dataset. This represents the RoW dataset. The electricity usage per region is determined by multiplying the total RoW electricity per tkm consumption with the shares electricity of the regions contained in the RoW ecoinvent dataset.</t>
        </is>
      </c>
    </row>
    <row r="702">
      <c r="A702" t="inlineStr">
        <is>
          <t>market for electricity, high voltage</t>
        </is>
      </c>
      <c r="B702" t="n">
        <v>8.427423317964867e-06</v>
      </c>
      <c r="C702" t="inlineStr">
        <is>
          <t>GH</t>
        </is>
      </c>
      <c r="D702" t="inlineStr">
        <is>
          <t>kilowatt hour</t>
        </is>
      </c>
      <c r="F702" t="inlineStr">
        <is>
          <t>technosphere</t>
        </is>
      </c>
      <c r="G702" t="inlineStr">
        <is>
          <t>electricity, high voltage</t>
        </is>
      </c>
      <c r="H702"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
For the RoW dataset, the output variables from REMIND were for all locations with a lci dataset were substracted from the World dataset. This represents the RoW dataset. The electricity usage per region is determined by multiplying the total RoW electricity per tkm consumption with the shares electricity of the regions contained in the RoW ecoinvent dataset.</t>
        </is>
      </c>
    </row>
    <row r="703">
      <c r="A703" t="inlineStr">
        <is>
          <t>market for electricity, high voltage</t>
        </is>
      </c>
      <c r="B703" t="n">
        <v>2.722688249914643e-05</v>
      </c>
      <c r="C703" t="inlineStr">
        <is>
          <t>HK</t>
        </is>
      </c>
      <c r="D703" t="inlineStr">
        <is>
          <t>kilowatt hour</t>
        </is>
      </c>
      <c r="F703" t="inlineStr">
        <is>
          <t>technosphere</t>
        </is>
      </c>
      <c r="G703" t="inlineStr">
        <is>
          <t>electricity, high voltage</t>
        </is>
      </c>
      <c r="H703"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
For the RoW dataset, the output variables from REMIND were for all locations with a lci dataset were substracted from the World dataset. This represents the RoW dataset. The electricity usage per region is determined by multiplying the total RoW electricity per tkm consumption with the shares electricity of the regions contained in the RoW ecoinvent dataset.</t>
        </is>
      </c>
    </row>
    <row r="704">
      <c r="A704" t="inlineStr">
        <is>
          <t>market for electricity, high voltage</t>
        </is>
      </c>
      <c r="B704" t="n">
        <v>0.0001009115733259456</v>
      </c>
      <c r="C704" t="inlineStr">
        <is>
          <t>ID</t>
        </is>
      </c>
      <c r="D704" t="inlineStr">
        <is>
          <t>kilowatt hour</t>
        </is>
      </c>
      <c r="F704" t="inlineStr">
        <is>
          <t>technosphere</t>
        </is>
      </c>
      <c r="G704" t="inlineStr">
        <is>
          <t>electricity, high voltage</t>
        </is>
      </c>
      <c r="H704"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
For the RoW dataset, the output variables from REMIND were for all locations with a lci dataset were substracted from the World dataset. This represents the RoW dataset. The electricity usage per region is determined by multiplying the total RoW electricity per tkm consumption with the shares electricity of the regions contained in the RoW ecoinvent dataset.</t>
        </is>
      </c>
    </row>
    <row r="705">
      <c r="A705" t="inlineStr">
        <is>
          <t>market for electricity, high voltage</t>
        </is>
      </c>
      <c r="B705" t="n">
        <v>3.286841231224711e-05</v>
      </c>
      <c r="C705" t="inlineStr">
        <is>
          <t>IL</t>
        </is>
      </c>
      <c r="D705" t="inlineStr">
        <is>
          <t>kilowatt hour</t>
        </is>
      </c>
      <c r="F705" t="inlineStr">
        <is>
          <t>technosphere</t>
        </is>
      </c>
      <c r="G705" t="inlineStr">
        <is>
          <t>electricity, high voltage</t>
        </is>
      </c>
      <c r="H705"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
For the RoW dataset, the output variables from REMIND were for all locations with a lci dataset were substracted from the World dataset. This represents the RoW dataset. The electricity usage per region is determined by multiplying the total RoW electricity per tkm consumption with the shares electricity of the regions contained in the RoW ecoinvent dataset.</t>
        </is>
      </c>
    </row>
    <row r="706">
      <c r="A706" t="inlineStr">
        <is>
          <t>market for electricity, high voltage</t>
        </is>
      </c>
      <c r="B706" t="n">
        <v>9.326732178882363e-06</v>
      </c>
      <c r="C706" t="inlineStr">
        <is>
          <t>JO</t>
        </is>
      </c>
      <c r="D706" t="inlineStr">
        <is>
          <t>kilowatt hour</t>
        </is>
      </c>
      <c r="F706" t="inlineStr">
        <is>
          <t>technosphere</t>
        </is>
      </c>
      <c r="G706" t="inlineStr">
        <is>
          <t>electricity, high voltage</t>
        </is>
      </c>
      <c r="H706"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
For the RoW dataset, the output variables from REMIND were for all locations with a lci dataset were substracted from the World dataset. This represents the RoW dataset. The electricity usage per region is determined by multiplying the total RoW electricity per tkm consumption with the shares electricity of the regions contained in the RoW ecoinvent dataset.</t>
        </is>
      </c>
    </row>
    <row r="707">
      <c r="A707" t="inlineStr">
        <is>
          <t>market for electricity, high voltage</t>
        </is>
      </c>
      <c r="B707" t="n">
        <v>0.0004733882934578808</v>
      </c>
      <c r="C707" t="inlineStr">
        <is>
          <t>JP</t>
        </is>
      </c>
      <c r="D707" t="inlineStr">
        <is>
          <t>kilowatt hour</t>
        </is>
      </c>
      <c r="F707" t="inlineStr">
        <is>
          <t>technosphere</t>
        </is>
      </c>
      <c r="G707" t="inlineStr">
        <is>
          <t>electricity, high voltage</t>
        </is>
      </c>
      <c r="H707"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
For the RoW dataset, the output variables from REMIND were for all locations with a lci dataset were substracted from the World dataset. This represents the RoW dataset. The electricity usage per region is determined by multiplying the total RoW electricity per tkm consumption with the shares electricity of the regions contained in the RoW ecoinvent dataset.</t>
        </is>
      </c>
    </row>
    <row r="708">
      <c r="A708" t="inlineStr">
        <is>
          <t>market for electricity, high voltage</t>
        </is>
      </c>
      <c r="B708" t="n">
        <v>5.41160506267875e-06</v>
      </c>
      <c r="C708" t="inlineStr">
        <is>
          <t>KE</t>
        </is>
      </c>
      <c r="D708" t="inlineStr">
        <is>
          <t>kilowatt hour</t>
        </is>
      </c>
      <c r="F708" t="inlineStr">
        <is>
          <t>technosphere</t>
        </is>
      </c>
      <c r="G708" t="inlineStr">
        <is>
          <t>electricity, high voltage</t>
        </is>
      </c>
      <c r="H708"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
For the RoW dataset, the output variables from REMIND were for all locations with a lci dataset were substracted from the World dataset. This represents the RoW dataset. The electricity usage per region is determined by multiplying the total RoW electricity per tkm consumption with the shares electricity of the regions contained in the RoW ecoinvent dataset.</t>
        </is>
      </c>
    </row>
    <row r="709">
      <c r="A709" t="inlineStr">
        <is>
          <t>market for electricity, high voltage</t>
        </is>
      </c>
      <c r="B709" t="n">
        <v>8.22700263793158e-06</v>
      </c>
      <c r="C709" t="inlineStr">
        <is>
          <t>KG</t>
        </is>
      </c>
      <c r="D709" t="inlineStr">
        <is>
          <t>kilowatt hour</t>
        </is>
      </c>
      <c r="F709" t="inlineStr">
        <is>
          <t>technosphere</t>
        </is>
      </c>
      <c r="G709" t="inlineStr">
        <is>
          <t>electricity, high voltage</t>
        </is>
      </c>
      <c r="H709"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
For the RoW dataset, the output variables from REMIND were for all locations with a lci dataset were substracted from the World dataset. This represents the RoW dataset. The electricity usage per region is determined by multiplying the total RoW electricity per tkm consumption with the shares electricity of the regions contained in the RoW ecoinvent dataset.</t>
        </is>
      </c>
    </row>
    <row r="710">
      <c r="A710" t="inlineStr">
        <is>
          <t>market for electricity, high voltage</t>
        </is>
      </c>
      <c r="B710" t="n">
        <v>6.420160531906446e-06</v>
      </c>
      <c r="C710" t="inlineStr">
        <is>
          <t>KH</t>
        </is>
      </c>
      <c r="D710" t="inlineStr">
        <is>
          <t>kilowatt hour</t>
        </is>
      </c>
      <c r="F710" t="inlineStr">
        <is>
          <t>technosphere</t>
        </is>
      </c>
      <c r="G710" t="inlineStr">
        <is>
          <t>electricity, high voltage</t>
        </is>
      </c>
      <c r="H710"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
For the RoW dataset, the output variables from REMIND were for all locations with a lci dataset were substracted from the World dataset. This represents the RoW dataset. The electricity usage per region is determined by multiplying the total RoW electricity per tkm consumption with the shares electricity of the regions contained in the RoW ecoinvent dataset.</t>
        </is>
      </c>
    </row>
    <row r="711">
      <c r="A711" t="inlineStr">
        <is>
          <t>market for electricity, high voltage</t>
        </is>
      </c>
      <c r="B711" t="n">
        <v>7.375234477430481e-06</v>
      </c>
      <c r="C711" t="inlineStr">
        <is>
          <t>KP</t>
        </is>
      </c>
      <c r="D711" t="inlineStr">
        <is>
          <t>kilowatt hour</t>
        </is>
      </c>
      <c r="F711" t="inlineStr">
        <is>
          <t>technosphere</t>
        </is>
      </c>
      <c r="G711" t="inlineStr">
        <is>
          <t>electricity, high voltage</t>
        </is>
      </c>
      <c r="H711"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
For the RoW dataset, the output variables from REMIND were for all locations with a lci dataset were substracted from the World dataset. This represents the RoW dataset. The electricity usage per region is determined by multiplying the total RoW electricity per tkm consumption with the shares electricity of the regions contained in the RoW ecoinvent dataset.</t>
        </is>
      </c>
    </row>
    <row r="712">
      <c r="A712" t="inlineStr">
        <is>
          <t>market for electricity, high voltage</t>
        </is>
      </c>
      <c r="B712" t="n">
        <v>0.0002993683107113757</v>
      </c>
      <c r="C712" t="inlineStr">
        <is>
          <t>KR</t>
        </is>
      </c>
      <c r="D712" t="inlineStr">
        <is>
          <t>kilowatt hour</t>
        </is>
      </c>
      <c r="F712" t="inlineStr">
        <is>
          <t>technosphere</t>
        </is>
      </c>
      <c r="G712" t="inlineStr">
        <is>
          <t>electricity, high voltage</t>
        </is>
      </c>
      <c r="H712"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
For the RoW dataset, the output variables from REMIND were for all locations with a lci dataset were substracted from the World dataset. This represents the RoW dataset. The electricity usage per region is determined by multiplying the total RoW electricity per tkm consumption with the shares electricity of the regions contained in the RoW ecoinvent dataset.</t>
        </is>
      </c>
    </row>
    <row r="713">
      <c r="A713" t="inlineStr">
        <is>
          <t>market for electricity, high voltage</t>
        </is>
      </c>
      <c r="B713" t="n">
        <v>5.602471764725521e-05</v>
      </c>
      <c r="C713" t="inlineStr">
        <is>
          <t>KZ</t>
        </is>
      </c>
      <c r="D713" t="inlineStr">
        <is>
          <t>kilowatt hour</t>
        </is>
      </c>
      <c r="F713" t="inlineStr">
        <is>
          <t>technosphere</t>
        </is>
      </c>
      <c r="G713" t="inlineStr">
        <is>
          <t>electricity, high voltage</t>
        </is>
      </c>
      <c r="H713"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
For the RoW dataset, the output variables from REMIND were for all locations with a lci dataset were substracted from the World dataset. This represents the RoW dataset. The electricity usage per region is determined by multiplying the total RoW electricity per tkm consumption with the shares electricity of the regions contained in the RoW ecoinvent dataset.</t>
        </is>
      </c>
    </row>
    <row r="714">
      <c r="A714" t="inlineStr">
        <is>
          <t>market for electricity, high voltage</t>
        </is>
      </c>
      <c r="B714" t="n">
        <v>7.859290233767599e-06</v>
      </c>
      <c r="C714" t="inlineStr">
        <is>
          <t>LB</t>
        </is>
      </c>
      <c r="D714" t="inlineStr">
        <is>
          <t>kilowatt hour</t>
        </is>
      </c>
      <c r="F714" t="inlineStr">
        <is>
          <t>technosphere</t>
        </is>
      </c>
      <c r="G714" t="inlineStr">
        <is>
          <t>electricity, high voltage</t>
        </is>
      </c>
      <c r="H714"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
For the RoW dataset, the output variables from REMIND were for all locations with a lci dataset were substracted from the World dataset. This represents the RoW dataset. The electricity usage per region is determined by multiplying the total RoW electricity per tkm consumption with the shares electricity of the regions contained in the RoW ecoinvent dataset.</t>
        </is>
      </c>
    </row>
    <row r="715">
      <c r="A715" t="inlineStr">
        <is>
          <t>market for electricity, high voltage</t>
        </is>
      </c>
      <c r="B715" t="n">
        <v>8.222212169872295e-06</v>
      </c>
      <c r="C715" t="inlineStr">
        <is>
          <t>LK</t>
        </is>
      </c>
      <c r="D715" t="inlineStr">
        <is>
          <t>kilowatt hour</t>
        </is>
      </c>
      <c r="F715" t="inlineStr">
        <is>
          <t>technosphere</t>
        </is>
      </c>
      <c r="G715" t="inlineStr">
        <is>
          <t>electricity, high voltage</t>
        </is>
      </c>
      <c r="H715"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
For the RoW dataset, the output variables from REMIND were for all locations with a lci dataset were substracted from the World dataset. This represents the RoW dataset. The electricity usage per region is determined by multiplying the total RoW electricity per tkm consumption with the shares electricity of the regions contained in the RoW ecoinvent dataset.</t>
        </is>
      </c>
    </row>
    <row r="716">
      <c r="A716" t="inlineStr">
        <is>
          <t>market for electricity, high voltage</t>
        </is>
      </c>
      <c r="B716" t="n">
        <v>1.737976162461303e-05</v>
      </c>
      <c r="C716" t="inlineStr">
        <is>
          <t>LY</t>
        </is>
      </c>
      <c r="D716" t="inlineStr">
        <is>
          <t>kilowatt hour</t>
        </is>
      </c>
      <c r="F716" t="inlineStr">
        <is>
          <t>technosphere</t>
        </is>
      </c>
      <c r="G716" t="inlineStr">
        <is>
          <t>electricity, high voltage</t>
        </is>
      </c>
      <c r="H716"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
For the RoW dataset, the output variables from REMIND were for all locations with a lci dataset were substracted from the World dataset. This represents the RoW dataset. The electricity usage per region is determined by multiplying the total RoW electricity per tkm consumption with the shares electricity of the regions contained in the RoW ecoinvent dataset.</t>
        </is>
      </c>
    </row>
    <row r="717">
      <c r="A717" t="inlineStr">
        <is>
          <t>market for electricity, high voltage</t>
        </is>
      </c>
      <c r="B717" t="n">
        <v>2.023012130095085e-05</v>
      </c>
      <c r="C717" t="inlineStr">
        <is>
          <t>MA</t>
        </is>
      </c>
      <c r="D717" t="inlineStr">
        <is>
          <t>kilowatt hour</t>
        </is>
      </c>
      <c r="F717" t="inlineStr">
        <is>
          <t>technosphere</t>
        </is>
      </c>
      <c r="G717" t="inlineStr">
        <is>
          <t>electricity, high voltage</t>
        </is>
      </c>
      <c r="H717"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
For the RoW dataset, the output variables from REMIND were for all locations with a lci dataset were substracted from the World dataset. This represents the RoW dataset. The electricity usage per region is determined by multiplying the total RoW electricity per tkm consumption with the shares electricity of the regions contained in the RoW ecoinvent dataset.</t>
        </is>
      </c>
    </row>
    <row r="718">
      <c r="A718" t="inlineStr">
        <is>
          <t>market for electricity, high voltage</t>
        </is>
      </c>
      <c r="B718" t="n">
        <v>1.236136258747627e-05</v>
      </c>
      <c r="C718" t="inlineStr">
        <is>
          <t>MM</t>
        </is>
      </c>
      <c r="D718" t="inlineStr">
        <is>
          <t>kilowatt hour</t>
        </is>
      </c>
      <c r="F718" t="inlineStr">
        <is>
          <t>technosphere</t>
        </is>
      </c>
      <c r="G718" t="inlineStr">
        <is>
          <t>electricity, high voltage</t>
        </is>
      </c>
      <c r="H718"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
For the RoW dataset, the output variables from REMIND were for all locations with a lci dataset were substracted from the World dataset. This represents the RoW dataset. The electricity usage per region is determined by multiplying the total RoW electricity per tkm consumption with the shares electricity of the regions contained in the RoW ecoinvent dataset.</t>
        </is>
      </c>
    </row>
    <row r="719">
      <c r="A719" t="inlineStr">
        <is>
          <t>market for electricity, high voltage</t>
        </is>
      </c>
      <c r="B719" t="n">
        <v>4.588880932683425e-06</v>
      </c>
      <c r="C719" t="inlineStr">
        <is>
          <t>MN</t>
        </is>
      </c>
      <c r="D719" t="inlineStr">
        <is>
          <t>kilowatt hour</t>
        </is>
      </c>
      <c r="F719" t="inlineStr">
        <is>
          <t>technosphere</t>
        </is>
      </c>
      <c r="G719" t="inlineStr">
        <is>
          <t>electricity, high voltage</t>
        </is>
      </c>
      <c r="H719"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
For the RoW dataset, the output variables from REMIND were for all locations with a lci dataset were substracted from the World dataset. This represents the RoW dataset. The electricity usage per region is determined by multiplying the total RoW electricity per tkm consumption with the shares electricity of the regions contained in the RoW ecoinvent dataset.</t>
        </is>
      </c>
    </row>
    <row r="720">
      <c r="A720" t="inlineStr">
        <is>
          <t>market for electricity, high voltage</t>
        </is>
      </c>
      <c r="B720" t="n">
        <v>7.966015059023414e-07</v>
      </c>
      <c r="C720" t="inlineStr">
        <is>
          <t>MU</t>
        </is>
      </c>
      <c r="D720" t="inlineStr">
        <is>
          <t>kilowatt hour</t>
        </is>
      </c>
      <c r="F720" t="inlineStr">
        <is>
          <t>technosphere</t>
        </is>
      </c>
      <c r="G720" t="inlineStr">
        <is>
          <t>electricity, high voltage</t>
        </is>
      </c>
      <c r="H720"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
For the RoW dataset, the output variables from REMIND were for all locations with a lci dataset were substracted from the World dataset. This represents the RoW dataset. The electricity usage per region is determined by multiplying the total RoW electricity per tkm consumption with the shares electricity of the regions contained in the RoW ecoinvent dataset.</t>
        </is>
      </c>
    </row>
    <row r="721">
      <c r="A721" t="inlineStr">
        <is>
          <t>market for electricity, high voltage</t>
        </is>
      </c>
      <c r="B721" t="n">
        <v>9.019915194162697e-05</v>
      </c>
      <c r="C721" t="inlineStr">
        <is>
          <t>MY</t>
        </is>
      </c>
      <c r="D721" t="inlineStr">
        <is>
          <t>kilowatt hour</t>
        </is>
      </c>
      <c r="F721" t="inlineStr">
        <is>
          <t>technosphere</t>
        </is>
      </c>
      <c r="G721" t="inlineStr">
        <is>
          <t>electricity, high voltage</t>
        </is>
      </c>
      <c r="H721"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
For the RoW dataset, the output variables from REMIND were for all locations with a lci dataset were substracted from the World dataset. This represents the RoW dataset. The electricity usage per region is determined by multiplying the total RoW electricity per tkm consumption with the shares electricity of the regions contained in the RoW ecoinvent dataset.</t>
        </is>
      </c>
    </row>
    <row r="722">
      <c r="A722" t="inlineStr">
        <is>
          <t>market for electricity, high voltage</t>
        </is>
      </c>
      <c r="B722" t="n">
        <v>8.749491860338531e-06</v>
      </c>
      <c r="C722" t="inlineStr">
        <is>
          <t>MZ</t>
        </is>
      </c>
      <c r="D722" t="inlineStr">
        <is>
          <t>kilowatt hour</t>
        </is>
      </c>
      <c r="F722" t="inlineStr">
        <is>
          <t>technosphere</t>
        </is>
      </c>
      <c r="G722" t="inlineStr">
        <is>
          <t>electricity, high voltage</t>
        </is>
      </c>
      <c r="H722"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
For the RoW dataset, the output variables from REMIND were for all locations with a lci dataset were substracted from the World dataset. This represents the RoW dataset. The electricity usage per region is determined by multiplying the total RoW electricity per tkm consumption with the shares electricity of the regions contained in the RoW ecoinvent dataset.</t>
        </is>
      </c>
    </row>
    <row r="723">
      <c r="A723" t="inlineStr">
        <is>
          <t>market for electricity, high voltage</t>
        </is>
      </c>
      <c r="B723" t="n">
        <v>2.482056898300349e-06</v>
      </c>
      <c r="C723" t="inlineStr">
        <is>
          <t>NA</t>
        </is>
      </c>
      <c r="D723" t="inlineStr">
        <is>
          <t>kilowatt hour</t>
        </is>
      </c>
      <c r="F723" t="inlineStr">
        <is>
          <t>technosphere</t>
        </is>
      </c>
      <c r="G723" t="inlineStr">
        <is>
          <t>electricity, high voltage</t>
        </is>
      </c>
      <c r="H723"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
For the RoW dataset, the output variables from REMIND were for all locations with a lci dataset were substracted from the World dataset. This represents the RoW dataset. The electricity usage per region is determined by multiplying the total RoW electricity per tkm consumption with the shares electricity of the regions contained in the RoW ecoinvent dataset.</t>
        </is>
      </c>
    </row>
    <row r="724">
      <c r="A724" t="inlineStr">
        <is>
          <t>market for electricity, high voltage</t>
        </is>
      </c>
      <c r="B724" t="n">
        <v>8.074321774531342e-07</v>
      </c>
      <c r="C724" t="inlineStr">
        <is>
          <t>NE</t>
        </is>
      </c>
      <c r="D724" t="inlineStr">
        <is>
          <t>kilowatt hour</t>
        </is>
      </c>
      <c r="F724" t="inlineStr">
        <is>
          <t>technosphere</t>
        </is>
      </c>
      <c r="G724" t="inlineStr">
        <is>
          <t>electricity, high voltage</t>
        </is>
      </c>
      <c r="H724"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
For the RoW dataset, the output variables from REMIND were for all locations with a lci dataset were substracted from the World dataset. This represents the RoW dataset. The electricity usage per region is determined by multiplying the total RoW electricity per tkm consumption with the shares electricity of the regions contained in the RoW ecoinvent dataset.</t>
        </is>
      </c>
    </row>
    <row r="725">
      <c r="A725" t="inlineStr">
        <is>
          <t>market for electricity, high voltage</t>
        </is>
      </c>
      <c r="B725" t="n">
        <v>1.362629280806029e-05</v>
      </c>
      <c r="C725" t="inlineStr">
        <is>
          <t>NG</t>
        </is>
      </c>
      <c r="D725" t="inlineStr">
        <is>
          <t>kilowatt hour</t>
        </is>
      </c>
      <c r="F725" t="inlineStr">
        <is>
          <t>technosphere</t>
        </is>
      </c>
      <c r="G725" t="inlineStr">
        <is>
          <t>electricity, high voltage</t>
        </is>
      </c>
      <c r="H725"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
For the RoW dataset, the output variables from REMIND were for all locations with a lci dataset were substracted from the World dataset. This represents the RoW dataset. The electricity usage per region is determined by multiplying the total RoW electricity per tkm consumption with the shares electricity of the regions contained in the RoW ecoinvent dataset.</t>
        </is>
      </c>
    </row>
    <row r="726">
      <c r="A726" t="inlineStr">
        <is>
          <t>market for electricity, high voltage</t>
        </is>
      </c>
      <c r="B726" t="n">
        <v>4.225560701821834e-06</v>
      </c>
      <c r="C726" t="inlineStr">
        <is>
          <t>NP</t>
        </is>
      </c>
      <c r="D726" t="inlineStr">
        <is>
          <t>kilowatt hour</t>
        </is>
      </c>
      <c r="F726" t="inlineStr">
        <is>
          <t>technosphere</t>
        </is>
      </c>
      <c r="G726" t="inlineStr">
        <is>
          <t>electricity, high voltage</t>
        </is>
      </c>
      <c r="H726"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
For the RoW dataset, the output variables from REMIND were for all locations with a lci dataset were substracted from the World dataset. This represents the RoW dataset. The electricity usage per region is determined by multiplying the total RoW electricity per tkm consumption with the shares electricity of the regions contained in the RoW ecoinvent dataset.</t>
        </is>
      </c>
    </row>
    <row r="727">
      <c r="A727" t="inlineStr">
        <is>
          <t>market for electricity, high voltage</t>
        </is>
      </c>
      <c r="B727" t="n">
        <v>2.409795953822482e-05</v>
      </c>
      <c r="C727" t="inlineStr">
        <is>
          <t>NZ</t>
        </is>
      </c>
      <c r="D727" t="inlineStr">
        <is>
          <t>kilowatt hour</t>
        </is>
      </c>
      <c r="F727" t="inlineStr">
        <is>
          <t>technosphere</t>
        </is>
      </c>
      <c r="G727" t="inlineStr">
        <is>
          <t>electricity, high voltage</t>
        </is>
      </c>
      <c r="H727"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
For the RoW dataset, the output variables from REMIND were for all locations with a lci dataset were substracted from the World dataset. This represents the RoW dataset. The electricity usage per region is determined by multiplying the total RoW electricity per tkm consumption with the shares electricity of the regions contained in the RoW ecoinvent dataset.</t>
        </is>
      </c>
    </row>
    <row r="728">
      <c r="A728" t="inlineStr">
        <is>
          <t>market for electricity, high voltage</t>
        </is>
      </c>
      <c r="B728" t="n">
        <v>2.031222060119131e-05</v>
      </c>
      <c r="C728" t="inlineStr">
        <is>
          <t>OM</t>
        </is>
      </c>
      <c r="D728" t="inlineStr">
        <is>
          <t>kilowatt hour</t>
        </is>
      </c>
      <c r="F728" t="inlineStr">
        <is>
          <t>technosphere</t>
        </is>
      </c>
      <c r="G728" t="inlineStr">
        <is>
          <t>electricity, high voltage</t>
        </is>
      </c>
      <c r="H728"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
For the RoW dataset, the output variables from REMIND were for all locations with a lci dataset were substracted from the World dataset. This represents the RoW dataset. The electricity usage per region is determined by multiplying the total RoW electricity per tkm consumption with the shares electricity of the regions contained in the RoW ecoinvent dataset.</t>
        </is>
      </c>
    </row>
    <row r="729">
      <c r="A729" t="inlineStr">
        <is>
          <t>market for electricity, high voltage</t>
        </is>
      </c>
      <c r="B729" t="n">
        <v>5.573969612477171e-05</v>
      </c>
      <c r="C729" t="inlineStr">
        <is>
          <t>PH</t>
        </is>
      </c>
      <c r="D729" t="inlineStr">
        <is>
          <t>kilowatt hour</t>
        </is>
      </c>
      <c r="F729" t="inlineStr">
        <is>
          <t>technosphere</t>
        </is>
      </c>
      <c r="G729" t="inlineStr">
        <is>
          <t>electricity, high voltage</t>
        </is>
      </c>
      <c r="H729"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
For the RoW dataset, the output variables from REMIND were for all locations with a lci dataset were substracted from the World dataset. This represents the RoW dataset. The electricity usage per region is determined by multiplying the total RoW electricity per tkm consumption with the shares electricity of the regions contained in the RoW ecoinvent dataset.</t>
        </is>
      </c>
    </row>
    <row r="730">
      <c r="A730" t="inlineStr">
        <is>
          <t>market for electricity, high voltage</t>
        </is>
      </c>
      <c r="B730" t="n">
        <v>7.071072014607602e-05</v>
      </c>
      <c r="C730" t="inlineStr">
        <is>
          <t>PK</t>
        </is>
      </c>
      <c r="D730" t="inlineStr">
        <is>
          <t>kilowatt hour</t>
        </is>
      </c>
      <c r="F730" t="inlineStr">
        <is>
          <t>technosphere</t>
        </is>
      </c>
      <c r="G730" t="inlineStr">
        <is>
          <t>electricity, high voltage</t>
        </is>
      </c>
      <c r="H730"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
For the RoW dataset, the output variables from REMIND were for all locations with a lci dataset were substracted from the World dataset. This represents the RoW dataset. The electricity usage per region is determined by multiplying the total RoW electricity per tkm consumption with the shares electricity of the regions contained in the RoW ecoinvent dataset.</t>
        </is>
      </c>
    </row>
    <row r="731">
      <c r="A731" t="inlineStr">
        <is>
          <t>market for electricity, high voltage</t>
        </is>
      </c>
      <c r="B731" t="n">
        <v>1.039941835788019e-06</v>
      </c>
      <c r="C731" t="inlineStr">
        <is>
          <t>QA</t>
        </is>
      </c>
      <c r="D731" t="inlineStr">
        <is>
          <t>kilowatt hour</t>
        </is>
      </c>
      <c r="F731" t="inlineStr">
        <is>
          <t>technosphere</t>
        </is>
      </c>
      <c r="G731" t="inlineStr">
        <is>
          <t>electricity, high voltage</t>
        </is>
      </c>
      <c r="H731"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
For the RoW dataset, the output variables from REMIND were for all locations with a lci dataset were substracted from the World dataset. This represents the RoW dataset. The electricity usage per region is determined by multiplying the total RoW electricity per tkm consumption with the shares electricity of the regions contained in the RoW ecoinvent dataset.</t>
        </is>
      </c>
    </row>
    <row r="732">
      <c r="A732" t="inlineStr">
        <is>
          <t>market for electricity, high voltage</t>
        </is>
      </c>
      <c r="B732" t="n">
        <v>9.104810596719904e-06</v>
      </c>
      <c r="C732" t="inlineStr">
        <is>
          <t>SD</t>
        </is>
      </c>
      <c r="D732" t="inlineStr">
        <is>
          <t>kilowatt hour</t>
        </is>
      </c>
      <c r="F732" t="inlineStr">
        <is>
          <t>technosphere</t>
        </is>
      </c>
      <c r="G732" t="inlineStr">
        <is>
          <t>electricity, high voltage</t>
        </is>
      </c>
      <c r="H732"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
For the RoW dataset, the output variables from REMIND were for all locations with a lci dataset were substracted from the World dataset. This represents the RoW dataset. The electricity usage per region is determined by multiplying the total RoW electricity per tkm consumption with the shares electricity of the regions contained in the RoW ecoinvent dataset.</t>
        </is>
      </c>
    </row>
    <row r="733">
      <c r="A733" t="inlineStr">
        <is>
          <t>market for electricity, high voltage</t>
        </is>
      </c>
      <c r="B733" t="n">
        <v>2.515179019308016e-05</v>
      </c>
      <c r="C733" t="inlineStr">
        <is>
          <t>SG</t>
        </is>
      </c>
      <c r="D733" t="inlineStr">
        <is>
          <t>kilowatt hour</t>
        </is>
      </c>
      <c r="F733" t="inlineStr">
        <is>
          <t>technosphere</t>
        </is>
      </c>
      <c r="G733" t="inlineStr">
        <is>
          <t>electricity, high voltage</t>
        </is>
      </c>
      <c r="H733"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
For the RoW dataset, the output variables from REMIND were for all locations with a lci dataset were substracted from the World dataset. This represents the RoW dataset. The electricity usage per region is determined by multiplying the total RoW electricity per tkm consumption with the shares electricity of the regions contained in the RoW ecoinvent dataset.</t>
        </is>
      </c>
    </row>
    <row r="734">
      <c r="A734" t="inlineStr">
        <is>
          <t>market for electricity, high voltage</t>
        </is>
      </c>
      <c r="B734" t="n">
        <v>2.254652469072169e-06</v>
      </c>
      <c r="C734" t="inlineStr">
        <is>
          <t>SN</t>
        </is>
      </c>
      <c r="D734" t="inlineStr">
        <is>
          <t>kilowatt hour</t>
        </is>
      </c>
      <c r="F734" t="inlineStr">
        <is>
          <t>technosphere</t>
        </is>
      </c>
      <c r="G734" t="inlineStr">
        <is>
          <t>electricity, high voltage</t>
        </is>
      </c>
      <c r="H734"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
For the RoW dataset, the output variables from REMIND were for all locations with a lci dataset were substracted from the World dataset. This represents the RoW dataset. The electricity usage per region is determined by multiplying the total RoW electricity per tkm consumption with the shares electricity of the regions contained in the RoW ecoinvent dataset.</t>
        </is>
      </c>
    </row>
    <row r="735">
      <c r="A735" t="inlineStr">
        <is>
          <t>market for electricity, high voltage</t>
        </is>
      </c>
      <c r="B735" t="n">
        <v>2.965573637745984e-07</v>
      </c>
      <c r="C735" t="inlineStr">
        <is>
          <t>SS</t>
        </is>
      </c>
      <c r="D735" t="inlineStr">
        <is>
          <t>kilowatt hour</t>
        </is>
      </c>
      <c r="F735" t="inlineStr">
        <is>
          <t>technosphere</t>
        </is>
      </c>
      <c r="G735" t="inlineStr">
        <is>
          <t>electricity, high voltage</t>
        </is>
      </c>
      <c r="H735"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
For the RoW dataset, the output variables from REMIND were for all locations with a lci dataset were substracted from the World dataset. This represents the RoW dataset. The electricity usage per region is determined by multiplying the total RoW electricity per tkm consumption with the shares electricity of the regions contained in the RoW ecoinvent dataset.</t>
        </is>
      </c>
    </row>
    <row r="736">
      <c r="A736" t="inlineStr">
        <is>
          <t>market for electricity, high voltage</t>
        </is>
      </c>
      <c r="B736" t="n">
        <v>8.418655222308803e-06</v>
      </c>
      <c r="C736" t="inlineStr">
        <is>
          <t>SY</t>
        </is>
      </c>
      <c r="D736" t="inlineStr">
        <is>
          <t>kilowatt hour</t>
        </is>
      </c>
      <c r="F736" t="inlineStr">
        <is>
          <t>technosphere</t>
        </is>
      </c>
      <c r="G736" t="inlineStr">
        <is>
          <t>electricity, high voltage</t>
        </is>
      </c>
      <c r="H736"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
For the RoW dataset, the output variables from REMIND were for all locations with a lci dataset were substracted from the World dataset. This represents the RoW dataset. The electricity usage per region is determined by multiplying the total RoW electricity per tkm consumption with the shares electricity of the regions contained in the RoW ecoinvent dataset.</t>
        </is>
      </c>
    </row>
    <row r="737">
      <c r="A737" t="inlineStr">
        <is>
          <t>market for electricity, high voltage</t>
        </is>
      </c>
      <c r="B737" t="n">
        <v>8.562465574334739e-07</v>
      </c>
      <c r="C737" t="inlineStr">
        <is>
          <t>TG</t>
        </is>
      </c>
      <c r="D737" t="inlineStr">
        <is>
          <t>kilowatt hour</t>
        </is>
      </c>
      <c r="F737" t="inlineStr">
        <is>
          <t>technosphere</t>
        </is>
      </c>
      <c r="G737" t="inlineStr">
        <is>
          <t>electricity, high voltage</t>
        </is>
      </c>
      <c r="H737"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
For the RoW dataset, the output variables from REMIND were for all locations with a lci dataset were substracted from the World dataset. This represents the RoW dataset. The electricity usage per region is determined by multiplying the total RoW electricity per tkm consumption with the shares electricity of the regions contained in the RoW ecoinvent dataset.</t>
        </is>
      </c>
    </row>
    <row r="738">
      <c r="A738" t="inlineStr">
        <is>
          <t>market for electricity, high voltage</t>
        </is>
      </c>
      <c r="B738" t="n">
        <v>6.346479168751394e-05</v>
      </c>
      <c r="C738" t="inlineStr">
        <is>
          <t>TH</t>
        </is>
      </c>
      <c r="D738" t="inlineStr">
        <is>
          <t>kilowatt hour</t>
        </is>
      </c>
      <c r="F738" t="inlineStr">
        <is>
          <t>technosphere</t>
        </is>
      </c>
      <c r="G738" t="inlineStr">
        <is>
          <t>electricity, high voltage</t>
        </is>
      </c>
      <c r="H738"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
For the RoW dataset, the output variables from REMIND were for all locations with a lci dataset were substracted from the World dataset. This represents the RoW dataset. The electricity usage per region is determined by multiplying the total RoW electricity per tkm consumption with the shares electricity of the regions contained in the RoW ecoinvent dataset.</t>
        </is>
      </c>
    </row>
    <row r="739">
      <c r="A739" t="inlineStr">
        <is>
          <t>market for electricity, high voltage</t>
        </is>
      </c>
      <c r="B739" t="n">
        <v>9.80154600687035e-06</v>
      </c>
      <c r="C739" t="inlineStr">
        <is>
          <t>TJ</t>
        </is>
      </c>
      <c r="D739" t="inlineStr">
        <is>
          <t>kilowatt hour</t>
        </is>
      </c>
      <c r="F739" t="inlineStr">
        <is>
          <t>technosphere</t>
        </is>
      </c>
      <c r="G739" t="inlineStr">
        <is>
          <t>electricity, high voltage</t>
        </is>
      </c>
      <c r="H739"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
For the RoW dataset, the output variables from REMIND were for all locations with a lci dataset were substracted from the World dataset. This represents the RoW dataset. The electricity usage per region is determined by multiplying the total RoW electricity per tkm consumption with the shares electricity of the regions contained in the RoW ecoinvent dataset.</t>
        </is>
      </c>
    </row>
    <row r="740">
      <c r="A740" t="inlineStr">
        <is>
          <t>market for electricity, high voltage</t>
        </is>
      </c>
      <c r="B740" t="n">
        <v>9.893246203166261e-06</v>
      </c>
      <c r="C740" t="inlineStr">
        <is>
          <t>TM</t>
        </is>
      </c>
      <c r="D740" t="inlineStr">
        <is>
          <t>kilowatt hour</t>
        </is>
      </c>
      <c r="F740" t="inlineStr">
        <is>
          <t>technosphere</t>
        </is>
      </c>
      <c r="G740" t="inlineStr">
        <is>
          <t>electricity, high voltage</t>
        </is>
      </c>
      <c r="H740"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
For the RoW dataset, the output variables from REMIND were for all locations with a lci dataset were substracted from the World dataset. This represents the RoW dataset. The electricity usage per region is determined by multiplying the total RoW electricity per tkm consumption with the shares electricity of the regions contained in the RoW ecoinvent dataset.</t>
        </is>
      </c>
    </row>
    <row r="741">
      <c r="A741" t="inlineStr">
        <is>
          <t>market for electricity, high voltage</t>
        </is>
      </c>
      <c r="B741" t="n">
        <v>1.050485939387261e-05</v>
      </c>
      <c r="C741" t="inlineStr">
        <is>
          <t>TN</t>
        </is>
      </c>
      <c r="D741" t="inlineStr">
        <is>
          <t>kilowatt hour</t>
        </is>
      </c>
      <c r="F741" t="inlineStr">
        <is>
          <t>technosphere</t>
        </is>
      </c>
      <c r="G741" t="inlineStr">
        <is>
          <t>electricity, high voltage</t>
        </is>
      </c>
      <c r="H741"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
For the RoW dataset, the output variables from REMIND were for all locations with a lci dataset were substracted from the World dataset. This represents the RoW dataset. The electricity usage per region is determined by multiplying the total RoW electricity per tkm consumption with the shares electricity of the regions contained in the RoW ecoinvent dataset.</t>
        </is>
      </c>
    </row>
    <row r="742">
      <c r="A742" t="inlineStr">
        <is>
          <t>market for electricity, high voltage</t>
        </is>
      </c>
      <c r="B742" t="n">
        <v>0.0001477344901942576</v>
      </c>
      <c r="C742" t="inlineStr">
        <is>
          <t>TR</t>
        </is>
      </c>
      <c r="D742" t="inlineStr">
        <is>
          <t>kilowatt hour</t>
        </is>
      </c>
      <c r="F742" t="inlineStr">
        <is>
          <t>technosphere</t>
        </is>
      </c>
      <c r="G742" t="inlineStr">
        <is>
          <t>electricity, high voltage</t>
        </is>
      </c>
      <c r="H742"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
For the RoW dataset, the output variables from REMIND were for all locations with a lci dataset were substracted from the World dataset. This represents the RoW dataset. The electricity usage per region is determined by multiplying the total RoW electricity per tkm consumption with the shares electricity of the regions contained in the RoW ecoinvent dataset.</t>
        </is>
      </c>
    </row>
    <row r="743">
      <c r="A743" t="inlineStr">
        <is>
          <t>market for electricity, high voltage</t>
        </is>
      </c>
      <c r="B743" t="n">
        <v>0.0001264975043927393</v>
      </c>
      <c r="C743" t="inlineStr">
        <is>
          <t>TW</t>
        </is>
      </c>
      <c r="D743" t="inlineStr">
        <is>
          <t>kilowatt hour</t>
        </is>
      </c>
      <c r="F743" t="inlineStr">
        <is>
          <t>technosphere</t>
        </is>
      </c>
      <c r="G743" t="inlineStr">
        <is>
          <t>electricity, high voltage</t>
        </is>
      </c>
      <c r="H743"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
For the RoW dataset, the output variables from REMIND were for all locations with a lci dataset were substracted from the World dataset. This represents the RoW dataset. The electricity usage per region is determined by multiplying the total RoW electricity per tkm consumption with the shares electricity of the regions contained in the RoW ecoinvent dataset.</t>
        </is>
      </c>
    </row>
    <row r="744">
      <c r="A744" t="inlineStr">
        <is>
          <t>market for electricity, high voltage</t>
        </is>
      </c>
      <c r="B744" t="n">
        <v>4.223766694958913e-06</v>
      </c>
      <c r="C744" t="inlineStr">
        <is>
          <t>TZ</t>
        </is>
      </c>
      <c r="D744" t="inlineStr">
        <is>
          <t>kilowatt hour</t>
        </is>
      </c>
      <c r="F744" t="inlineStr">
        <is>
          <t>technosphere</t>
        </is>
      </c>
      <c r="G744" t="inlineStr">
        <is>
          <t>electricity, high voltage</t>
        </is>
      </c>
      <c r="H744"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
For the RoW dataset, the output variables from REMIND were for all locations with a lci dataset were substracted from the World dataset. This represents the RoW dataset. The electricity usage per region is determined by multiplying the total RoW electricity per tkm consumption with the shares electricity of the regions contained in the RoW ecoinvent dataset.</t>
        </is>
      </c>
    </row>
    <row r="745">
      <c r="A745" t="inlineStr">
        <is>
          <t>market for electricity, high voltage</t>
        </is>
      </c>
      <c r="B745" t="n">
        <v>3.483628921163047e-05</v>
      </c>
      <c r="C745" t="inlineStr">
        <is>
          <t>UZ</t>
        </is>
      </c>
      <c r="D745" t="inlineStr">
        <is>
          <t>kilowatt hour</t>
        </is>
      </c>
      <c r="F745" t="inlineStr">
        <is>
          <t>technosphere</t>
        </is>
      </c>
      <c r="G745" t="inlineStr">
        <is>
          <t>electricity, high voltage</t>
        </is>
      </c>
      <c r="H745"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
For the RoW dataset, the output variables from REMIND were for all locations with a lci dataset were substracted from the World dataset. This represents the RoW dataset. The electricity usage per region is determined by multiplying the total RoW electricity per tkm consumption with the shares electricity of the regions contained in the RoW ecoinvent dataset.</t>
        </is>
      </c>
    </row>
    <row r="746">
      <c r="A746" t="inlineStr">
        <is>
          <t>market for electricity, high voltage</t>
        </is>
      </c>
      <c r="B746" t="n">
        <v>0.0001227475972124688</v>
      </c>
      <c r="C746" t="inlineStr">
        <is>
          <t>VN</t>
        </is>
      </c>
      <c r="D746" t="inlineStr">
        <is>
          <t>kilowatt hour</t>
        </is>
      </c>
      <c r="F746" t="inlineStr">
        <is>
          <t>technosphere</t>
        </is>
      </c>
      <c r="G746" t="inlineStr">
        <is>
          <t>electricity, high voltage</t>
        </is>
      </c>
      <c r="H746"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
For the RoW dataset, the output variables from REMIND were for all locations with a lci dataset were substracted from the World dataset. This represents the RoW dataset. The electricity usage per region is determined by multiplying the total RoW electricity per tkm consumption with the shares electricity of the regions contained in the RoW ecoinvent dataset.</t>
        </is>
      </c>
    </row>
    <row r="747">
      <c r="A747" t="inlineStr">
        <is>
          <t>market for electricity, high voltage</t>
        </is>
      </c>
      <c r="B747" t="n">
        <v>1.413239816664559e-06</v>
      </c>
      <c r="C747" t="inlineStr">
        <is>
          <t>YE</t>
        </is>
      </c>
      <c r="D747" t="inlineStr">
        <is>
          <t>kilowatt hour</t>
        </is>
      </c>
      <c r="F747" t="inlineStr">
        <is>
          <t>technosphere</t>
        </is>
      </c>
      <c r="G747" t="inlineStr">
        <is>
          <t>electricity, high voltage</t>
        </is>
      </c>
      <c r="H747"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
For the RoW dataset, the output variables from REMIND were for all locations with a lci dataset were substracted from the World dataset. This represents the RoW dataset. The electricity usage per region is determined by multiplying the total RoW electricity per tkm consumption with the shares electricity of the regions contained in the RoW ecoinvent dataset.</t>
        </is>
      </c>
    </row>
    <row r="748">
      <c r="A748" t="inlineStr">
        <is>
          <t>market for electricity, high voltage</t>
        </is>
      </c>
      <c r="B748" t="n">
        <v>7.777082274355745e-06</v>
      </c>
      <c r="C748" t="inlineStr">
        <is>
          <t>ZM</t>
        </is>
      </c>
      <c r="D748" t="inlineStr">
        <is>
          <t>kilowatt hour</t>
        </is>
      </c>
      <c r="F748" t="inlineStr">
        <is>
          <t>technosphere</t>
        </is>
      </c>
      <c r="G748" t="inlineStr">
        <is>
          <t>electricity, high voltage</t>
        </is>
      </c>
      <c r="H748"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
For the RoW dataset, the output variables from REMIND were for all locations with a lci dataset were substracted from the World dataset. This represents the RoW dataset. The electricity usage per region is determined by multiplying the total RoW electricity per tkm consumption with the shares electricity of the regions contained in the RoW ecoinvent dataset.</t>
        </is>
      </c>
    </row>
    <row r="749">
      <c r="A749" t="inlineStr">
        <is>
          <t>market for electricity, high voltage</t>
        </is>
      </c>
      <c r="B749" t="n">
        <v>4.636035046686071e-06</v>
      </c>
      <c r="C749" t="inlineStr">
        <is>
          <t>ZW</t>
        </is>
      </c>
      <c r="D749" t="inlineStr">
        <is>
          <t>kilowatt hour</t>
        </is>
      </c>
      <c r="F749" t="inlineStr">
        <is>
          <t>technosphere</t>
        </is>
      </c>
      <c r="G749" t="inlineStr">
        <is>
          <t>electricity, high voltage</t>
        </is>
      </c>
      <c r="H749"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
For the RoW dataset, the output variables from REMIND were for all locations with a lci dataset were substracted from the World dataset. This represents the RoW dataset. The electricity usage per region is determined by multiplying the total RoW electricity per tkm consumption with the shares electricity of the regions contained in the RoW ecoinvent dataset.</t>
        </is>
      </c>
    </row>
    <row r="750">
      <c r="A750" t="inlineStr">
        <is>
          <t>market for electricity, medium voltage</t>
        </is>
      </c>
      <c r="B750" t="n">
        <v>5.556775968689767e-06</v>
      </c>
      <c r="C750" t="inlineStr">
        <is>
          <t>AM</t>
        </is>
      </c>
      <c r="D750" t="inlineStr">
        <is>
          <t>kilowatt hour</t>
        </is>
      </c>
      <c r="F750" t="inlineStr">
        <is>
          <t>technosphere</t>
        </is>
      </c>
      <c r="G750" t="inlineStr">
        <is>
          <t>electricity, medium voltage</t>
        </is>
      </c>
      <c r="H750"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
For the RoW dataset, the output variables from REMIND were for all locations with a lci dataset were substracted from the World dataset. This represents the RoW dataset. The electricity usage per region is determined by multiplying the total RoW electricity per tkm consumption with the shares electricity of the regions contained in the RoW ecoinvent dataset.</t>
        </is>
      </c>
    </row>
    <row r="751">
      <c r="A751" t="inlineStr">
        <is>
          <t>market for electricity, medium voltage</t>
        </is>
      </c>
      <c r="B751" t="n">
        <v>1.273284478398142e-05</v>
      </c>
      <c r="C751" t="inlineStr">
        <is>
          <t>AO</t>
        </is>
      </c>
      <c r="D751" t="inlineStr">
        <is>
          <t>kilowatt hour</t>
        </is>
      </c>
      <c r="F751" t="inlineStr">
        <is>
          <t>technosphere</t>
        </is>
      </c>
      <c r="G751" t="inlineStr">
        <is>
          <t>electricity, medium voltage</t>
        </is>
      </c>
      <c r="H751"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
For the RoW dataset, the output variables from REMIND were for all locations with a lci dataset were substracted from the World dataset. This represents the RoW dataset. The electricity usage per region is determined by multiplying the total RoW electricity per tkm consumption with the shares electricity of the regions contained in the RoW ecoinvent dataset.</t>
        </is>
      </c>
    </row>
    <row r="752">
      <c r="A752" t="inlineStr">
        <is>
          <t>market for electricity, medium voltage</t>
        </is>
      </c>
      <c r="B752" t="n">
        <v>0.0001899445354511696</v>
      </c>
      <c r="C752" t="inlineStr">
        <is>
          <t>AU</t>
        </is>
      </c>
      <c r="D752" t="inlineStr">
        <is>
          <t>kilowatt hour</t>
        </is>
      </c>
      <c r="F752" t="inlineStr">
        <is>
          <t>technosphere</t>
        </is>
      </c>
      <c r="G752" t="inlineStr">
        <is>
          <t>electricity, medium voltage</t>
        </is>
      </c>
      <c r="H752"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
For the RoW dataset, the output variables from REMIND were for all locations with a lci dataset were substracted from the World dataset. This represents the RoW dataset. The electricity usage per region is determined by multiplying the total RoW electricity per tkm consumption with the shares electricity of the regions contained in the RoW ecoinvent dataset.</t>
        </is>
      </c>
    </row>
    <row r="753">
      <c r="A753" t="inlineStr">
        <is>
          <t>market for electricity, medium voltage</t>
        </is>
      </c>
      <c r="B753" t="n">
        <v>1.8499874109351e-05</v>
      </c>
      <c r="C753" t="inlineStr">
        <is>
          <t>AZ</t>
        </is>
      </c>
      <c r="D753" t="inlineStr">
        <is>
          <t>kilowatt hour</t>
        </is>
      </c>
      <c r="F753" t="inlineStr">
        <is>
          <t>technosphere</t>
        </is>
      </c>
      <c r="G753" t="inlineStr">
        <is>
          <t>electricity, medium voltage</t>
        </is>
      </c>
      <c r="H753"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
For the RoW dataset, the output variables from REMIND were for all locations with a lci dataset were substracted from the World dataset. This represents the RoW dataset. The electricity usage per region is determined by multiplying the total RoW electricity per tkm consumption with the shares electricity of the regions contained in the RoW ecoinvent dataset.</t>
        </is>
      </c>
    </row>
    <row r="754">
      <c r="A754" t="inlineStr">
        <is>
          <t>market for electricity, medium voltage</t>
        </is>
      </c>
      <c r="B754" t="n">
        <v>6.07186256675518e-05</v>
      </c>
      <c r="C754" t="inlineStr">
        <is>
          <t>BD</t>
        </is>
      </c>
      <c r="D754" t="inlineStr">
        <is>
          <t>kilowatt hour</t>
        </is>
      </c>
      <c r="F754" t="inlineStr">
        <is>
          <t>technosphere</t>
        </is>
      </c>
      <c r="G754" t="inlineStr">
        <is>
          <t>electricity, medium voltage</t>
        </is>
      </c>
      <c r="H754"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
For the RoW dataset, the output variables from REMIND were for all locations with a lci dataset were substracted from the World dataset. This represents the RoW dataset. The electricity usage per region is determined by multiplying the total RoW electricity per tkm consumption with the shares electricity of the regions contained in the RoW ecoinvent dataset.</t>
        </is>
      </c>
    </row>
    <row r="755">
      <c r="A755" t="inlineStr">
        <is>
          <t>market for electricity, medium voltage</t>
        </is>
      </c>
      <c r="B755" t="n">
        <v>1.565365325862627e-05</v>
      </c>
      <c r="C755" t="inlineStr">
        <is>
          <t>BH</t>
        </is>
      </c>
      <c r="D755" t="inlineStr">
        <is>
          <t>kilowatt hour</t>
        </is>
      </c>
      <c r="F755" t="inlineStr">
        <is>
          <t>technosphere</t>
        </is>
      </c>
      <c r="G755" t="inlineStr">
        <is>
          <t>electricity, medium voltage</t>
        </is>
      </c>
      <c r="H755"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
For the RoW dataset, the output variables from REMIND were for all locations with a lci dataset were substracted from the World dataset. This represents the RoW dataset. The electricity usage per region is determined by multiplying the total RoW electricity per tkm consumption with the shares electricity of the regions contained in the RoW ecoinvent dataset.</t>
        </is>
      </c>
    </row>
    <row r="756">
      <c r="A756" t="inlineStr">
        <is>
          <t>market for electricity, medium voltage</t>
        </is>
      </c>
      <c r="B756" t="n">
        <v>1.205215364790832e-06</v>
      </c>
      <c r="C756" t="inlineStr">
        <is>
          <t>BJ</t>
        </is>
      </c>
      <c r="D756" t="inlineStr">
        <is>
          <t>kilowatt hour</t>
        </is>
      </c>
      <c r="F756" t="inlineStr">
        <is>
          <t>technosphere</t>
        </is>
      </c>
      <c r="G756" t="inlineStr">
        <is>
          <t>electricity, medium voltage</t>
        </is>
      </c>
      <c r="H756"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
For the RoW dataset, the output variables from REMIND were for all locations with a lci dataset were substracted from the World dataset. This represents the RoW dataset. The electricity usage per region is determined by multiplying the total RoW electricity per tkm consumption with the shares electricity of the regions contained in the RoW ecoinvent dataset.</t>
        </is>
      </c>
    </row>
    <row r="757">
      <c r="A757" t="inlineStr">
        <is>
          <t>market for electricity, medium voltage</t>
        </is>
      </c>
      <c r="B757" t="n">
        <v>3.271879842724292e-06</v>
      </c>
      <c r="C757" t="inlineStr">
        <is>
          <t>BN</t>
        </is>
      </c>
      <c r="D757" t="inlineStr">
        <is>
          <t>kilowatt hour</t>
        </is>
      </c>
      <c r="F757" t="inlineStr">
        <is>
          <t>technosphere</t>
        </is>
      </c>
      <c r="G757" t="inlineStr">
        <is>
          <t>electricity, medium voltage</t>
        </is>
      </c>
      <c r="H757"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
For the RoW dataset, the output variables from REMIND were for all locations with a lci dataset were substracted from the World dataset. This represents the RoW dataset. The electricity usage per region is determined by multiplying the total RoW electricity per tkm consumption with the shares electricity of the regions contained in the RoW ecoinvent dataset.</t>
        </is>
      </c>
    </row>
    <row r="758">
      <c r="A758" t="inlineStr">
        <is>
          <t>market for electricity, medium voltage</t>
        </is>
      </c>
      <c r="B758" t="n">
        <v>3.517717486057328e-06</v>
      </c>
      <c r="C758" t="inlineStr">
        <is>
          <t>BW</t>
        </is>
      </c>
      <c r="D758" t="inlineStr">
        <is>
          <t>kilowatt hour</t>
        </is>
      </c>
      <c r="F758" t="inlineStr">
        <is>
          <t>technosphere</t>
        </is>
      </c>
      <c r="G758" t="inlineStr">
        <is>
          <t>electricity, medium voltage</t>
        </is>
      </c>
      <c r="H758"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
For the RoW dataset, the output variables from REMIND were for all locations with a lci dataset were substracted from the World dataset. This represents the RoW dataset. The electricity usage per region is determined by multiplying the total RoW electricity per tkm consumption with the shares electricity of the regions contained in the RoW ecoinvent dataset.</t>
        </is>
      </c>
    </row>
    <row r="759">
      <c r="A759" t="inlineStr">
        <is>
          <t>market for electricity, medium voltage</t>
        </is>
      </c>
      <c r="B759" t="n">
        <v>9.083075961396366e-06</v>
      </c>
      <c r="C759" t="inlineStr">
        <is>
          <t>CD</t>
        </is>
      </c>
      <c r="D759" t="inlineStr">
        <is>
          <t>kilowatt hour</t>
        </is>
      </c>
      <c r="F759" t="inlineStr">
        <is>
          <t>technosphere</t>
        </is>
      </c>
      <c r="G759" t="inlineStr">
        <is>
          <t>electricity, medium voltage</t>
        </is>
      </c>
      <c r="H759"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
For the RoW dataset, the output variables from REMIND were for all locations with a lci dataset were substracted from the World dataset. This represents the RoW dataset. The electricity usage per region is determined by multiplying the total RoW electricity per tkm consumption with the shares electricity of the regions contained in the RoW ecoinvent dataset.</t>
        </is>
      </c>
    </row>
    <row r="760">
      <c r="A760" t="inlineStr">
        <is>
          <t>market for electricity, medium voltage</t>
        </is>
      </c>
      <c r="B760" t="n">
        <v>5.818885325175847e-07</v>
      </c>
      <c r="C760" t="inlineStr">
        <is>
          <t>CG</t>
        </is>
      </c>
      <c r="D760" t="inlineStr">
        <is>
          <t>kilowatt hour</t>
        </is>
      </c>
      <c r="F760" t="inlineStr">
        <is>
          <t>technosphere</t>
        </is>
      </c>
      <c r="G760" t="inlineStr">
        <is>
          <t>electricity, medium voltage</t>
        </is>
      </c>
      <c r="H760"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
For the RoW dataset, the output variables from REMIND were for all locations with a lci dataset were substracted from the World dataset. This represents the RoW dataset. The electricity usage per region is determined by multiplying the total RoW electricity per tkm consumption with the shares electricity of the regions contained in the RoW ecoinvent dataset.</t>
        </is>
      </c>
    </row>
    <row r="761">
      <c r="A761" t="inlineStr">
        <is>
          <t>market for electricity, medium voltage</t>
        </is>
      </c>
      <c r="B761" t="n">
        <v>7.35533297656144e-06</v>
      </c>
      <c r="C761" t="inlineStr">
        <is>
          <t>CI</t>
        </is>
      </c>
      <c r="D761" t="inlineStr">
        <is>
          <t>kilowatt hour</t>
        </is>
      </c>
      <c r="F761" t="inlineStr">
        <is>
          <t>technosphere</t>
        </is>
      </c>
      <c r="G761" t="inlineStr">
        <is>
          <t>electricity, medium voltage</t>
        </is>
      </c>
      <c r="H761"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
For the RoW dataset, the output variables from REMIND were for all locations with a lci dataset were substracted from the World dataset. This represents the RoW dataset. The electricity usage per region is determined by multiplying the total RoW electricity per tkm consumption with the shares electricity of the regions contained in the RoW ecoinvent dataset.</t>
        </is>
      </c>
    </row>
    <row r="762">
      <c r="A762" t="inlineStr">
        <is>
          <t>market for electricity, medium voltage</t>
        </is>
      </c>
      <c r="B762" t="n">
        <v>4.443476669284888e-06</v>
      </c>
      <c r="C762" t="inlineStr">
        <is>
          <t>CM</t>
        </is>
      </c>
      <c r="D762" t="inlineStr">
        <is>
          <t>kilowatt hour</t>
        </is>
      </c>
      <c r="F762" t="inlineStr">
        <is>
          <t>technosphere</t>
        </is>
      </c>
      <c r="G762" t="inlineStr">
        <is>
          <t>electricity, medium voltage</t>
        </is>
      </c>
      <c r="H762"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
For the RoW dataset, the output variables from REMIND were for all locations with a lci dataset were substracted from the World dataset. This represents the RoW dataset. The electricity usage per region is determined by multiplying the total RoW electricity per tkm consumption with the shares electricity of the regions contained in the RoW ecoinvent dataset.</t>
        </is>
      </c>
    </row>
    <row r="763">
      <c r="A763" t="inlineStr">
        <is>
          <t>market for electricity, medium voltage</t>
        </is>
      </c>
      <c r="B763" t="n">
        <v>4.192612576166559e-06</v>
      </c>
      <c r="C763" t="inlineStr">
        <is>
          <t>CY</t>
        </is>
      </c>
      <c r="D763" t="inlineStr">
        <is>
          <t>kilowatt hour</t>
        </is>
      </c>
      <c r="F763" t="inlineStr">
        <is>
          <t>technosphere</t>
        </is>
      </c>
      <c r="G763" t="inlineStr">
        <is>
          <t>electricity, medium voltage</t>
        </is>
      </c>
      <c r="H763"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
For the RoW dataset, the output variables from REMIND were for all locations with a lci dataset were substracted from the World dataset. This represents the RoW dataset. The electricity usage per region is determined by multiplying the total RoW electricity per tkm consumption with the shares electricity of the regions contained in the RoW ecoinvent dataset.</t>
        </is>
      </c>
    </row>
    <row r="764">
      <c r="A764" t="inlineStr">
        <is>
          <t>market for electricity, medium voltage</t>
        </is>
      </c>
      <c r="B764" t="n">
        <v>6.04842224682751e-05</v>
      </c>
      <c r="C764" t="inlineStr">
        <is>
          <t>DZ</t>
        </is>
      </c>
      <c r="D764" t="inlineStr">
        <is>
          <t>kilowatt hour</t>
        </is>
      </c>
      <c r="F764" t="inlineStr">
        <is>
          <t>technosphere</t>
        </is>
      </c>
      <c r="G764" t="inlineStr">
        <is>
          <t>electricity, medium voltage</t>
        </is>
      </c>
      <c r="H764"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
For the RoW dataset, the output variables from REMIND were for all locations with a lci dataset were substracted from the World dataset. This represents the RoW dataset. The electricity usage per region is determined by multiplying the total RoW electricity per tkm consumption with the shares electricity of the regions contained in the RoW ecoinvent dataset.</t>
        </is>
      </c>
    </row>
    <row r="765">
      <c r="A765" t="inlineStr">
        <is>
          <t>market for electricity, medium voltage</t>
        </is>
      </c>
      <c r="B765" t="n">
        <v>0.0001514007386215843</v>
      </c>
      <c r="C765" t="inlineStr">
        <is>
          <t>EG</t>
        </is>
      </c>
      <c r="D765" t="inlineStr">
        <is>
          <t>kilowatt hour</t>
        </is>
      </c>
      <c r="F765" t="inlineStr">
        <is>
          <t>technosphere</t>
        </is>
      </c>
      <c r="G765" t="inlineStr">
        <is>
          <t>electricity, medium voltage</t>
        </is>
      </c>
      <c r="H765"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
For the RoW dataset, the output variables from REMIND were for all locations with a lci dataset were substracted from the World dataset. This represents the RoW dataset. The electricity usage per region is determined by multiplying the total RoW electricity per tkm consumption with the shares electricity of the regions contained in the RoW ecoinvent dataset.</t>
        </is>
      </c>
    </row>
    <row r="766">
      <c r="A766" t="inlineStr">
        <is>
          <t>market for electricity, medium voltage</t>
        </is>
      </c>
      <c r="B766" t="n">
        <v>3.56016612763367e-07</v>
      </c>
      <c r="C766" t="inlineStr">
        <is>
          <t>ER</t>
        </is>
      </c>
      <c r="D766" t="inlineStr">
        <is>
          <t>kilowatt hour</t>
        </is>
      </c>
      <c r="F766" t="inlineStr">
        <is>
          <t>technosphere</t>
        </is>
      </c>
      <c r="G766" t="inlineStr">
        <is>
          <t>electricity, medium voltage</t>
        </is>
      </c>
      <c r="H766"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
For the RoW dataset, the output variables from REMIND were for all locations with a lci dataset were substracted from the World dataset. This represents the RoW dataset. The electricity usage per region is determined by multiplying the total RoW electricity per tkm consumption with the shares electricity of the regions contained in the RoW ecoinvent dataset.</t>
        </is>
      </c>
    </row>
    <row r="767">
      <c r="A767" t="inlineStr">
        <is>
          <t>market for electricity, medium voltage</t>
        </is>
      </c>
      <c r="B767" t="n">
        <v>1.131855540593189e-05</v>
      </c>
      <c r="C767" t="inlineStr">
        <is>
          <t>ET</t>
        </is>
      </c>
      <c r="D767" t="inlineStr">
        <is>
          <t>kilowatt hour</t>
        </is>
      </c>
      <c r="F767" t="inlineStr">
        <is>
          <t>technosphere</t>
        </is>
      </c>
      <c r="G767" t="inlineStr">
        <is>
          <t>electricity, medium voltage</t>
        </is>
      </c>
      <c r="H767"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
For the RoW dataset, the output variables from REMIND were for all locations with a lci dataset were substracted from the World dataset. This represents the RoW dataset. The electricity usage per region is determined by multiplying the total RoW electricity per tkm consumption with the shares electricity of the regions contained in the RoW ecoinvent dataset.</t>
        </is>
      </c>
    </row>
    <row r="768">
      <c r="A768" t="inlineStr">
        <is>
          <t>market for electricity, medium voltage</t>
        </is>
      </c>
      <c r="B768" t="n">
        <v>2.134004172867707e-06</v>
      </c>
      <c r="C768" t="inlineStr">
        <is>
          <t>GA</t>
        </is>
      </c>
      <c r="D768" t="inlineStr">
        <is>
          <t>kilowatt hour</t>
        </is>
      </c>
      <c r="F768" t="inlineStr">
        <is>
          <t>technosphere</t>
        </is>
      </c>
      <c r="G768" t="inlineStr">
        <is>
          <t>electricity, medium voltage</t>
        </is>
      </c>
      <c r="H768"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
For the RoW dataset, the output variables from REMIND were for all locations with a lci dataset were substracted from the World dataset. This represents the RoW dataset. The electricity usage per region is determined by multiplying the total RoW electricity per tkm consumption with the shares electricity of the regions contained in the RoW ecoinvent dataset.</t>
        </is>
      </c>
    </row>
    <row r="769">
      <c r="A769" t="inlineStr">
        <is>
          <t>market for electricity, medium voltage</t>
        </is>
      </c>
      <c r="B769" t="n">
        <v>9.966961088865104e-06</v>
      </c>
      <c r="C769" t="inlineStr">
        <is>
          <t>GE</t>
        </is>
      </c>
      <c r="D769" t="inlineStr">
        <is>
          <t>kilowatt hour</t>
        </is>
      </c>
      <c r="F769" t="inlineStr">
        <is>
          <t>technosphere</t>
        </is>
      </c>
      <c r="G769" t="inlineStr">
        <is>
          <t>electricity, medium voltage</t>
        </is>
      </c>
      <c r="H769"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
For the RoW dataset, the output variables from REMIND were for all locations with a lci dataset were substracted from the World dataset. This represents the RoW dataset. The electricity usage per region is determined by multiplying the total RoW electricity per tkm consumption with the shares electricity of the regions contained in the RoW ecoinvent dataset.</t>
        </is>
      </c>
    </row>
    <row r="770">
      <c r="A770" t="inlineStr">
        <is>
          <t>market for electricity, medium voltage</t>
        </is>
      </c>
      <c r="B770" t="n">
        <v>1.287664750968246e-05</v>
      </c>
      <c r="C770" t="inlineStr">
        <is>
          <t>GH</t>
        </is>
      </c>
      <c r="D770" t="inlineStr">
        <is>
          <t>kilowatt hour</t>
        </is>
      </c>
      <c r="F770" t="inlineStr">
        <is>
          <t>technosphere</t>
        </is>
      </c>
      <c r="G770" t="inlineStr">
        <is>
          <t>electricity, medium voltage</t>
        </is>
      </c>
      <c r="H770"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
For the RoW dataset, the output variables from REMIND were for all locations with a lci dataset were substracted from the World dataset. This represents the RoW dataset. The electricity usage per region is determined by multiplying the total RoW electricity per tkm consumption with the shares electricity of the regions contained in the RoW ecoinvent dataset.</t>
        </is>
      </c>
    </row>
    <row r="771">
      <c r="A771" t="inlineStr">
        <is>
          <t>market for electricity, medium voltage</t>
        </is>
      </c>
      <c r="B771" t="n">
        <v>4.221880130379061e-05</v>
      </c>
      <c r="C771" t="inlineStr">
        <is>
          <t>HK</t>
        </is>
      </c>
      <c r="D771" t="inlineStr">
        <is>
          <t>kilowatt hour</t>
        </is>
      </c>
      <c r="F771" t="inlineStr">
        <is>
          <t>technosphere</t>
        </is>
      </c>
      <c r="G771" t="inlineStr">
        <is>
          <t>electricity, medium voltage</t>
        </is>
      </c>
      <c r="H771"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
For the RoW dataset, the output variables from REMIND were for all locations with a lci dataset were substracted from the World dataset. This represents the RoW dataset. The electricity usage per region is determined by multiplying the total RoW electricity per tkm consumption with the shares electricity of the regions contained in the RoW ecoinvent dataset.</t>
        </is>
      </c>
    </row>
    <row r="772">
      <c r="A772" t="inlineStr">
        <is>
          <t>market for electricity, medium voltage</t>
        </is>
      </c>
      <c r="B772" t="n">
        <v>0.0001555696737493784</v>
      </c>
      <c r="C772" t="inlineStr">
        <is>
          <t>ID</t>
        </is>
      </c>
      <c r="D772" t="inlineStr">
        <is>
          <t>kilowatt hour</t>
        </is>
      </c>
      <c r="F772" t="inlineStr">
        <is>
          <t>technosphere</t>
        </is>
      </c>
      <c r="G772" t="inlineStr">
        <is>
          <t>electricity, medium voltage</t>
        </is>
      </c>
      <c r="H772"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
For the RoW dataset, the output variables from REMIND were for all locations with a lci dataset were substracted from the World dataset. This represents the RoW dataset. The electricity usage per region is determined by multiplying the total RoW electricity per tkm consumption with the shares electricity of the regions contained in the RoW ecoinvent dataset.</t>
        </is>
      </c>
    </row>
    <row r="773">
      <c r="A773" t="inlineStr">
        <is>
          <t>market for electricity, medium voltage</t>
        </is>
      </c>
      <c r="B773" t="n">
        <v>5.07993332354333e-05</v>
      </c>
      <c r="C773" t="inlineStr">
        <is>
          <t>IL</t>
        </is>
      </c>
      <c r="D773" t="inlineStr">
        <is>
          <t>kilowatt hour</t>
        </is>
      </c>
      <c r="F773" t="inlineStr">
        <is>
          <t>technosphere</t>
        </is>
      </c>
      <c r="G773" t="inlineStr">
        <is>
          <t>electricity, medium voltage</t>
        </is>
      </c>
      <c r="H773"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
For the RoW dataset, the output variables from REMIND were for all locations with a lci dataset were substracted from the World dataset. This represents the RoW dataset. The electricity usage per region is determined by multiplying the total RoW electricity per tkm consumption with the shares electricity of the regions contained in the RoW ecoinvent dataset.</t>
        </is>
      </c>
    </row>
    <row r="774">
      <c r="A774" t="inlineStr">
        <is>
          <t>market for electricity, medium voltage</t>
        </is>
      </c>
      <c r="B774" t="n">
        <v>1.423735886511755e-05</v>
      </c>
      <c r="C774" t="inlineStr">
        <is>
          <t>JO</t>
        </is>
      </c>
      <c r="D774" t="inlineStr">
        <is>
          <t>kilowatt hour</t>
        </is>
      </c>
      <c r="F774" t="inlineStr">
        <is>
          <t>technosphere</t>
        </is>
      </c>
      <c r="G774" t="inlineStr">
        <is>
          <t>electricity, medium voltage</t>
        </is>
      </c>
      <c r="H774"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
For the RoW dataset, the output variables from REMIND were for all locations with a lci dataset were substracted from the World dataset. This represents the RoW dataset. The electricity usage per region is determined by multiplying the total RoW electricity per tkm consumption with the shares electricity of the regions contained in the RoW ecoinvent dataset.</t>
        </is>
      </c>
    </row>
    <row r="775">
      <c r="A775" t="inlineStr">
        <is>
          <t>market for electricity, medium voltage</t>
        </is>
      </c>
      <c r="B775" t="n">
        <v>0.0007423902680077739</v>
      </c>
      <c r="C775" t="inlineStr">
        <is>
          <t>JP</t>
        </is>
      </c>
      <c r="D775" t="inlineStr">
        <is>
          <t>kilowatt hour</t>
        </is>
      </c>
      <c r="F775" t="inlineStr">
        <is>
          <t>technosphere</t>
        </is>
      </c>
      <c r="G775" t="inlineStr">
        <is>
          <t>electricity, medium voltage</t>
        </is>
      </c>
      <c r="H775"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
For the RoW dataset, the output variables from REMIND were for all locations with a lci dataset were substracted from the World dataset. This represents the RoW dataset. The electricity usage per region is determined by multiplying the total RoW electricity per tkm consumption with the shares electricity of the regions contained in the RoW ecoinvent dataset.</t>
        </is>
      </c>
    </row>
    <row r="776">
      <c r="A776" t="inlineStr">
        <is>
          <t>market for electricity, medium voltage</t>
        </is>
      </c>
      <c r="B776" t="n">
        <v>8.163014842487585e-06</v>
      </c>
      <c r="C776" t="inlineStr">
        <is>
          <t>KE</t>
        </is>
      </c>
      <c r="D776" t="inlineStr">
        <is>
          <t>kilowatt hour</t>
        </is>
      </c>
      <c r="F776" t="inlineStr">
        <is>
          <t>technosphere</t>
        </is>
      </c>
      <c r="G776" t="inlineStr">
        <is>
          <t>electricity, medium voltage</t>
        </is>
      </c>
      <c r="H776"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
For the RoW dataset, the output variables from REMIND were for all locations with a lci dataset were substracted from the World dataset. This represents the RoW dataset. The electricity usage per region is determined by multiplying the total RoW electricity per tkm consumption with the shares electricity of the regions contained in the RoW ecoinvent dataset.</t>
        </is>
      </c>
    </row>
    <row r="777">
      <c r="A777" t="inlineStr">
        <is>
          <t>market for electricity, medium voltage</t>
        </is>
      </c>
      <c r="B777" t="n">
        <v>1.255558685679382e-05</v>
      </c>
      <c r="C777" t="inlineStr">
        <is>
          <t>KG</t>
        </is>
      </c>
      <c r="D777" t="inlineStr">
        <is>
          <t>kilowatt hour</t>
        </is>
      </c>
      <c r="F777" t="inlineStr">
        <is>
          <t>technosphere</t>
        </is>
      </c>
      <c r="G777" t="inlineStr">
        <is>
          <t>electricity, medium voltage</t>
        </is>
      </c>
      <c r="H777"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
For the RoW dataset, the output variables from REMIND were for all locations with a lci dataset were substracted from the World dataset. This represents the RoW dataset. The electricity usage per region is determined by multiplying the total RoW electricity per tkm consumption with the shares electricity of the regions contained in the RoW ecoinvent dataset.</t>
        </is>
      </c>
    </row>
    <row r="778">
      <c r="A778" t="inlineStr">
        <is>
          <t>market for electricity, medium voltage</t>
        </is>
      </c>
      <c r="B778" t="n">
        <v>9.874892334507632e-06</v>
      </c>
      <c r="C778" t="inlineStr">
        <is>
          <t>KH</t>
        </is>
      </c>
      <c r="D778" t="inlineStr">
        <is>
          <t>kilowatt hour</t>
        </is>
      </c>
      <c r="F778" t="inlineStr">
        <is>
          <t>technosphere</t>
        </is>
      </c>
      <c r="G778" t="inlineStr">
        <is>
          <t>electricity, medium voltage</t>
        </is>
      </c>
      <c r="H778"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
For the RoW dataset, the output variables from REMIND were for all locations with a lci dataset were substracted from the World dataset. This represents the RoW dataset. The electricity usage per region is determined by multiplying the total RoW electricity per tkm consumption with the shares electricity of the regions contained in the RoW ecoinvent dataset.</t>
        </is>
      </c>
    </row>
    <row r="779">
      <c r="A779" t="inlineStr">
        <is>
          <t>market for electricity, medium voltage</t>
        </is>
      </c>
      <c r="B779" t="n">
        <v>1.12667851315308e-05</v>
      </c>
      <c r="C779" t="inlineStr">
        <is>
          <t>KP</t>
        </is>
      </c>
      <c r="D779" t="inlineStr">
        <is>
          <t>kilowatt hour</t>
        </is>
      </c>
      <c r="F779" t="inlineStr">
        <is>
          <t>technosphere</t>
        </is>
      </c>
      <c r="G779" t="inlineStr">
        <is>
          <t>electricity, medium voltage</t>
        </is>
      </c>
      <c r="H779"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
For the RoW dataset, the output variables from REMIND were for all locations with a lci dataset were substracted from the World dataset. This represents the RoW dataset. The electricity usage per region is determined by multiplying the total RoW electricity per tkm consumption with the shares electricity of the regions contained in the RoW ecoinvent dataset.</t>
        </is>
      </c>
    </row>
    <row r="780">
      <c r="A780" t="inlineStr">
        <is>
          <t>market for electricity, medium voltage</t>
        </is>
      </c>
      <c r="B780" t="n">
        <v>0.0004637731940411153</v>
      </c>
      <c r="C780" t="inlineStr">
        <is>
          <t>KR</t>
        </is>
      </c>
      <c r="D780" t="inlineStr">
        <is>
          <t>kilowatt hour</t>
        </is>
      </c>
      <c r="F780" t="inlineStr">
        <is>
          <t>technosphere</t>
        </is>
      </c>
      <c r="G780" t="inlineStr">
        <is>
          <t>electricity, medium voltage</t>
        </is>
      </c>
      <c r="H780"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
For the RoW dataset, the output variables from REMIND were for all locations with a lci dataset were substracted from the World dataset. This represents the RoW dataset. The electricity usage per region is determined by multiplying the total RoW electricity per tkm consumption with the shares electricity of the regions contained in the RoW ecoinvent dataset.</t>
        </is>
      </c>
    </row>
    <row r="781">
      <c r="A781" t="inlineStr">
        <is>
          <t>market for electricity, medium voltage</t>
        </is>
      </c>
      <c r="B781" t="n">
        <v>8.626396865379918e-05</v>
      </c>
      <c r="C781" t="inlineStr">
        <is>
          <t>KZ</t>
        </is>
      </c>
      <c r="D781" t="inlineStr">
        <is>
          <t>kilowatt hour</t>
        </is>
      </c>
      <c r="F781" t="inlineStr">
        <is>
          <t>technosphere</t>
        </is>
      </c>
      <c r="G781" t="inlineStr">
        <is>
          <t>electricity, medium voltage</t>
        </is>
      </c>
      <c r="H781"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
For the RoW dataset, the output variables from REMIND were for all locations with a lci dataset were substracted from the World dataset. This represents the RoW dataset. The electricity usage per region is determined by multiplying the total RoW electricity per tkm consumption with the shares electricity of the regions contained in the RoW ecoinvent dataset.</t>
        </is>
      </c>
    </row>
    <row r="782">
      <c r="A782" t="inlineStr">
        <is>
          <t>market for electricity, medium voltage</t>
        </is>
      </c>
      <c r="B782" t="n">
        <v>1.208633560177401e-05</v>
      </c>
      <c r="C782" t="inlineStr">
        <is>
          <t>LB</t>
        </is>
      </c>
      <c r="D782" t="inlineStr">
        <is>
          <t>kilowatt hour</t>
        </is>
      </c>
      <c r="F782" t="inlineStr">
        <is>
          <t>technosphere</t>
        </is>
      </c>
      <c r="G782" t="inlineStr">
        <is>
          <t>electricity, medium voltage</t>
        </is>
      </c>
      <c r="H782"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
For the RoW dataset, the output variables from REMIND were for all locations with a lci dataset were substracted from the World dataset. This represents the RoW dataset. The electricity usage per region is determined by multiplying the total RoW electricity per tkm consumption with the shares electricity of the regions contained in the RoW ecoinvent dataset.</t>
        </is>
      </c>
    </row>
    <row r="783">
      <c r="A783" t="inlineStr">
        <is>
          <t>market for electricity, medium voltage</t>
        </is>
      </c>
      <c r="B783" t="n">
        <v>1.26745666055275e-05</v>
      </c>
      <c r="C783" t="inlineStr">
        <is>
          <t>LK</t>
        </is>
      </c>
      <c r="D783" t="inlineStr">
        <is>
          <t>kilowatt hour</t>
        </is>
      </c>
      <c r="F783" t="inlineStr">
        <is>
          <t>technosphere</t>
        </is>
      </c>
      <c r="G783" t="inlineStr">
        <is>
          <t>electricity, medium voltage</t>
        </is>
      </c>
      <c r="H783"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
For the RoW dataset, the output variables from REMIND were for all locations with a lci dataset were substracted from the World dataset. This represents the RoW dataset. The electricity usage per region is determined by multiplying the total RoW electricity per tkm consumption with the shares electricity of the regions contained in the RoW ecoinvent dataset.</t>
        </is>
      </c>
    </row>
    <row r="784">
      <c r="A784" t="inlineStr">
        <is>
          <t>market for electricity, medium voltage</t>
        </is>
      </c>
      <c r="B784" t="n">
        <v>2.641163678144321e-05</v>
      </c>
      <c r="C784" t="inlineStr">
        <is>
          <t>LY</t>
        </is>
      </c>
      <c r="D784" t="inlineStr">
        <is>
          <t>kilowatt hour</t>
        </is>
      </c>
      <c r="F784" t="inlineStr">
        <is>
          <t>technosphere</t>
        </is>
      </c>
      <c r="G784" t="inlineStr">
        <is>
          <t>electricity, medium voltage</t>
        </is>
      </c>
      <c r="H784"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
For the RoW dataset, the output variables from REMIND were for all locations with a lci dataset were substracted from the World dataset. This represents the RoW dataset. The electricity usage per region is determined by multiplying the total RoW electricity per tkm consumption with the shares electricity of the regions contained in the RoW ecoinvent dataset.</t>
        </is>
      </c>
    </row>
    <row r="785">
      <c r="A785" t="inlineStr">
        <is>
          <t>market for electricity, medium voltage</t>
        </is>
      </c>
      <c r="B785" t="n">
        <v>3.08519378643591e-05</v>
      </c>
      <c r="C785" t="inlineStr">
        <is>
          <t>MA</t>
        </is>
      </c>
      <c r="D785" t="inlineStr">
        <is>
          <t>kilowatt hour</t>
        </is>
      </c>
      <c r="F785" t="inlineStr">
        <is>
          <t>technosphere</t>
        </is>
      </c>
      <c r="G785" t="inlineStr">
        <is>
          <t>electricity, medium voltage</t>
        </is>
      </c>
      <c r="H785"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
For the RoW dataset, the output variables from REMIND were for all locations with a lci dataset were substracted from the World dataset. This represents the RoW dataset. The electricity usage per region is determined by multiplying the total RoW electricity per tkm consumption with the shares electricity of the regions contained in the RoW ecoinvent dataset.</t>
        </is>
      </c>
    </row>
    <row r="786">
      <c r="A786" t="inlineStr">
        <is>
          <t>market for electricity, medium voltage</t>
        </is>
      </c>
      <c r="B786" t="n">
        <v>1.891109867296728e-05</v>
      </c>
      <c r="C786" t="inlineStr">
        <is>
          <t>MM</t>
        </is>
      </c>
      <c r="D786" t="inlineStr">
        <is>
          <t>kilowatt hour</t>
        </is>
      </c>
      <c r="F786" t="inlineStr">
        <is>
          <t>technosphere</t>
        </is>
      </c>
      <c r="G786" t="inlineStr">
        <is>
          <t>electricity, medium voltage</t>
        </is>
      </c>
      <c r="H786"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
For the RoW dataset, the output variables from REMIND were for all locations with a lci dataset were substracted from the World dataset. This represents the RoW dataset. The electricity usage per region is determined by multiplying the total RoW electricity per tkm consumption with the shares electricity of the regions contained in the RoW ecoinvent dataset.</t>
        </is>
      </c>
    </row>
    <row r="787">
      <c r="A787" t="inlineStr">
        <is>
          <t>market for electricity, medium voltage</t>
        </is>
      </c>
      <c r="B787" t="n">
        <v>7.055551568093995e-06</v>
      </c>
      <c r="C787" t="inlineStr">
        <is>
          <t>MN</t>
        </is>
      </c>
      <c r="D787" t="inlineStr">
        <is>
          <t>kilowatt hour</t>
        </is>
      </c>
      <c r="F787" t="inlineStr">
        <is>
          <t>technosphere</t>
        </is>
      </c>
      <c r="G787" t="inlineStr">
        <is>
          <t>electricity, medium voltage</t>
        </is>
      </c>
      <c r="H787"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
For the RoW dataset, the output variables from REMIND were for all locations with a lci dataset were substracted from the World dataset. This represents the RoW dataset. The electricity usage per region is determined by multiplying the total RoW electricity per tkm consumption with the shares electricity of the regions contained in the RoW ecoinvent dataset.</t>
        </is>
      </c>
    </row>
    <row r="788">
      <c r="A788" t="inlineStr">
        <is>
          <t>market for electricity, medium voltage</t>
        </is>
      </c>
      <c r="B788" t="n">
        <v>1.226725073858452e-06</v>
      </c>
      <c r="C788" t="inlineStr">
        <is>
          <t>MU</t>
        </is>
      </c>
      <c r="D788" t="inlineStr">
        <is>
          <t>kilowatt hour</t>
        </is>
      </c>
      <c r="F788" t="inlineStr">
        <is>
          <t>technosphere</t>
        </is>
      </c>
      <c r="G788" t="inlineStr">
        <is>
          <t>electricity, medium voltage</t>
        </is>
      </c>
      <c r="H788"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
For the RoW dataset, the output variables from REMIND were for all locations with a lci dataset were substracted from the World dataset. This represents the RoW dataset. The electricity usage per region is determined by multiplying the total RoW electricity per tkm consumption with the shares electricity of the regions contained in the RoW ecoinvent dataset.</t>
        </is>
      </c>
    </row>
    <row r="789">
      <c r="A789" t="inlineStr">
        <is>
          <t>market for electricity, medium voltage</t>
        </is>
      </c>
      <c r="B789" t="n">
        <v>0.0001392635560142288</v>
      </c>
      <c r="C789" t="inlineStr">
        <is>
          <t>MY</t>
        </is>
      </c>
      <c r="D789" t="inlineStr">
        <is>
          <t>kilowatt hour</t>
        </is>
      </c>
      <c r="F789" t="inlineStr">
        <is>
          <t>technosphere</t>
        </is>
      </c>
      <c r="G789" t="inlineStr">
        <is>
          <t>electricity, medium voltage</t>
        </is>
      </c>
      <c r="H789"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
For the RoW dataset, the output variables from REMIND were for all locations with a lci dataset were substracted from the World dataset. This represents the RoW dataset. The electricity usage per region is determined by multiplying the total RoW electricity per tkm consumption with the shares electricity of the regions contained in the RoW ecoinvent dataset.</t>
        </is>
      </c>
    </row>
    <row r="790">
      <c r="A790" t="inlineStr">
        <is>
          <t>market for electricity, medium voltage</t>
        </is>
      </c>
      <c r="B790" t="n">
        <v>1.334709126214483e-05</v>
      </c>
      <c r="C790" t="inlineStr">
        <is>
          <t>MZ</t>
        </is>
      </c>
      <c r="D790" t="inlineStr">
        <is>
          <t>kilowatt hour</t>
        </is>
      </c>
      <c r="F790" t="inlineStr">
        <is>
          <t>technosphere</t>
        </is>
      </c>
      <c r="G790" t="inlineStr">
        <is>
          <t>electricity, medium voltage</t>
        </is>
      </c>
      <c r="H790"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
For the RoW dataset, the output variables from REMIND were for all locations with a lci dataset were substracted from the World dataset. This represents the RoW dataset. The electricity usage per region is determined by multiplying the total RoW electricity per tkm consumption with the shares electricity of the regions contained in the RoW ecoinvent dataset.</t>
        </is>
      </c>
    </row>
    <row r="791">
      <c r="A791" t="inlineStr">
        <is>
          <t>market for electricity, medium voltage</t>
        </is>
      </c>
      <c r="B791" t="n">
        <v>3.835048340692002e-06</v>
      </c>
      <c r="C791" t="inlineStr">
        <is>
          <t>NA</t>
        </is>
      </c>
      <c r="D791" t="inlineStr">
        <is>
          <t>kilowatt hour</t>
        </is>
      </c>
      <c r="F791" t="inlineStr">
        <is>
          <t>technosphere</t>
        </is>
      </c>
      <c r="G791" t="inlineStr">
        <is>
          <t>electricity, medium voltage</t>
        </is>
      </c>
      <c r="H791"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
For the RoW dataset, the output variables from REMIND were for all locations with a lci dataset were substracted from the World dataset. This represents the RoW dataset. The electricity usage per region is determined by multiplying the total RoW electricity per tkm consumption with the shares electricity of the regions contained in the RoW ecoinvent dataset.</t>
        </is>
      </c>
    </row>
    <row r="792">
      <c r="A792" t="inlineStr">
        <is>
          <t>market for electricity, medium voltage</t>
        </is>
      </c>
      <c r="B792" t="n">
        <v>1.234826944779604e-06</v>
      </c>
      <c r="C792" t="inlineStr">
        <is>
          <t>NE</t>
        </is>
      </c>
      <c r="D792" t="inlineStr">
        <is>
          <t>kilowatt hour</t>
        </is>
      </c>
      <c r="F792" t="inlineStr">
        <is>
          <t>technosphere</t>
        </is>
      </c>
      <c r="G792" t="inlineStr">
        <is>
          <t>electricity, medium voltage</t>
        </is>
      </c>
      <c r="H792"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
For the RoW dataset, the output variables from REMIND were for all locations with a lci dataset were substracted from the World dataset. This represents the RoW dataset. The electricity usage per region is determined by multiplying the total RoW electricity per tkm consumption with the shares electricity of the regions contained in the RoW ecoinvent dataset.</t>
        </is>
      </c>
    </row>
    <row r="793">
      <c r="A793" t="inlineStr">
        <is>
          <t>market for electricity, medium voltage</t>
        </is>
      </c>
      <c r="B793" t="n">
        <v>2.083678760811087e-05</v>
      </c>
      <c r="C793" t="inlineStr">
        <is>
          <t>NG</t>
        </is>
      </c>
      <c r="D793" t="inlineStr">
        <is>
          <t>kilowatt hour</t>
        </is>
      </c>
      <c r="F793" t="inlineStr">
        <is>
          <t>technosphere</t>
        </is>
      </c>
      <c r="G793" t="inlineStr">
        <is>
          <t>electricity, medium voltage</t>
        </is>
      </c>
      <c r="H793"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
For the RoW dataset, the output variables from REMIND were for all locations with a lci dataset were substracted from the World dataset. This represents the RoW dataset. The electricity usage per region is determined by multiplying the total RoW electricity per tkm consumption with the shares electricity of the regions contained in the RoW ecoinvent dataset.</t>
        </is>
      </c>
    </row>
    <row r="794">
      <c r="A794" t="inlineStr">
        <is>
          <t>market for electricity, medium voltage</t>
        </is>
      </c>
      <c r="B794" t="n">
        <v>6.461825087159578e-06</v>
      </c>
      <c r="C794" t="inlineStr">
        <is>
          <t>NP</t>
        </is>
      </c>
      <c r="D794" t="inlineStr">
        <is>
          <t>kilowatt hour</t>
        </is>
      </c>
      <c r="F794" t="inlineStr">
        <is>
          <t>technosphere</t>
        </is>
      </c>
      <c r="G794" t="inlineStr">
        <is>
          <t>electricity, medium voltage</t>
        </is>
      </c>
      <c r="H794"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
For the RoW dataset, the output variables from REMIND were for all locations with a lci dataset were substracted from the World dataset. This represents the RoW dataset. The electricity usage per region is determined by multiplying the total RoW electricity per tkm consumption with the shares electricity of the regions contained in the RoW ecoinvent dataset.</t>
        </is>
      </c>
    </row>
    <row r="795">
      <c r="A795" t="inlineStr">
        <is>
          <t>market for electricity, medium voltage</t>
        </is>
      </c>
      <c r="B795" t="n">
        <v>3.72264224567331e-05</v>
      </c>
      <c r="C795" t="inlineStr">
        <is>
          <t>NZ</t>
        </is>
      </c>
      <c r="D795" t="inlineStr">
        <is>
          <t>kilowatt hour</t>
        </is>
      </c>
      <c r="F795" t="inlineStr">
        <is>
          <t>technosphere</t>
        </is>
      </c>
      <c r="G795" t="inlineStr">
        <is>
          <t>electricity, medium voltage</t>
        </is>
      </c>
      <c r="H795"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
For the RoW dataset, the output variables from REMIND were for all locations with a lci dataset were substracted from the World dataset. This represents the RoW dataset. The electricity usage per region is determined by multiplying the total RoW electricity per tkm consumption with the shares electricity of the regions contained in the RoW ecoinvent dataset.</t>
        </is>
      </c>
    </row>
    <row r="796">
      <c r="A796" t="inlineStr">
        <is>
          <t>market for electricity, medium voltage</t>
        </is>
      </c>
      <c r="B796" t="n">
        <v>3.126730662183882e-05</v>
      </c>
      <c r="C796" t="inlineStr">
        <is>
          <t>OM</t>
        </is>
      </c>
      <c r="D796" t="inlineStr">
        <is>
          <t>kilowatt hour</t>
        </is>
      </c>
      <c r="F796" t="inlineStr">
        <is>
          <t>technosphere</t>
        </is>
      </c>
      <c r="G796" t="inlineStr">
        <is>
          <t>electricity, medium voltage</t>
        </is>
      </c>
      <c r="H796"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
For the RoW dataset, the output variables from REMIND were for all locations with a lci dataset were substracted from the World dataset. This represents the RoW dataset. The electricity usage per region is determined by multiplying the total RoW electricity per tkm consumption with the shares electricity of the regions contained in the RoW ecoinvent dataset.</t>
        </is>
      </c>
    </row>
    <row r="797">
      <c r="A797" t="inlineStr">
        <is>
          <t>market for electricity, medium voltage</t>
        </is>
      </c>
      <c r="B797" t="n">
        <v>8.579461962860323e-05</v>
      </c>
      <c r="C797" t="inlineStr">
        <is>
          <t>PH</t>
        </is>
      </c>
      <c r="D797" t="inlineStr">
        <is>
          <t>kilowatt hour</t>
        </is>
      </c>
      <c r="F797" t="inlineStr">
        <is>
          <t>technosphere</t>
        </is>
      </c>
      <c r="G797" t="inlineStr">
        <is>
          <t>electricity, medium voltage</t>
        </is>
      </c>
      <c r="H797"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
For the RoW dataset, the output variables from REMIND were for all locations with a lci dataset were substracted from the World dataset. This represents the RoW dataset. The electricity usage per region is determined by multiplying the total RoW electricity per tkm consumption with the shares electricity of the regions contained in the RoW ecoinvent dataset.</t>
        </is>
      </c>
    </row>
    <row r="798">
      <c r="A798" t="inlineStr">
        <is>
          <t>market for electricity, medium voltage</t>
        </is>
      </c>
      <c r="B798" t="n">
        <v>0.0001083788451244271</v>
      </c>
      <c r="C798" t="inlineStr">
        <is>
          <t>PK</t>
        </is>
      </c>
      <c r="D798" t="inlineStr">
        <is>
          <t>kilowatt hour</t>
        </is>
      </c>
      <c r="F798" t="inlineStr">
        <is>
          <t>technosphere</t>
        </is>
      </c>
      <c r="G798" t="inlineStr">
        <is>
          <t>electricity, medium voltage</t>
        </is>
      </c>
      <c r="H798"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
For the RoW dataset, the output variables from REMIND were for all locations with a lci dataset were substracted from the World dataset. This represents the RoW dataset. The electricity usage per region is determined by multiplying the total RoW electricity per tkm consumption with the shares electricity of the regions contained in the RoW ecoinvent dataset.</t>
        </is>
      </c>
    </row>
    <row r="799">
      <c r="A799" t="inlineStr">
        <is>
          <t>market for electricity, medium voltage</t>
        </is>
      </c>
      <c r="B799" t="n">
        <v>1.608654169034391e-06</v>
      </c>
      <c r="C799" t="inlineStr">
        <is>
          <t>QA</t>
        </is>
      </c>
      <c r="D799" t="inlineStr">
        <is>
          <t>kilowatt hour</t>
        </is>
      </c>
      <c r="F799" t="inlineStr">
        <is>
          <t>technosphere</t>
        </is>
      </c>
      <c r="G799" t="inlineStr">
        <is>
          <t>electricity, medium voltage</t>
        </is>
      </c>
      <c r="H799"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
For the RoW dataset, the output variables from REMIND were for all locations with a lci dataset were substracted from the World dataset. This represents the RoW dataset. The electricity usage per region is determined by multiplying the total RoW electricity per tkm consumption with the shares electricity of the regions contained in the RoW ecoinvent dataset.</t>
        </is>
      </c>
    </row>
    <row r="800">
      <c r="A800" t="inlineStr">
        <is>
          <t>market for electricity, medium voltage</t>
        </is>
      </c>
      <c r="B800" t="n">
        <v>1.372211982925193e-05</v>
      </c>
      <c r="C800" t="inlineStr">
        <is>
          <t>SD</t>
        </is>
      </c>
      <c r="D800" t="inlineStr">
        <is>
          <t>kilowatt hour</t>
        </is>
      </c>
      <c r="F800" t="inlineStr">
        <is>
          <t>technosphere</t>
        </is>
      </c>
      <c r="G800" t="inlineStr">
        <is>
          <t>electricity, medium voltage</t>
        </is>
      </c>
      <c r="H800"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
For the RoW dataset, the output variables from REMIND were for all locations with a lci dataset were substracted from the World dataset. This represents the RoW dataset. The electricity usage per region is determined by multiplying the total RoW electricity per tkm consumption with the shares electricity of the regions contained in the RoW ecoinvent dataset.</t>
        </is>
      </c>
    </row>
    <row r="801">
      <c r="A801" t="inlineStr">
        <is>
          <t>market for electricity, medium voltage</t>
        </is>
      </c>
      <c r="B801" t="n">
        <v>4.009513439066823e-05</v>
      </c>
      <c r="C801" t="inlineStr">
        <is>
          <t>SG</t>
        </is>
      </c>
      <c r="D801" t="inlineStr">
        <is>
          <t>kilowatt hour</t>
        </is>
      </c>
      <c r="F801" t="inlineStr">
        <is>
          <t>technosphere</t>
        </is>
      </c>
      <c r="G801" t="inlineStr">
        <is>
          <t>electricity, medium voltage</t>
        </is>
      </c>
      <c r="H801"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
For the RoW dataset, the output variables from REMIND were for all locations with a lci dataset were substracted from the World dataset. This represents the RoW dataset. The electricity usage per region is determined by multiplying the total RoW electricity per tkm consumption with the shares electricity of the regions contained in the RoW ecoinvent dataset.</t>
        </is>
      </c>
    </row>
    <row r="802">
      <c r="A802" t="inlineStr">
        <is>
          <t>market for electricity, medium voltage</t>
        </is>
      </c>
      <c r="B802" t="n">
        <v>3.439635997520989e-06</v>
      </c>
      <c r="C802" t="inlineStr">
        <is>
          <t>SN</t>
        </is>
      </c>
      <c r="D802" t="inlineStr">
        <is>
          <t>kilowatt hour</t>
        </is>
      </c>
      <c r="F802" t="inlineStr">
        <is>
          <t>technosphere</t>
        </is>
      </c>
      <c r="G802" t="inlineStr">
        <is>
          <t>electricity, medium voltage</t>
        </is>
      </c>
      <c r="H802"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
For the RoW dataset, the output variables from REMIND were for all locations with a lci dataset were substracted from the World dataset. This represents the RoW dataset. The electricity usage per region is determined by multiplying the total RoW electricity per tkm consumption with the shares electricity of the regions contained in the RoW ecoinvent dataset.</t>
        </is>
      </c>
    </row>
    <row r="803">
      <c r="A803" t="inlineStr">
        <is>
          <t>market for electricity, medium voltage</t>
        </is>
      </c>
      <c r="B803" t="n">
        <v>4.591808878744607e-07</v>
      </c>
      <c r="C803" t="inlineStr">
        <is>
          <t>SS</t>
        </is>
      </c>
      <c r="D803" t="inlineStr">
        <is>
          <t>kilowatt hour</t>
        </is>
      </c>
      <c r="F803" t="inlineStr">
        <is>
          <t>technosphere</t>
        </is>
      </c>
      <c r="G803" t="inlineStr">
        <is>
          <t>electricity, medium voltage</t>
        </is>
      </c>
      <c r="H803"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
For the RoW dataset, the output variables from REMIND were for all locations with a lci dataset were substracted from the World dataset. This represents the RoW dataset. The electricity usage per region is determined by multiplying the total RoW electricity per tkm consumption with the shares electricity of the regions contained in the RoW ecoinvent dataset.</t>
        </is>
      </c>
    </row>
    <row r="804">
      <c r="A804" t="inlineStr">
        <is>
          <t>market for electricity, medium voltage</t>
        </is>
      </c>
      <c r="B804" t="n">
        <v>1.27672596763244e-05</v>
      </c>
      <c r="C804" t="inlineStr">
        <is>
          <t>SY</t>
        </is>
      </c>
      <c r="D804" t="inlineStr">
        <is>
          <t>kilowatt hour</t>
        </is>
      </c>
      <c r="F804" t="inlineStr">
        <is>
          <t>technosphere</t>
        </is>
      </c>
      <c r="G804" t="inlineStr">
        <is>
          <t>electricity, medium voltage</t>
        </is>
      </c>
      <c r="H804"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
For the RoW dataset, the output variables from REMIND were for all locations with a lci dataset were substracted from the World dataset. This represents the RoW dataset. The electricity usage per region is determined by multiplying the total RoW electricity per tkm consumption with the shares electricity of the regions contained in the RoW ecoinvent dataset.</t>
        </is>
      </c>
    </row>
    <row r="805">
      <c r="A805" t="inlineStr">
        <is>
          <t>market for electricity, medium voltage</t>
        </is>
      </c>
      <c r="B805" t="n">
        <v>1.312641986268066e-06</v>
      </c>
      <c r="C805" t="inlineStr">
        <is>
          <t>TG</t>
        </is>
      </c>
      <c r="D805" t="inlineStr">
        <is>
          <t>kilowatt hour</t>
        </is>
      </c>
      <c r="F805" t="inlineStr">
        <is>
          <t>technosphere</t>
        </is>
      </c>
      <c r="G805" t="inlineStr">
        <is>
          <t>electricity, medium voltage</t>
        </is>
      </c>
      <c r="H805"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
For the RoW dataset, the output variables from REMIND were for all locations with a lci dataset were substracted from the World dataset. This represents the RoW dataset. The electricity usage per region is determined by multiplying the total RoW electricity per tkm consumption with the shares electricity of the regions contained in the RoW ecoinvent dataset.</t>
        </is>
      </c>
    </row>
    <row r="806">
      <c r="A806" t="inlineStr">
        <is>
          <t>market for electricity, medium voltage</t>
        </is>
      </c>
      <c r="B806" t="n">
        <v>9.77666218959612e-05</v>
      </c>
      <c r="C806" t="inlineStr">
        <is>
          <t>TH</t>
        </is>
      </c>
      <c r="D806" t="inlineStr">
        <is>
          <t>kilowatt hour</t>
        </is>
      </c>
      <c r="F806" t="inlineStr">
        <is>
          <t>technosphere</t>
        </is>
      </c>
      <c r="G806" t="inlineStr">
        <is>
          <t>electricity, medium voltage</t>
        </is>
      </c>
      <c r="H806"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
For the RoW dataset, the output variables from REMIND were for all locations with a lci dataset were substracted from the World dataset. This represents the RoW dataset. The electricity usage per region is determined by multiplying the total RoW electricity per tkm consumption with the shares electricity of the regions contained in the RoW ecoinvent dataset.</t>
        </is>
      </c>
    </row>
    <row r="807">
      <c r="A807" t="inlineStr">
        <is>
          <t>market for electricity, medium voltage</t>
        </is>
      </c>
      <c r="B807" t="n">
        <v>1.501431299178219e-05</v>
      </c>
      <c r="C807" t="inlineStr">
        <is>
          <t>TJ</t>
        </is>
      </c>
      <c r="D807" t="inlineStr">
        <is>
          <t>kilowatt hour</t>
        </is>
      </c>
      <c r="F807" t="inlineStr">
        <is>
          <t>technosphere</t>
        </is>
      </c>
      <c r="G807" t="inlineStr">
        <is>
          <t>electricity, medium voltage</t>
        </is>
      </c>
      <c r="H807"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
For the RoW dataset, the output variables from REMIND were for all locations with a lci dataset were substracted from the World dataset. This represents the RoW dataset. The electricity usage per region is determined by multiplying the total RoW electricity per tkm consumption with the shares electricity of the regions contained in the RoW ecoinvent dataset.</t>
        </is>
      </c>
    </row>
    <row r="808">
      <c r="A808" t="inlineStr">
        <is>
          <t>market for electricity, medium voltage</t>
        </is>
      </c>
      <c r="B808" t="n">
        <v>1.51270916944655e-05</v>
      </c>
      <c r="C808" t="inlineStr">
        <is>
          <t>TM</t>
        </is>
      </c>
      <c r="D808" t="inlineStr">
        <is>
          <t>kilowatt hour</t>
        </is>
      </c>
      <c r="F808" t="inlineStr">
        <is>
          <t>technosphere</t>
        </is>
      </c>
      <c r="G808" t="inlineStr">
        <is>
          <t>electricity, medium voltage</t>
        </is>
      </c>
      <c r="H808"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
For the RoW dataset, the output variables from REMIND were for all locations with a lci dataset were substracted from the World dataset. This represents the RoW dataset. The electricity usage per region is determined by multiplying the total RoW electricity per tkm consumption with the shares electricity of the regions contained in the RoW ecoinvent dataset.</t>
        </is>
      </c>
    </row>
    <row r="809">
      <c r="A809" t="inlineStr">
        <is>
          <t>market for electricity, medium voltage</t>
        </is>
      </c>
      <c r="B809" t="n">
        <v>1.601893742398125e-05</v>
      </c>
      <c r="C809" t="inlineStr">
        <is>
          <t>TN</t>
        </is>
      </c>
      <c r="D809" t="inlineStr">
        <is>
          <t>kilowatt hour</t>
        </is>
      </c>
      <c r="F809" t="inlineStr">
        <is>
          <t>technosphere</t>
        </is>
      </c>
      <c r="G809" t="inlineStr">
        <is>
          <t>electricity, medium voltage</t>
        </is>
      </c>
      <c r="H809"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
For the RoW dataset, the output variables from REMIND were for all locations with a lci dataset were substracted from the World dataset. This represents the RoW dataset. The electricity usage per region is determined by multiplying the total RoW electricity per tkm consumption with the shares electricity of the regions contained in the RoW ecoinvent dataset.</t>
        </is>
      </c>
    </row>
    <row r="810">
      <c r="A810" t="inlineStr">
        <is>
          <t>market for electricity, medium voltage</t>
        </is>
      </c>
      <c r="B810" t="n">
        <v>0.0002268106860460978</v>
      </c>
      <c r="C810" t="inlineStr">
        <is>
          <t>TR</t>
        </is>
      </c>
      <c r="D810" t="inlineStr">
        <is>
          <t>kilowatt hour</t>
        </is>
      </c>
      <c r="F810" t="inlineStr">
        <is>
          <t>technosphere</t>
        </is>
      </c>
      <c r="G810" t="inlineStr">
        <is>
          <t>electricity, medium voltage</t>
        </is>
      </c>
      <c r="H810"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
For the RoW dataset, the output variables from REMIND were for all locations with a lci dataset were substracted from the World dataset. This represents the RoW dataset. The electricity usage per region is determined by multiplying the total RoW electricity per tkm consumption with the shares electricity of the regions contained in the RoW ecoinvent dataset.</t>
        </is>
      </c>
    </row>
    <row r="811">
      <c r="A811" t="inlineStr">
        <is>
          <t>market for electricity, medium voltage</t>
        </is>
      </c>
      <c r="B811" t="n">
        <v>0.0001960919552562962</v>
      </c>
      <c r="C811" t="inlineStr">
        <is>
          <t>TW</t>
        </is>
      </c>
      <c r="D811" t="inlineStr">
        <is>
          <t>kilowatt hour</t>
        </is>
      </c>
      <c r="F811" t="inlineStr">
        <is>
          <t>technosphere</t>
        </is>
      </c>
      <c r="G811" t="inlineStr">
        <is>
          <t>electricity, medium voltage</t>
        </is>
      </c>
      <c r="H811"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
For the RoW dataset, the output variables from REMIND were for all locations with a lci dataset were substracted from the World dataset. This represents the RoW dataset. The electricity usage per region is determined by multiplying the total RoW electricity per tkm consumption with the shares electricity of the regions contained in the RoW ecoinvent dataset.</t>
        </is>
      </c>
    </row>
    <row r="812">
      <c r="A812" t="inlineStr">
        <is>
          <t>market for electricity, medium voltage</t>
        </is>
      </c>
      <c r="B812" t="n">
        <v>6.477738344987302e-06</v>
      </c>
      <c r="C812" t="inlineStr">
        <is>
          <t>TZ</t>
        </is>
      </c>
      <c r="D812" t="inlineStr">
        <is>
          <t>kilowatt hour</t>
        </is>
      </c>
      <c r="F812" t="inlineStr">
        <is>
          <t>technosphere</t>
        </is>
      </c>
      <c r="G812" t="inlineStr">
        <is>
          <t>electricity, medium voltage</t>
        </is>
      </c>
      <c r="H812"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
For the RoW dataset, the output variables from REMIND were for all locations with a lci dataset were substracted from the World dataset. This represents the RoW dataset. The electricity usage per region is determined by multiplying the total RoW electricity per tkm consumption with the shares electricity of the regions contained in the RoW ecoinvent dataset.</t>
        </is>
      </c>
    </row>
    <row r="813">
      <c r="A813" t="inlineStr">
        <is>
          <t>market for electricity, medium voltage</t>
        </is>
      </c>
      <c r="B813" t="n">
        <v>5.378148464756251e-05</v>
      </c>
      <c r="C813" t="inlineStr">
        <is>
          <t>UZ</t>
        </is>
      </c>
      <c r="D813" t="inlineStr">
        <is>
          <t>kilowatt hour</t>
        </is>
      </c>
      <c r="F813" t="inlineStr">
        <is>
          <t>technosphere</t>
        </is>
      </c>
      <c r="G813" t="inlineStr">
        <is>
          <t>electricity, medium voltage</t>
        </is>
      </c>
      <c r="H813"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
For the RoW dataset, the output variables from REMIND were for all locations with a lci dataset were substracted from the World dataset. This represents the RoW dataset. The electricity usage per region is determined by multiplying the total RoW electricity per tkm consumption with the shares electricity of the regions contained in the RoW ecoinvent dataset.</t>
        </is>
      </c>
    </row>
    <row r="814">
      <c r="A814" t="inlineStr">
        <is>
          <t>market for electricity, medium voltage</t>
        </is>
      </c>
      <c r="B814" t="n">
        <v>0.0001894679059733505</v>
      </c>
      <c r="C814" t="inlineStr">
        <is>
          <t>VN</t>
        </is>
      </c>
      <c r="D814" t="inlineStr">
        <is>
          <t>kilowatt hour</t>
        </is>
      </c>
      <c r="F814" t="inlineStr">
        <is>
          <t>technosphere</t>
        </is>
      </c>
      <c r="G814" t="inlineStr">
        <is>
          <t>electricity, medium voltage</t>
        </is>
      </c>
      <c r="H814"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
For the RoW dataset, the output variables from REMIND were for all locations with a lci dataset were substracted from the World dataset. This represents the RoW dataset. The electricity usage per region is determined by multiplying the total RoW electricity per tkm consumption with the shares electricity of the regions contained in the RoW ecoinvent dataset.</t>
        </is>
      </c>
    </row>
    <row r="815">
      <c r="A815" t="inlineStr">
        <is>
          <t>market for electricity, medium voltage</t>
        </is>
      </c>
      <c r="B815" t="n">
        <v>2.116503389191211e-06</v>
      </c>
      <c r="C815" t="inlineStr">
        <is>
          <t>YE</t>
        </is>
      </c>
      <c r="D815" t="inlineStr">
        <is>
          <t>kilowatt hour</t>
        </is>
      </c>
      <c r="F815" t="inlineStr">
        <is>
          <t>technosphere</t>
        </is>
      </c>
      <c r="G815" t="inlineStr">
        <is>
          <t>electricity, medium voltage</t>
        </is>
      </c>
      <c r="H815"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
For the RoW dataset, the output variables from REMIND were for all locations with a lci dataset were substracted from the World dataset. This represents the RoW dataset. The electricity usage per region is determined by multiplying the total RoW electricity per tkm consumption with the shares electricity of the regions contained in the RoW ecoinvent dataset.</t>
        </is>
      </c>
    </row>
    <row r="816">
      <c r="A816" t="inlineStr">
        <is>
          <t>market for electricity, medium voltage</t>
        </is>
      </c>
      <c r="B816" t="n">
        <v>1.199530654780401e-05</v>
      </c>
      <c r="C816" t="inlineStr">
        <is>
          <t>ZM</t>
        </is>
      </c>
      <c r="D816" t="inlineStr">
        <is>
          <t>kilowatt hour</t>
        </is>
      </c>
      <c r="F816" t="inlineStr">
        <is>
          <t>technosphere</t>
        </is>
      </c>
      <c r="G816" t="inlineStr">
        <is>
          <t>electricity, medium voltage</t>
        </is>
      </c>
      <c r="H816"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
For the RoW dataset, the output variables from REMIND were for all locations with a lci dataset were substracted from the World dataset. This represents the RoW dataset. The electricity usage per region is determined by multiplying the total RoW electricity per tkm consumption with the shares electricity of the regions contained in the RoW ecoinvent dataset.</t>
        </is>
      </c>
    </row>
    <row r="817">
      <c r="A817" t="inlineStr">
        <is>
          <t>market for electricity, medium voltage</t>
        </is>
      </c>
      <c r="B817" t="n">
        <v>7.075551885466286e-06</v>
      </c>
      <c r="C817" t="inlineStr">
        <is>
          <t>ZW</t>
        </is>
      </c>
      <c r="D817" t="inlineStr">
        <is>
          <t>kilowatt hour</t>
        </is>
      </c>
      <c r="F817" t="inlineStr">
        <is>
          <t>technosphere</t>
        </is>
      </c>
      <c r="G817" t="inlineStr">
        <is>
          <t>electricity, medium voltage</t>
        </is>
      </c>
      <c r="H817"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
For the RoW dataset, the output variables from REMIND were for all locations with a lci dataset were substracted from the World dataset. This represents the RoW dataset. The electricity usage per region is determined by multiplying the total RoW electricity per tkm consumption with the shares electricity of the regions contained in the RoW ecoinvent dataset.</t>
        </is>
      </c>
    </row>
    <row r="818">
      <c r="A818" t="inlineStr">
        <is>
          <t>market group for electricity, high voltage</t>
        </is>
      </c>
      <c r="B818" t="n">
        <v>0.0008190324547843613</v>
      </c>
      <c r="C818" t="inlineStr">
        <is>
          <t>RLA</t>
        </is>
      </c>
      <c r="D818" t="inlineStr">
        <is>
          <t>kilowatt hour</t>
        </is>
      </c>
      <c r="F818" t="inlineStr">
        <is>
          <t>technosphere</t>
        </is>
      </c>
      <c r="G818" t="inlineStr">
        <is>
          <t>electricity, high voltage</t>
        </is>
      </c>
      <c r="H818"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
For the RoW dataset, the output variables from REMIND were for all locations with a lci dataset were substracted from the World dataset. This represents the RoW dataset. The electricity usage per region is determined by multiplying the total RoW electricity per tkm consumption with the shares electricity of the regions contained in the RoW ecoinvent dataset.</t>
        </is>
      </c>
    </row>
    <row r="819">
      <c r="A819" t="inlineStr">
        <is>
          <t>market group for electricity, high voltage</t>
        </is>
      </c>
      <c r="B819" t="n">
        <v>0.0004620211296600579</v>
      </c>
      <c r="C819" t="inlineStr">
        <is>
          <t>RME</t>
        </is>
      </c>
      <c r="D819" t="inlineStr">
        <is>
          <t>kilowatt hour</t>
        </is>
      </c>
      <c r="F819" t="inlineStr">
        <is>
          <t>technosphere</t>
        </is>
      </c>
      <c r="G819" t="inlineStr">
        <is>
          <t>electricity, high voltage</t>
        </is>
      </c>
      <c r="H819"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
For the RoW dataset, the output variables from REMIND were for all locations with a lci dataset were substracted from the World dataset. This represents the RoW dataset. The electricity usage per region is determined by multiplying the total RoW electricity per tkm consumption with the shares electricity of the regions contained in the RoW ecoinvent dataset.</t>
        </is>
      </c>
    </row>
    <row r="820">
      <c r="A820" t="inlineStr">
        <is>
          <t>market group for electricity, high voltage</t>
        </is>
      </c>
      <c r="B820" t="n">
        <v>0.002584133590302895</v>
      </c>
      <c r="C820" t="inlineStr">
        <is>
          <t>RNA</t>
        </is>
      </c>
      <c r="D820" t="inlineStr">
        <is>
          <t>kilowatt hour</t>
        </is>
      </c>
      <c r="F820" t="inlineStr">
        <is>
          <t>technosphere</t>
        </is>
      </c>
      <c r="G820" t="inlineStr">
        <is>
          <t>electricity, high voltage</t>
        </is>
      </c>
      <c r="H820"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
For the RoW dataset, the output variables from REMIND were for all locations with a lci dataset were substracted from the World dataset. This represents the RoW dataset. The electricity usage per region is determined by multiplying the total RoW electricity per tkm consumption with the shares electricity of the regions contained in the RoW ecoinvent dataset.</t>
        </is>
      </c>
    </row>
    <row r="821">
      <c r="A821" t="inlineStr">
        <is>
          <t>market group for electricity, medium voltage</t>
        </is>
      </c>
      <c r="B821" t="n">
        <v>0.00125004877949511</v>
      </c>
      <c r="C821" t="inlineStr">
        <is>
          <t>RLA</t>
        </is>
      </c>
      <c r="D821" t="inlineStr">
        <is>
          <t>kilowatt hour</t>
        </is>
      </c>
      <c r="F821" t="inlineStr">
        <is>
          <t>technosphere</t>
        </is>
      </c>
      <c r="G821" t="inlineStr">
        <is>
          <t>electricity, medium voltage</t>
        </is>
      </c>
      <c r="H821"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
For the RoW dataset, the output variables from REMIND were for all locations with a lci dataset were substracted from the World dataset. This represents the RoW dataset. The electricity usage per region is determined by multiplying the total RoW electricity per tkm consumption with the shares electricity of the regions contained in the RoW ecoinvent dataset.</t>
        </is>
      </c>
    </row>
    <row r="822">
      <c r="A822" t="inlineStr">
        <is>
          <t>market group for electricity, medium voltage</t>
        </is>
      </c>
      <c r="B822" t="n">
        <v>0.000708957683249138</v>
      </c>
      <c r="C822" t="inlineStr">
        <is>
          <t>RME</t>
        </is>
      </c>
      <c r="D822" t="inlineStr">
        <is>
          <t>kilowatt hour</t>
        </is>
      </c>
      <c r="F822" t="inlineStr">
        <is>
          <t>technosphere</t>
        </is>
      </c>
      <c r="G822" t="inlineStr">
        <is>
          <t>electricity, medium voltage</t>
        </is>
      </c>
      <c r="H822"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
For the RoW dataset, the output variables from REMIND were for all locations with a lci dataset were substracted from the World dataset. This represents the RoW dataset. The electricity usage per region is determined by multiplying the total RoW electricity per tkm consumption with the shares electricity of the regions contained in the RoW ecoinvent dataset.</t>
        </is>
      </c>
    </row>
    <row r="823">
      <c r="A823" t="inlineStr">
        <is>
          <t>market group for electricity, medium voltage</t>
        </is>
      </c>
      <c r="B823" t="n">
        <v>0.004006153106588505</v>
      </c>
      <c r="C823" t="inlineStr">
        <is>
          <t>RNA</t>
        </is>
      </c>
      <c r="D823" t="inlineStr">
        <is>
          <t>kilowatt hour</t>
        </is>
      </c>
      <c r="F823" t="inlineStr">
        <is>
          <t>technosphere</t>
        </is>
      </c>
      <c r="G823" t="inlineStr">
        <is>
          <t>electricity, medium voltage</t>
        </is>
      </c>
      <c r="H823"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
For the RoW dataset, the output variables from REMIND were for all locations with a lci dataset were substracted from the World dataset. This represents the RoW dataset. The electricity usage per region is determined by multiplying the total RoW electricity per tkm consumption with the shares electricity of the regions contained in the RoW ecoinvent dataset.</t>
        </is>
      </c>
    </row>
    <row r="824">
      <c r="A824" t="inlineStr">
        <is>
          <t>production of locomotive, electric catenary</t>
        </is>
      </c>
      <c r="B824" t="n">
        <v>7.11e-10</v>
      </c>
      <c r="C824" t="inlineStr">
        <is>
          <t>GLO</t>
        </is>
      </c>
      <c r="D824" t="inlineStr">
        <is>
          <t>unit</t>
        </is>
      </c>
      <c r="F824" t="inlineStr">
        <is>
          <t>technosphere</t>
        </is>
      </c>
      <c r="G824" t="inlineStr">
        <is>
          <t>locomotive electric, catenary</t>
        </is>
      </c>
      <c r="H824" t="inlineStr">
        <is>
          <t>taken from ecoinvent inventory "transport, freight train, electricity - RoW"</t>
        </is>
      </c>
    </row>
    <row r="825">
      <c r="A825" t="inlineStr">
        <is>
          <t>market for maintenance, locomotive</t>
        </is>
      </c>
      <c r="B825" t="n">
        <v>7.11e-10</v>
      </c>
      <c r="C825" t="inlineStr">
        <is>
          <t>GLO</t>
        </is>
      </c>
      <c r="D825" t="inlineStr">
        <is>
          <t>unit</t>
        </is>
      </c>
      <c r="F825" t="inlineStr">
        <is>
          <t>technosphere</t>
        </is>
      </c>
      <c r="G825" t="inlineStr">
        <is>
          <t>maintenance, locomotive</t>
        </is>
      </c>
      <c r="H825" t="inlineStr">
        <is>
          <t>taken from ecoinvent inventory "transport, freight train, electricity - RoW"</t>
        </is>
      </c>
    </row>
    <row r="826">
      <c r="A826" t="inlineStr">
        <is>
          <t>market for goods wagon</t>
        </is>
      </c>
      <c r="B826" t="n">
        <v>4.59e-08</v>
      </c>
      <c r="C826" t="inlineStr">
        <is>
          <t>GLO</t>
        </is>
      </c>
      <c r="D826" t="inlineStr">
        <is>
          <t>unit</t>
        </is>
      </c>
      <c r="F826" t="inlineStr">
        <is>
          <t>technosphere</t>
        </is>
      </c>
      <c r="G826" t="inlineStr">
        <is>
          <t>goods wagon</t>
        </is>
      </c>
      <c r="H826" t="inlineStr">
        <is>
          <t>taken from ecoinvent inventory "transport, freight train, electricity - RoW"</t>
        </is>
      </c>
    </row>
    <row r="827">
      <c r="A827" t="inlineStr">
        <is>
          <t>market for maintenance, goods wagon</t>
        </is>
      </c>
      <c r="B827" t="n">
        <v>4.59e-08</v>
      </c>
      <c r="C827" t="inlineStr">
        <is>
          <t>GLO</t>
        </is>
      </c>
      <c r="D827" t="inlineStr">
        <is>
          <t>unit</t>
        </is>
      </c>
      <c r="F827" t="inlineStr">
        <is>
          <t>technosphere</t>
        </is>
      </c>
      <c r="G827" t="inlineStr">
        <is>
          <t>maintenance, goods wagon</t>
        </is>
      </c>
      <c r="H827" t="inlineStr">
        <is>
          <t>taken from ecoinvent inventory "transport, freight train, electricity - RoW"</t>
        </is>
      </c>
    </row>
    <row r="828">
      <c r="A828" t="inlineStr">
        <is>
          <t>market for railway track</t>
        </is>
      </c>
      <c r="B828" t="n">
        <v>9.291799999999999e-05</v>
      </c>
      <c r="C828" t="inlineStr">
        <is>
          <t>GLO</t>
        </is>
      </c>
      <c r="D828" t="inlineStr">
        <is>
          <t>meter-year</t>
        </is>
      </c>
      <c r="F828" t="inlineStr">
        <is>
          <t>technosphere</t>
        </is>
      </c>
      <c r="G828" t="inlineStr">
        <is>
          <t>railway track</t>
        </is>
      </c>
      <c r="H828" t="inlineStr">
        <is>
          <t>taken from ecoinvent inventory "transport, freight train, electricity - RoW"</t>
        </is>
      </c>
    </row>
    <row r="829">
      <c r="A829" t="inlineStr">
        <is>
          <t>Ammonia</t>
        </is>
      </c>
      <c r="B829" t="n">
        <v>1.354e-08</v>
      </c>
      <c r="D829" t="inlineStr">
        <is>
          <t>kilogram</t>
        </is>
      </c>
      <c r="E829" t="inlineStr">
        <is>
          <t>air</t>
        </is>
      </c>
      <c r="F829" t="inlineStr">
        <is>
          <t>biosphere</t>
        </is>
      </c>
      <c r="H829" t="inlineStr">
        <is>
          <t>2.0E-05 kg/kg fuel for diesel locomotives, according to Spielmann et al. (2007)
Spielmann, M., Bauer, C., Dones, R., Institut, P. S., &amp; Tuchschmid, M. (2007). Transport Services. Swiss Centre for Life Cycle Inventories, ecoinvent report No. 14.</t>
        </is>
      </c>
    </row>
    <row r="830">
      <c r="A830" t="inlineStr">
        <is>
          <t>Benzene</t>
        </is>
      </c>
      <c r="B830" t="n">
        <v>6.77e-08</v>
      </c>
      <c r="D830" t="inlineStr">
        <is>
          <t>kilogram</t>
        </is>
      </c>
      <c r="E830" t="inlineStr">
        <is>
          <t>air</t>
        </is>
      </c>
      <c r="F830" t="inlineStr">
        <is>
          <t>biosphere</t>
        </is>
      </c>
      <c r="H830" t="inlineStr">
        <is>
          <t>1.0E-04 kg/kg fuel for diesel locomotives, according to Spielmann et al. (2007)
Spielmann, M., Bauer, C., Dones, R., Institut, P. S., &amp; Tuchschmid, M. (2007). Transport Services. Swiss Centre for Life Cycle Inventories, ecoinvent report No. 14.</t>
        </is>
      </c>
    </row>
    <row r="831">
      <c r="A831" t="inlineStr">
        <is>
          <t>Cadmium II</t>
        </is>
      </c>
      <c r="B831" t="n">
        <v>6.77e-12</v>
      </c>
      <c r="D831" t="inlineStr">
        <is>
          <t>kilogram</t>
        </is>
      </c>
      <c r="E831" t="inlineStr">
        <is>
          <t>air</t>
        </is>
      </c>
      <c r="F831" t="inlineStr">
        <is>
          <t>biosphere</t>
        </is>
      </c>
      <c r="H831" t="inlineStr">
        <is>
          <t>1.0E-08 kg/kg fuel for diesel locomotives, according to Spielmann et al. (2007)
Spielmann, M., Bauer, C., Dones, R., Institut, P. S., &amp; Tuchschmid, M. (2007). Transport Services. Swiss Centre for Life Cycle Inventories, ecoinvent report No. 14.</t>
        </is>
      </c>
    </row>
    <row r="832">
      <c r="A832" t="inlineStr">
        <is>
          <t>Carbon dioxide, fossil</t>
        </is>
      </c>
      <c r="B832" t="n">
        <v>0.002129842</v>
      </c>
      <c r="D832" t="inlineStr">
        <is>
          <t>kilogram</t>
        </is>
      </c>
      <c r="E832" t="inlineStr">
        <is>
          <t>air</t>
        </is>
      </c>
      <c r="F832" t="inlineStr">
        <is>
          <t>biosphere</t>
        </is>
      </c>
      <c r="H832" t="inlineStr">
        <is>
          <t>3.146 kg/kg fuel for diesel locomotives, according to Spielmann et al. (2007)
Spielmann, M., Bauer, C., Dones, R., Institut, P. S., &amp; Tuchschmid, M. (2007). Transport Services. Swiss Centre for Life Cycle Inventories, ecoinvent report No. 14.</t>
        </is>
      </c>
    </row>
    <row r="833">
      <c r="A833" t="inlineStr">
        <is>
          <t>Carbon monoxide, fossil</t>
        </is>
      </c>
      <c r="B833" t="n">
        <v>1.06966e-05</v>
      </c>
      <c r="D833" t="inlineStr">
        <is>
          <t>kilogram</t>
        </is>
      </c>
      <c r="E833" t="inlineStr">
        <is>
          <t>air</t>
        </is>
      </c>
      <c r="F833" t="inlineStr">
        <is>
          <t>biosphere</t>
        </is>
      </c>
      <c r="H833" t="inlineStr">
        <is>
          <t>1.58E-02 kg/kg fuel for diesel locomotives, according to Spielmann et al. (2007)
Spielmann, M., Bauer, C., Dones, R., Institut, P. S., &amp; Tuchschmid, M. (2007). Transport Services. Swiss Centre for Life Cycle Inventories, ecoinvent report No. 14.</t>
        </is>
      </c>
    </row>
    <row r="834">
      <c r="A834" t="inlineStr">
        <is>
          <t>Chromium III</t>
        </is>
      </c>
      <c r="B834" t="n">
        <v>3.385e-11</v>
      </c>
      <c r="D834" t="inlineStr">
        <is>
          <t>kilogram</t>
        </is>
      </c>
      <c r="E834" t="inlineStr">
        <is>
          <t>air</t>
        </is>
      </c>
      <c r="F834" t="inlineStr">
        <is>
          <t>biosphere</t>
        </is>
      </c>
      <c r="H834" t="inlineStr">
        <is>
          <t>5.0E-08 kg/kg fuel for diesel locomotives, according to Spielmann et al. (2007)
Spielmann, M., Bauer, C., Dones, R., Institut, P. S., &amp; Tuchschmid, M. (2007). Transport Services. Swiss Centre for Life Cycle Inventories, ecoinvent report No. 14.</t>
        </is>
      </c>
    </row>
    <row r="835">
      <c r="A835" t="inlineStr">
        <is>
          <t>Copper ion</t>
        </is>
      </c>
      <c r="B835" t="n">
        <v>1.1509e-09</v>
      </c>
      <c r="D835" t="inlineStr">
        <is>
          <t>kilogram</t>
        </is>
      </c>
      <c r="E835" t="inlineStr">
        <is>
          <t>air</t>
        </is>
      </c>
      <c r="F835" t="inlineStr">
        <is>
          <t>biosphere</t>
        </is>
      </c>
      <c r="H835" t="inlineStr">
        <is>
          <t>1.7E-06 kg/kg fuel for diesel locomotives, according to Spielmann et al. (2007)
Spielmann, M., Bauer, C., Dones, R., Institut, P. S., &amp; Tuchschmid, M. (2007). Transport Services. Swiss Centre for Life Cycle Inventories, ecoinvent report No. 14.</t>
        </is>
      </c>
    </row>
    <row r="836">
      <c r="A836" t="inlineStr">
        <is>
          <t>Dinitrogen monoxide</t>
        </is>
      </c>
      <c r="B836" t="n">
        <v>6.77e-08</v>
      </c>
      <c r="D836" t="inlineStr">
        <is>
          <t>kilogram</t>
        </is>
      </c>
      <c r="E836" t="inlineStr">
        <is>
          <t>air</t>
        </is>
      </c>
      <c r="F836" t="inlineStr">
        <is>
          <t>biosphere</t>
        </is>
      </c>
      <c r="H836" t="inlineStr">
        <is>
          <t>1.0E-04 kg/kg fuel for diesel locomotives, according to Spielmann et al. (2007)
Spielmann, M., Bauer, C., Dones, R., Institut, P. S., &amp; Tuchschmid, M. (2007). Transport Services. Swiss Centre for Life Cycle Inventories, ecoinvent report No. 14.</t>
        </is>
      </c>
    </row>
    <row r="837">
      <c r="A837" t="inlineStr">
        <is>
          <t>Iron ion</t>
        </is>
      </c>
      <c r="B837" t="n">
        <v>1.24e-05</v>
      </c>
      <c r="D837" t="inlineStr">
        <is>
          <t>kilogram</t>
        </is>
      </c>
      <c r="E837" t="inlineStr">
        <is>
          <t>soil</t>
        </is>
      </c>
      <c r="F837" t="inlineStr">
        <is>
          <t>biosphere</t>
        </is>
      </c>
      <c r="H837" t="inlineStr">
        <is>
          <t>1.24E-05 kg/tkm, emission of particulates due to abrasion from rail tracks, wheels,and brakes Spielmann et al. (2007)
Spielmann, M., Bauer, C., Dones, R., Institut, P. S., &amp; Tuchschmid, M. (2007). Transport Services. Swiss Centre for Life Cycle Inventories, ecoinvent report No. 14.</t>
        </is>
      </c>
    </row>
    <row r="838">
      <c r="A838" t="inlineStr">
        <is>
          <t>Lead II</t>
        </is>
      </c>
      <c r="B838" t="n">
        <v>7.447e-14</v>
      </c>
      <c r="D838" t="inlineStr">
        <is>
          <t>kilogram</t>
        </is>
      </c>
      <c r="E838" t="inlineStr">
        <is>
          <t>air</t>
        </is>
      </c>
      <c r="F838" t="inlineStr">
        <is>
          <t>biosphere</t>
        </is>
      </c>
      <c r="H838" t="inlineStr">
        <is>
          <t>1.1E-10 kg/kg fuel for diesel locomotives, according to Spielmann et al. (2007)
Spielmann, M., Bauer, C., Dones, R., Institut, P. S., &amp; Tuchschmid, M. (2007). Transport Services. Swiss Centre for Life Cycle Inventories, ecoinvent report No. 14.</t>
        </is>
      </c>
    </row>
    <row r="839">
      <c r="A839" t="inlineStr">
        <is>
          <t>Mercury II</t>
        </is>
      </c>
      <c r="B839" t="n">
        <v>1.354e-14</v>
      </c>
      <c r="D839" t="inlineStr">
        <is>
          <t>kilogram</t>
        </is>
      </c>
      <c r="E839" t="inlineStr">
        <is>
          <t>air</t>
        </is>
      </c>
      <c r="F839" t="inlineStr">
        <is>
          <t>biosphere</t>
        </is>
      </c>
      <c r="H839" t="inlineStr">
        <is>
          <t>2.0E-11 kg/kg fuel for diesel locomotives, according to Spielmann et al. (2007)
Spielmann, M., Bauer, C., Dones, R., Institut, P. S., &amp; Tuchschmid, M. (2007). Transport Services. Swiss Centre for Life Cycle Inventories, ecoinvent report No. 14.</t>
        </is>
      </c>
    </row>
    <row r="840">
      <c r="A840" t="inlineStr">
        <is>
          <t>Methane, fossil</t>
        </is>
      </c>
      <c r="B840" t="n">
        <v>8.800999999999999e-08</v>
      </c>
      <c r="D840" t="inlineStr">
        <is>
          <t>kilogram</t>
        </is>
      </c>
      <c r="E840" t="inlineStr">
        <is>
          <t>air</t>
        </is>
      </c>
      <c r="F840" t="inlineStr">
        <is>
          <t>biosphere</t>
        </is>
      </c>
      <c r="H840" t="inlineStr">
        <is>
          <t>1.3E-04 kg/kg fuel for diesel locomotives, according to Spielmann et al. (2007)
Spielmann, M., Bauer, C., Dones, R., Institut, P. S., &amp; Tuchschmid, M. (2007). Transport Services. Swiss Centre for Life Cycle Inventories, ecoinvent report No. 14.</t>
        </is>
      </c>
    </row>
    <row r="841">
      <c r="A841" t="inlineStr">
        <is>
          <t>NMVOC, non-methane volatile organic compounds</t>
        </is>
      </c>
      <c r="B841" t="n">
        <v>3.55425e-06</v>
      </c>
      <c r="D841" t="inlineStr">
        <is>
          <t>kilogram</t>
        </is>
      </c>
      <c r="E841" t="inlineStr">
        <is>
          <t>air</t>
        </is>
      </c>
      <c r="F841" t="inlineStr">
        <is>
          <t>biosphere</t>
        </is>
      </c>
      <c r="H841" t="inlineStr">
        <is>
          <t>5.25E-03 kg/kg fuel for diesel locomotives, according to Spielmann et al. (2007)
Spielmann, M., Bauer, C., Dones, R., Institut, P. S., &amp; Tuchschmid, M. (2007). Transport Services. Swiss Centre for Life Cycle Inventories, ecoinvent report No. 14.</t>
        </is>
      </c>
    </row>
    <row r="842">
      <c r="A842" t="inlineStr">
        <is>
          <t>Nickel II</t>
        </is>
      </c>
      <c r="B842" t="n">
        <v>4.739e-11</v>
      </c>
      <c r="D842" t="inlineStr">
        <is>
          <t>kilogram</t>
        </is>
      </c>
      <c r="E842" t="inlineStr">
        <is>
          <t>air</t>
        </is>
      </c>
      <c r="F842" t="inlineStr">
        <is>
          <t>biosphere</t>
        </is>
      </c>
      <c r="H842" t="inlineStr">
        <is>
          <t>7.0E-08 kg/kg fuel for diesel locomotives, according to Spielmann et al. (2007)
Spielmann, M., Bauer, C., Dones, R., Institut, P. S., &amp; Tuchschmid, M. (2007). Transport Services. Swiss Centre for Life Cycle Inventories, ecoinvent report No. 14.</t>
        </is>
      </c>
    </row>
    <row r="843">
      <c r="A843" t="inlineStr">
        <is>
          <t>Nitrogen oxides</t>
        </is>
      </c>
      <c r="B843" t="n">
        <v>3.7235e-05</v>
      </c>
      <c r="D843" t="inlineStr">
        <is>
          <t>kilogram</t>
        </is>
      </c>
      <c r="E843" t="inlineStr">
        <is>
          <t>air</t>
        </is>
      </c>
      <c r="F843" t="inlineStr">
        <is>
          <t>biosphere</t>
        </is>
      </c>
      <c r="H843" t="inlineStr">
        <is>
          <t>5.5E-02 kg/kg fuel for diesel locomotives, according to Spielmann et al. (2007)
Spielmann, M., Bauer, C., Dones, R., Institut, P. S., &amp; Tuchschmid, M. (2007). Transport Services. Swiss Centre for Life Cycle Inventories, ecoinvent report No. 14.</t>
        </is>
      </c>
    </row>
    <row r="844">
      <c r="A844" t="inlineStr">
        <is>
          <t>Particulate Matter, &lt; 2.5 um</t>
        </is>
      </c>
      <c r="B844" t="n">
        <v>8.327099999999999e-07</v>
      </c>
      <c r="D844" t="inlineStr">
        <is>
          <t>kilogram</t>
        </is>
      </c>
      <c r="E844" t="inlineStr">
        <is>
          <t>air</t>
        </is>
      </c>
      <c r="F844" t="inlineStr">
        <is>
          <t>biosphere</t>
        </is>
      </c>
      <c r="H844" t="inlineStr">
        <is>
          <t>1.28E-03 kg/kg fuel for diesel locomotives, according to Spielmann et al. (2007)
Spielmann, M., Bauer, C., Dones, R., Institut, P. S., &amp; Tuchschmid, M. (2007). Transport Services. Swiss Centre for Life Cycle Inventories, ecoinvent report No. 14.</t>
        </is>
      </c>
    </row>
    <row r="845">
      <c r="A845" t="inlineStr">
        <is>
          <t>Particulate Matter, &gt; 10 um</t>
        </is>
      </c>
      <c r="B845" t="n">
        <v>1.77371673e-05</v>
      </c>
      <c r="D845" t="inlineStr">
        <is>
          <t>kilogram</t>
        </is>
      </c>
      <c r="E845" t="inlineStr">
        <is>
          <t>air</t>
        </is>
      </c>
      <c r="F845" t="inlineStr">
        <is>
          <t>biosphere</t>
        </is>
      </c>
      <c r="H845" t="inlineStr">
        <is>
          <t>4.59E-05 kg/kg fuel for diesel locomotives, according to Spielmann et al. (2007), plus
1.77E-05 kg/tkm, emission of particulates due to abrasion from rail tracks, wheels,and brakes Spielmann et al. (2007)
Spielmann, M., Bauer, C., Dones, R., Institut, P. S., &amp; Tuchschmid, M. (2007). Transport Services. Swiss Centre for Life Cycle Inventories, ecoinvent report No. 14.</t>
        </is>
      </c>
    </row>
    <row r="846">
      <c r="A846" t="inlineStr">
        <is>
          <t>Particulate Matter, &gt; 2.5 um and &lt; 10um</t>
        </is>
      </c>
      <c r="B846" t="n">
        <v>1.6372439e-05</v>
      </c>
      <c r="D846" t="inlineStr">
        <is>
          <t>kilogram</t>
        </is>
      </c>
      <c r="E846" t="inlineStr">
        <is>
          <t>air</t>
        </is>
      </c>
      <c r="F846" t="inlineStr">
        <is>
          <t>biosphere</t>
        </is>
      </c>
      <c r="H846" t="inlineStr">
        <is>
          <t>1.07E-04 kg/kg fuel for diesel locomotives, according to Spielmann et al. (2007), plus
1.63E-05 kg/tkm, emission of particulates due to abrasion from rail tracks, wheels,and brakes Spielmann et al. (2007)
Spielmann, M., Bauer, C., Dones, R., Institut, P. S., &amp; Tuchschmid, M. (2007). Transport Services. Swiss Centre for Life Cycle Inventories, ecoinvent report No. 14.</t>
        </is>
      </c>
    </row>
    <row r="847">
      <c r="A847" t="inlineStr">
        <is>
          <t>Selenium IV</t>
        </is>
      </c>
      <c r="B847" t="n">
        <v>6.77e-12</v>
      </c>
      <c r="D847" t="inlineStr">
        <is>
          <t>kilogram</t>
        </is>
      </c>
      <c r="E847" t="inlineStr">
        <is>
          <t>air</t>
        </is>
      </c>
      <c r="F847" t="inlineStr">
        <is>
          <t>biosphere</t>
        </is>
      </c>
      <c r="H847" t="inlineStr">
        <is>
          <t>1.0E-08 kg/kg fuel for diesel locomotives, according to Spielmann et al. (2007)
Spielmann, M., Bauer, C., Dones, R., Institut, P. S., &amp; Tuchschmid, M. (2007). Transport Services. Swiss Centre for Life Cycle Inventories, ecoinvent report No. 14.</t>
        </is>
      </c>
    </row>
    <row r="848">
      <c r="A848" t="inlineStr">
        <is>
          <t>Sulfur dioxide</t>
        </is>
      </c>
      <c r="B848" t="n">
        <v>4.062e-07</v>
      </c>
      <c r="D848" t="inlineStr">
        <is>
          <t>kilogram</t>
        </is>
      </c>
      <c r="E848" t="inlineStr">
        <is>
          <t>air</t>
        </is>
      </c>
      <c r="F848" t="inlineStr">
        <is>
          <t>biosphere</t>
        </is>
      </c>
      <c r="H848" t="inlineStr">
        <is>
          <t>6.0E-04 kg/kg fuel for diesel locomotives, according to Spielmann et al. (2007)
Spielmann, M., Bauer, C., Dones, R., Institut, P. S., &amp; Tuchschmid, M. (2007). Transport Services. Swiss Centre for Life Cycle Inventories, ecoinvent report No. 14.</t>
        </is>
      </c>
    </row>
    <row r="849">
      <c r="A849" t="inlineStr">
        <is>
          <t>Sulfur hexafluoride</t>
        </is>
      </c>
      <c r="B849" t="n">
        <v>3.14e-09</v>
      </c>
      <c r="D849" t="inlineStr">
        <is>
          <t>kilogram</t>
        </is>
      </c>
      <c r="E849" t="inlineStr">
        <is>
          <t>air</t>
        </is>
      </c>
      <c r="F849" t="inlineStr">
        <is>
          <t>biosphere</t>
        </is>
      </c>
      <c r="H849" t="inlineStr">
        <is>
          <t>3.14E-09 kg/tkm, emission of particulates due to abrasion from rail tracks, wheels,and brakes Spielmann et al. (2007)
Spielmann, M., Bauer, C., Dones, R., Institut, P. S., &amp; Tuchschmid, M. (2007). Transport Services. Swiss Centre for Life Cycle Inventories, ecoinvent report No. 14.</t>
        </is>
      </c>
    </row>
    <row r="850">
      <c r="A850" t="inlineStr">
        <is>
          <t>Toluene</t>
        </is>
      </c>
      <c r="B850" t="n">
        <v>2.708e-08</v>
      </c>
      <c r="D850" t="inlineStr">
        <is>
          <t>kilogram</t>
        </is>
      </c>
      <c r="E850" t="inlineStr">
        <is>
          <t>air</t>
        </is>
      </c>
      <c r="F850" t="inlineStr">
        <is>
          <t>biosphere</t>
        </is>
      </c>
      <c r="H850" t="inlineStr">
        <is>
          <t>4.0E-05 kg/kg fuel for diesel locomotives, according to Spielmann et al. (2007)
Spielmann, M., Bauer, C., Dones, R., Institut, P. S., &amp; Tuchschmid, M. (2007). Transport Services. Swiss Centre for Life Cycle Inventories, ecoinvent report No. 14.</t>
        </is>
      </c>
    </row>
    <row r="851">
      <c r="A851" t="inlineStr">
        <is>
          <t>Xylene</t>
        </is>
      </c>
      <c r="B851" t="n">
        <v>2.708e-08</v>
      </c>
      <c r="D851" t="inlineStr">
        <is>
          <t>kilogram</t>
        </is>
      </c>
      <c r="E851" t="inlineStr">
        <is>
          <t>air</t>
        </is>
      </c>
      <c r="F851" t="inlineStr">
        <is>
          <t>biosphere</t>
        </is>
      </c>
      <c r="H851" t="inlineStr">
        <is>
          <t>4.0E-05 kg/kg fuel for diesel locomotives, according to Spielmann et al. (2007)
Spielmann, M., Bauer, C., Dones, R., Institut, P. S., &amp; Tuchschmid, M. (2007). Transport Services. Swiss Centre for Life Cycle Inventories, ecoinvent report No. 14.</t>
        </is>
      </c>
    </row>
    <row r="852">
      <c r="A852" t="inlineStr">
        <is>
          <t>Zinc II</t>
        </is>
      </c>
      <c r="B852" t="n">
        <v>6.769999999999999e-10</v>
      </c>
      <c r="D852" t="inlineStr">
        <is>
          <t>kilogram</t>
        </is>
      </c>
      <c r="E852" t="inlineStr">
        <is>
          <t>air</t>
        </is>
      </c>
      <c r="F852" t="inlineStr">
        <is>
          <t>biosphere</t>
        </is>
      </c>
      <c r="H852" t="inlineStr">
        <is>
          <t>1.0E-06 kg/kg fuel for diesel locomotives, according to Spielmann et al. (2007)
Spielmann, M., Bauer, C., Dones, R., Institut, P. S., &amp; Tuchschmid, M. (2007). Transport Services. Swiss Centre for Life Cycle Inventories, ecoinvent report No. 14.</t>
        </is>
      </c>
    </row>
    <row r="853">
      <c r="A853" t="inlineStr">
        <is>
          <t>transport, freight train, electric</t>
        </is>
      </c>
      <c r="B853" t="n">
        <v>1</v>
      </c>
      <c r="C853" t="inlineStr">
        <is>
          <t>RoW</t>
        </is>
      </c>
      <c r="D853" t="inlineStr">
        <is>
          <t>ton kilometer</t>
        </is>
      </c>
      <c r="F853" t="inlineStr">
        <is>
          <t>production</t>
        </is>
      </c>
      <c r="G853" t="inlineStr">
        <is>
          <t>transport, freight train</t>
        </is>
      </c>
    </row>
    <row r="854"/>
    <row r="855">
      <c r="A855" s="2" t="inlineStr">
        <is>
          <t>Activity</t>
        </is>
      </c>
      <c r="B855" s="2" t="inlineStr">
        <is>
          <t>transport, freight train, fuel cell, hydrogen</t>
        </is>
      </c>
    </row>
    <row r="856">
      <c r="A856" t="inlineStr">
        <is>
          <t>location</t>
        </is>
      </c>
      <c r="B856" t="inlineStr">
        <is>
          <t>RoW</t>
        </is>
      </c>
    </row>
    <row r="857">
      <c r="A857" t="inlineStr">
        <is>
          <t>production amount</t>
        </is>
      </c>
      <c r="B857" t="n">
        <v>1</v>
      </c>
    </row>
    <row r="858">
      <c r="A858" t="inlineStr">
        <is>
          <t>reference product</t>
        </is>
      </c>
      <c r="B858" t="inlineStr">
        <is>
          <t>transport, freight train</t>
        </is>
      </c>
    </row>
    <row r="859">
      <c r="A859" t="inlineStr">
        <is>
          <t>type</t>
        </is>
      </c>
      <c r="B859" t="inlineStr">
        <is>
          <t>process</t>
        </is>
      </c>
    </row>
    <row r="860">
      <c r="A860" t="inlineStr">
        <is>
          <t>unit</t>
        </is>
      </c>
      <c r="B860" t="inlineStr">
        <is>
          <t>ton kilometer</t>
        </is>
      </c>
    </row>
    <row r="861">
      <c r="A861" t="inlineStr">
        <is>
          <t>Exchanges</t>
        </is>
      </c>
    </row>
    <row r="862">
      <c r="A862" s="2" t="inlineStr">
        <is>
          <t>name</t>
        </is>
      </c>
      <c r="B862" s="2" t="inlineStr">
        <is>
          <t>amount</t>
        </is>
      </c>
      <c r="C862" s="2" t="inlineStr">
        <is>
          <t>location</t>
        </is>
      </c>
      <c r="D862" s="2" t="inlineStr">
        <is>
          <t>unit</t>
        </is>
      </c>
      <c r="E862" s="2" t="inlineStr">
        <is>
          <t>categories</t>
        </is>
      </c>
      <c r="F862" s="2" t="inlineStr">
        <is>
          <t>type</t>
        </is>
      </c>
      <c r="G862" s="2" t="inlineStr">
        <is>
          <t>reference product</t>
        </is>
      </c>
      <c r="H862" s="2" t="inlineStr">
        <is>
          <t>comment</t>
        </is>
      </c>
    </row>
    <row r="863">
      <c r="A863" t="inlineStr">
        <is>
          <t>market group for diesel</t>
        </is>
      </c>
      <c r="B863" t="n">
        <v>0.000677</v>
      </c>
      <c r="C863" t="inlineStr">
        <is>
          <t>GLO</t>
        </is>
      </c>
      <c r="D863" t="inlineStr">
        <is>
          <t>kilogram</t>
        </is>
      </c>
      <c r="F863" t="inlineStr">
        <is>
          <t>technosphere</t>
        </is>
      </c>
      <c r="G863" t="inlineStr">
        <is>
          <t>diesel</t>
        </is>
      </c>
      <c r="H863" t="inlineStr">
        <is>
          <t>The energy consumption for shunting processes is added. The shunting process is assumed to be done by diesel shunting locomotives exclusivley. The specific diesel consumption for the shunting is taken from the regional ecoinvent datasets "transport, freight train, electric".</t>
        </is>
      </c>
    </row>
    <row r="864">
      <c r="A864" t="inlineStr">
        <is>
          <t>market for hydrogen, gaseous</t>
        </is>
      </c>
      <c r="B864" t="n">
        <v>0.001769583483344419</v>
      </c>
      <c r="C864" t="inlineStr">
        <is>
          <t>GLO</t>
        </is>
      </c>
      <c r="D864" t="inlineStr">
        <is>
          <t>kilogram</t>
        </is>
      </c>
      <c r="F864" t="inlineStr">
        <is>
          <t>technosphere</t>
        </is>
      </c>
      <c r="G864" t="inlineStr">
        <is>
          <t>hydrogen, gaseous</t>
        </is>
      </c>
      <c r="H864"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t>
        </is>
      </c>
    </row>
    <row r="865">
      <c r="A865" t="inlineStr">
        <is>
          <t>production of locomotive, fuel cell, hydrogen</t>
        </is>
      </c>
      <c r="B865" t="n">
        <v>7.11e-10</v>
      </c>
      <c r="C865" t="inlineStr">
        <is>
          <t>GLO</t>
        </is>
      </c>
      <c r="D865" t="inlineStr">
        <is>
          <t>unit</t>
        </is>
      </c>
      <c r="F865" t="inlineStr">
        <is>
          <t>technosphere</t>
        </is>
      </c>
      <c r="G865" t="inlineStr">
        <is>
          <t>locomotive fuel cell, hydrogen</t>
        </is>
      </c>
      <c r="H865" t="inlineStr">
        <is>
          <t>taken from ecoinvent inventory "transport, freight train, diesel - RoW" as the hydrogen locomotive has similar output power as the diesel-electric train, and it is assumed that diesel trains can used for retrofitting HFC-systems</t>
        </is>
      </c>
    </row>
    <row r="866">
      <c r="A866" t="inlineStr">
        <is>
          <t>market for maintenance, locomotive</t>
        </is>
      </c>
      <c r="B866" t="n">
        <v>7.11e-10</v>
      </c>
      <c r="C866" t="inlineStr">
        <is>
          <t>GLO</t>
        </is>
      </c>
      <c r="D866" t="inlineStr">
        <is>
          <t>unit</t>
        </is>
      </c>
      <c r="F866" t="inlineStr">
        <is>
          <t>technosphere</t>
        </is>
      </c>
      <c r="G866" t="inlineStr">
        <is>
          <t>maintenance, locomotive</t>
        </is>
      </c>
      <c r="H866" t="inlineStr">
        <is>
          <t>taken from ecoinvent inventory "transport, freight train, diesel - RoW" as the hydrogen locomotive has similar output power as the diesel-electric train, and it is assumed that diesel trains can used for retrofitting HFC-systems</t>
        </is>
      </c>
    </row>
    <row r="867">
      <c r="A867" t="inlineStr">
        <is>
          <t>market for goods wagon</t>
        </is>
      </c>
      <c r="B867" t="n">
        <v>4.59e-08</v>
      </c>
      <c r="C867" t="inlineStr">
        <is>
          <t>GLO</t>
        </is>
      </c>
      <c r="D867" t="inlineStr">
        <is>
          <t>unit</t>
        </is>
      </c>
      <c r="F867" t="inlineStr">
        <is>
          <t>technosphere</t>
        </is>
      </c>
      <c r="G867" t="inlineStr">
        <is>
          <t>goods wagon</t>
        </is>
      </c>
      <c r="H867" t="inlineStr">
        <is>
          <t>taken from ecoinvent inventory "transport, freight train, diesel - RoW" as the hydrogen locomotive has similar output power as the diesel-electric train, and it is assumed that diesel trains can used for retrofitting HFC-systems</t>
        </is>
      </c>
    </row>
    <row r="868">
      <c r="A868" t="inlineStr">
        <is>
          <t>market for maintenance, goods wagon</t>
        </is>
      </c>
      <c r="B868" t="n">
        <v>4.59e-08</v>
      </c>
      <c r="C868" t="inlineStr">
        <is>
          <t>GLO</t>
        </is>
      </c>
      <c r="D868" t="inlineStr">
        <is>
          <t>unit</t>
        </is>
      </c>
      <c r="F868" t="inlineStr">
        <is>
          <t>technosphere</t>
        </is>
      </c>
      <c r="G868" t="inlineStr">
        <is>
          <t>maintenance, goods wagon</t>
        </is>
      </c>
      <c r="H868" t="inlineStr">
        <is>
          <t>taken from ecoinvent inventory "transport, freight train, diesel - RoW" as the hydrogen locomotive has similar output power as the diesel-electric train, and it is assumed that diesel trains can used for retrofitting HFC-systems</t>
        </is>
      </c>
    </row>
    <row r="869">
      <c r="A869" t="inlineStr">
        <is>
          <t>market for railway track</t>
        </is>
      </c>
      <c r="B869" t="n">
        <v>9.3e-05</v>
      </c>
      <c r="C869" t="inlineStr">
        <is>
          <t>GLO</t>
        </is>
      </c>
      <c r="D869" t="inlineStr">
        <is>
          <t>meter-year</t>
        </is>
      </c>
      <c r="F869" t="inlineStr">
        <is>
          <t>technosphere</t>
        </is>
      </c>
      <c r="G869" t="inlineStr">
        <is>
          <t>railway track</t>
        </is>
      </c>
      <c r="H869" t="inlineStr">
        <is>
          <t>taken from ecoinvent inventory "transport, freight train, diesel - RoW" as the hydrogen locomotive has similar output power as the diesel-electric train, and it is assumed that diesel trains can used for retrofitting HFC-systems</t>
        </is>
      </c>
    </row>
    <row r="870">
      <c r="A870" t="inlineStr">
        <is>
          <t>Ammonia</t>
        </is>
      </c>
      <c r="B870" t="n">
        <v>1.354e-08</v>
      </c>
      <c r="D870" t="inlineStr">
        <is>
          <t>kilogram</t>
        </is>
      </c>
      <c r="E870" t="inlineStr">
        <is>
          <t>air</t>
        </is>
      </c>
      <c r="F870" t="inlineStr">
        <is>
          <t>biosphere</t>
        </is>
      </c>
      <c r="H870" t="inlineStr">
        <is>
          <t>2.0E-05 kg/kg fuel for diesel locomotives, according to Spielmann et al. (2007)
Spielmann, M., Bauer, C., Dones, R., Institut, P. S., &amp; Tuchschmid, M. (2007). Transport Services. Swiss Centre for Life Cycle Inventories, ecoinvent report No. 14.</t>
        </is>
      </c>
    </row>
    <row r="871">
      <c r="A871" t="inlineStr">
        <is>
          <t>Benzene</t>
        </is>
      </c>
      <c r="B871" t="n">
        <v>6.77e-08</v>
      </c>
      <c r="D871" t="inlineStr">
        <is>
          <t>kilogram</t>
        </is>
      </c>
      <c r="E871" t="inlineStr">
        <is>
          <t>air</t>
        </is>
      </c>
      <c r="F871" t="inlineStr">
        <is>
          <t>biosphere</t>
        </is>
      </c>
      <c r="H871" t="inlineStr">
        <is>
          <t>1.0E-04 kg/kg fuel for diesel locomotives, according to Spielmann et al. (2007)
Spielmann, M., Bauer, C., Dones, R., Institut, P. S., &amp; Tuchschmid, M. (2007). Transport Services. Swiss Centre for Life Cycle Inventories, ecoinvent report No. 14.</t>
        </is>
      </c>
    </row>
    <row r="872">
      <c r="A872" t="inlineStr">
        <is>
          <t>Cadmium II</t>
        </is>
      </c>
      <c r="B872" t="n">
        <v>6.77e-12</v>
      </c>
      <c r="D872" t="inlineStr">
        <is>
          <t>kilogram</t>
        </is>
      </c>
      <c r="E872" t="inlineStr">
        <is>
          <t>air</t>
        </is>
      </c>
      <c r="F872" t="inlineStr">
        <is>
          <t>biosphere</t>
        </is>
      </c>
      <c r="H872" t="inlineStr">
        <is>
          <t>1.0E-08 kg/kg fuel for diesel locomotives, according to Spielmann et al. (2007)
Spielmann, M., Bauer, C., Dones, R., Institut, P. S., &amp; Tuchschmid, M. (2007). Transport Services. Swiss Centre for Life Cycle Inventories, ecoinvent report No. 14.</t>
        </is>
      </c>
    </row>
    <row r="873">
      <c r="A873" t="inlineStr">
        <is>
          <t>Carbon dioxide, fossil</t>
        </is>
      </c>
      <c r="B873" t="n">
        <v>0.002129842</v>
      </c>
      <c r="D873" t="inlineStr">
        <is>
          <t>kilogram</t>
        </is>
      </c>
      <c r="E873" t="inlineStr">
        <is>
          <t>air</t>
        </is>
      </c>
      <c r="F873" t="inlineStr">
        <is>
          <t>biosphere</t>
        </is>
      </c>
      <c r="H873" t="inlineStr">
        <is>
          <t>3.146 kg/kg fuel for diesel locomotives, according to Spielmann et al. (2007)
Spielmann, M., Bauer, C., Dones, R., Institut, P. S., &amp; Tuchschmid, M. (2007). Transport Services. Swiss Centre for Life Cycle Inventories, ecoinvent report No. 14.</t>
        </is>
      </c>
    </row>
    <row r="874">
      <c r="A874" t="inlineStr">
        <is>
          <t>Carbon monoxide, fossil</t>
        </is>
      </c>
      <c r="B874" t="n">
        <v>1.06966e-05</v>
      </c>
      <c r="D874" t="inlineStr">
        <is>
          <t>kilogram</t>
        </is>
      </c>
      <c r="E874" t="inlineStr">
        <is>
          <t>air</t>
        </is>
      </c>
      <c r="F874" t="inlineStr">
        <is>
          <t>biosphere</t>
        </is>
      </c>
      <c r="H874" t="inlineStr">
        <is>
          <t>1.58E-02 kg/kg fuel for diesel locomotives, according to Spielmann et al. (2007)
Spielmann, M., Bauer, C., Dones, R., Institut, P. S., &amp; Tuchschmid, M. (2007). Transport Services. Swiss Centre for Life Cycle Inventories, ecoinvent report No. 14.</t>
        </is>
      </c>
    </row>
    <row r="875">
      <c r="A875" t="inlineStr">
        <is>
          <t>Chromium III</t>
        </is>
      </c>
      <c r="B875" t="n">
        <v>3.385e-11</v>
      </c>
      <c r="D875" t="inlineStr">
        <is>
          <t>kilogram</t>
        </is>
      </c>
      <c r="E875" t="inlineStr">
        <is>
          <t>air</t>
        </is>
      </c>
      <c r="F875" t="inlineStr">
        <is>
          <t>biosphere</t>
        </is>
      </c>
      <c r="H875" t="inlineStr">
        <is>
          <t>5.0E-08 kg/kg fuel for diesel locomotives, according to Spielmann et al. (2007)
Spielmann, M., Bauer, C., Dones, R., Institut, P. S., &amp; Tuchschmid, M. (2007). Transport Services. Swiss Centre for Life Cycle Inventories, ecoinvent report No. 14.</t>
        </is>
      </c>
    </row>
    <row r="876">
      <c r="A876" t="inlineStr">
        <is>
          <t>Copper ion</t>
        </is>
      </c>
      <c r="B876" t="n">
        <v>1.1509e-09</v>
      </c>
      <c r="D876" t="inlineStr">
        <is>
          <t>kilogram</t>
        </is>
      </c>
      <c r="E876" t="inlineStr">
        <is>
          <t>air</t>
        </is>
      </c>
      <c r="F876" t="inlineStr">
        <is>
          <t>biosphere</t>
        </is>
      </c>
      <c r="H876" t="inlineStr">
        <is>
          <t>1.7E-06 kg/kg fuel for diesel locomotives, according to Spielmann et al. (2007)
Spielmann, M., Bauer, C., Dones, R., Institut, P. S., &amp; Tuchschmid, M. (2007). Transport Services. Swiss Centre for Life Cycle Inventories, ecoinvent report No. 14.</t>
        </is>
      </c>
    </row>
    <row r="877">
      <c r="A877" t="inlineStr">
        <is>
          <t>Dinitrogen monoxide</t>
        </is>
      </c>
      <c r="B877" t="n">
        <v>6.77e-08</v>
      </c>
      <c r="D877" t="inlineStr">
        <is>
          <t>kilogram</t>
        </is>
      </c>
      <c r="E877" t="inlineStr">
        <is>
          <t>air</t>
        </is>
      </c>
      <c r="F877" t="inlineStr">
        <is>
          <t>biosphere</t>
        </is>
      </c>
      <c r="H877" t="inlineStr">
        <is>
          <t>1.0E-04 kg/kg fuel for diesel locomotives, according to Spielmann et al. (2007)
Spielmann, M., Bauer, C., Dones, R., Institut, P. S., &amp; Tuchschmid, M. (2007). Transport Services. Swiss Centre for Life Cycle Inventories, ecoinvent report No. 14.</t>
        </is>
      </c>
    </row>
    <row r="878">
      <c r="A878" t="inlineStr">
        <is>
          <t>Iron ion</t>
        </is>
      </c>
      <c r="B878" t="n">
        <v>0</v>
      </c>
      <c r="D878" t="inlineStr">
        <is>
          <t>kilogram</t>
        </is>
      </c>
      <c r="E878" t="inlineStr">
        <is>
          <t>soil</t>
        </is>
      </c>
      <c r="F878" t="inlineStr">
        <is>
          <t>biosphere</t>
        </is>
      </c>
      <c r="H878" t="inlineStr">
        <is>
          <t>1.24E-05 kg/tkm, emission of particulates due to abrasion from rail tracks, wheels,and brakes Spielmann et al. (2007)
Spielmann, M., Bauer, C., Dones, R., Institut, P. S., &amp; Tuchschmid, M. (2007). Transport Services. Swiss Centre for Life Cycle Inventories, ecoinvent report No. 14.</t>
        </is>
      </c>
    </row>
    <row r="879">
      <c r="A879" t="inlineStr">
        <is>
          <t>Lead II</t>
        </is>
      </c>
      <c r="B879" t="n">
        <v>7.447e-14</v>
      </c>
      <c r="D879" t="inlineStr">
        <is>
          <t>kilogram</t>
        </is>
      </c>
      <c r="E879" t="inlineStr">
        <is>
          <t>air</t>
        </is>
      </c>
      <c r="F879" t="inlineStr">
        <is>
          <t>biosphere</t>
        </is>
      </c>
      <c r="H879" t="inlineStr">
        <is>
          <t>1.1E-10 kg/kg fuel for diesel locomotives, according to Spielmann et al. (2007)
Spielmann, M., Bauer, C., Dones, R., Institut, P. S., &amp; Tuchschmid, M. (2007). Transport Services. Swiss Centre for Life Cycle Inventories, ecoinvent report No. 14.</t>
        </is>
      </c>
    </row>
    <row r="880">
      <c r="A880" t="inlineStr">
        <is>
          <t>Mercury II</t>
        </is>
      </c>
      <c r="B880" t="n">
        <v>1.354e-14</v>
      </c>
      <c r="D880" t="inlineStr">
        <is>
          <t>kilogram</t>
        </is>
      </c>
      <c r="E880" t="inlineStr">
        <is>
          <t>air</t>
        </is>
      </c>
      <c r="F880" t="inlineStr">
        <is>
          <t>biosphere</t>
        </is>
      </c>
      <c r="H880" t="inlineStr">
        <is>
          <t>2.0E-11 kg/kg fuel for diesel locomotives, according to Spielmann et al. (2007)
Spielmann, M., Bauer, C., Dones, R., Institut, P. S., &amp; Tuchschmid, M. (2007). Transport Services. Swiss Centre for Life Cycle Inventories, ecoinvent report No. 14.</t>
        </is>
      </c>
    </row>
    <row r="881">
      <c r="A881" t="inlineStr">
        <is>
          <t>Methane, fossil</t>
        </is>
      </c>
      <c r="B881" t="n">
        <v>8.800999999999999e-08</v>
      </c>
      <c r="D881" t="inlineStr">
        <is>
          <t>kilogram</t>
        </is>
      </c>
      <c r="E881" t="inlineStr">
        <is>
          <t>air</t>
        </is>
      </c>
      <c r="F881" t="inlineStr">
        <is>
          <t>biosphere</t>
        </is>
      </c>
      <c r="H881" t="inlineStr">
        <is>
          <t>1.3E-04 kg/kg fuel for diesel locomotives, according to Spielmann et al. (2007)
Spielmann, M., Bauer, C., Dones, R., Institut, P. S., &amp; Tuchschmid, M. (2007). Transport Services. Swiss Centre for Life Cycle Inventories, ecoinvent report No. 14.</t>
        </is>
      </c>
    </row>
    <row r="882">
      <c r="A882" t="inlineStr">
        <is>
          <t>NMVOC, non-methane volatile organic compounds</t>
        </is>
      </c>
      <c r="B882" t="n">
        <v>3.55425e-06</v>
      </c>
      <c r="D882" t="inlineStr">
        <is>
          <t>kilogram</t>
        </is>
      </c>
      <c r="E882" t="inlineStr">
        <is>
          <t>air</t>
        </is>
      </c>
      <c r="F882" t="inlineStr">
        <is>
          <t>biosphere</t>
        </is>
      </c>
      <c r="H882" t="inlineStr">
        <is>
          <t>5.25E-03 kg/kg fuel for diesel locomotives, according to Spielmann et al. (2007)
Spielmann, M., Bauer, C., Dones, R., Institut, P. S., &amp; Tuchschmid, M. (2007). Transport Services. Swiss Centre for Life Cycle Inventories, ecoinvent report No. 14.</t>
        </is>
      </c>
    </row>
    <row r="883">
      <c r="A883" t="inlineStr">
        <is>
          <t>Nickel II</t>
        </is>
      </c>
      <c r="B883" t="n">
        <v>4.739e-11</v>
      </c>
      <c r="D883" t="inlineStr">
        <is>
          <t>kilogram</t>
        </is>
      </c>
      <c r="E883" t="inlineStr">
        <is>
          <t>air</t>
        </is>
      </c>
      <c r="F883" t="inlineStr">
        <is>
          <t>biosphere</t>
        </is>
      </c>
      <c r="H883" t="inlineStr">
        <is>
          <t>7.0E-08 kg/kg fuel for diesel locomotives, according to Spielmann et al. (2007)
Spielmann, M., Bauer, C., Dones, R., Institut, P. S., &amp; Tuchschmid, M. (2007). Transport Services. Swiss Centre for Life Cycle Inventories, ecoinvent report No. 14.</t>
        </is>
      </c>
    </row>
    <row r="884">
      <c r="A884" t="inlineStr">
        <is>
          <t>Nitrogen oxides</t>
        </is>
      </c>
      <c r="B884" t="n">
        <v>3.7235e-05</v>
      </c>
      <c r="D884" t="inlineStr">
        <is>
          <t>kilogram</t>
        </is>
      </c>
      <c r="E884" t="inlineStr">
        <is>
          <t>air</t>
        </is>
      </c>
      <c r="F884" t="inlineStr">
        <is>
          <t>biosphere</t>
        </is>
      </c>
      <c r="H884" t="inlineStr">
        <is>
          <t>5.5E-02 kg/kg fuel for diesel locomotives, according to Spielmann et al. (2007)
Spielmann, M., Bauer, C., Dones, R., Institut, P. S., &amp; Tuchschmid, M. (2007). Transport Services. Swiss Centre for Life Cycle Inventories, ecoinvent report No. 14.</t>
        </is>
      </c>
    </row>
    <row r="885">
      <c r="A885" t="inlineStr">
        <is>
          <t>Particulate Matter, &lt; 2.5 um</t>
        </is>
      </c>
      <c r="B885" t="n">
        <v>8.327099999999999e-07</v>
      </c>
      <c r="D885" t="inlineStr">
        <is>
          <t>kilogram</t>
        </is>
      </c>
      <c r="E885" t="inlineStr">
        <is>
          <t>air</t>
        </is>
      </c>
      <c r="F885" t="inlineStr">
        <is>
          <t>biosphere</t>
        </is>
      </c>
      <c r="H885" t="inlineStr">
        <is>
          <t>1.28E-03 kg/kg fuel for diesel locomotives, according to Spielmann et al. (2007)
Spielmann, M., Bauer, C., Dones, R., Institut, P. S., &amp; Tuchschmid, M. (2007). Transport Services. Swiss Centre for Life Cycle Inventories, ecoinvent report No. 14.</t>
        </is>
      </c>
    </row>
    <row r="886">
      <c r="A886" t="inlineStr">
        <is>
          <t>Particulate Matter, &gt; 10 um</t>
        </is>
      </c>
      <c r="B886" t="n">
        <v>1.77371673e-05</v>
      </c>
      <c r="D886" t="inlineStr">
        <is>
          <t>kilogram</t>
        </is>
      </c>
      <c r="E886" t="inlineStr">
        <is>
          <t>air</t>
        </is>
      </c>
      <c r="F886" t="inlineStr">
        <is>
          <t>biosphere</t>
        </is>
      </c>
      <c r="H886" t="inlineStr">
        <is>
          <t>4.59E-05 kg/kg fuel for diesel locomotives, according to Spielmann et al. (2007), plus
1.77E-05 kg/tkm, emission of particulates due to abrasion from rail tracks, wheels,and brakes Spielmann et al. (2007)
Spielmann, M., Bauer, C., Dones, R., Institut, P. S., &amp; Tuchschmid, M. (2007). Transport Services. Swiss Centre for Life Cycle Inventories, ecoinvent report No. 14.</t>
        </is>
      </c>
    </row>
    <row r="887">
      <c r="A887" t="inlineStr">
        <is>
          <t>Particulate Matter, &gt; 2.5 um and &lt; 10um</t>
        </is>
      </c>
      <c r="B887" t="n">
        <v>1.6372439e-05</v>
      </c>
      <c r="D887" t="inlineStr">
        <is>
          <t>kilogram</t>
        </is>
      </c>
      <c r="E887" t="inlineStr">
        <is>
          <t>air</t>
        </is>
      </c>
      <c r="F887" t="inlineStr">
        <is>
          <t>biosphere</t>
        </is>
      </c>
      <c r="H887" t="inlineStr">
        <is>
          <t>1.07E-04 kg/kg fuel for diesel locomotives, according to Spielmann et al. (2007), plus
1.63E-05 kg/tkm, emission of particulates due to abrasion from rail tracks, wheels,and brakes Spielmann et al. (2007)
Spielmann, M., Bauer, C., Dones, R., Institut, P. S., &amp; Tuchschmid, M. (2007). Transport Services. Swiss Centre for Life Cycle Inventories, ecoinvent report No. 14.</t>
        </is>
      </c>
    </row>
    <row r="888">
      <c r="A888" t="inlineStr">
        <is>
          <t>Selenium IV</t>
        </is>
      </c>
      <c r="B888" t="n">
        <v>6.77e-12</v>
      </c>
      <c r="D888" t="inlineStr">
        <is>
          <t>kilogram</t>
        </is>
      </c>
      <c r="E888" t="inlineStr">
        <is>
          <t>air</t>
        </is>
      </c>
      <c r="F888" t="inlineStr">
        <is>
          <t>biosphere</t>
        </is>
      </c>
      <c r="H888" t="inlineStr">
        <is>
          <t>1.0E-08 kg/kg fuel for diesel locomotives, according to Spielmann et al. (2007)
Spielmann, M., Bauer, C., Dones, R., Institut, P. S., &amp; Tuchschmid, M. (2007). Transport Services. Swiss Centre for Life Cycle Inventories, ecoinvent report No. 14.</t>
        </is>
      </c>
    </row>
    <row r="889">
      <c r="A889" t="inlineStr">
        <is>
          <t>Sulfur dioxide</t>
        </is>
      </c>
      <c r="B889" t="n">
        <v>4.062e-07</v>
      </c>
      <c r="D889" t="inlineStr">
        <is>
          <t>kilogram</t>
        </is>
      </c>
      <c r="E889" t="inlineStr">
        <is>
          <t>air</t>
        </is>
      </c>
      <c r="F889" t="inlineStr">
        <is>
          <t>biosphere</t>
        </is>
      </c>
      <c r="H889" t="inlineStr">
        <is>
          <t>6.0E-04 kg/kg fuel for diesel locomotives, according to Spielmann et al. (2007)
Spielmann, M., Bauer, C., Dones, R., Institut, P. S., &amp; Tuchschmid, M. (2007). Transport Services. Swiss Centre for Life Cycle Inventories, ecoinvent report No. 14.</t>
        </is>
      </c>
    </row>
    <row r="890">
      <c r="A890" t="inlineStr">
        <is>
          <t>Toluene</t>
        </is>
      </c>
      <c r="B890" t="n">
        <v>2.708e-08</v>
      </c>
      <c r="D890" t="inlineStr">
        <is>
          <t>kilogram</t>
        </is>
      </c>
      <c r="E890" t="inlineStr">
        <is>
          <t>air</t>
        </is>
      </c>
      <c r="F890" t="inlineStr">
        <is>
          <t>biosphere</t>
        </is>
      </c>
      <c r="H890" t="inlineStr">
        <is>
          <t>4.0E-05 kg/kg fuel for diesel locomotives, according to Spielmann et al. (2007)
Spielmann, M., Bauer, C., Dones, R., Institut, P. S., &amp; Tuchschmid, M. (2007). Transport Services. Swiss Centre for Life Cycle Inventories, ecoinvent report No. 14.</t>
        </is>
      </c>
    </row>
    <row r="891">
      <c r="A891" t="inlineStr">
        <is>
          <t>Xylene</t>
        </is>
      </c>
      <c r="B891" t="n">
        <v>2.708e-08</v>
      </c>
      <c r="D891" t="inlineStr">
        <is>
          <t>kilogram</t>
        </is>
      </c>
      <c r="E891" t="inlineStr">
        <is>
          <t>air</t>
        </is>
      </c>
      <c r="F891" t="inlineStr">
        <is>
          <t>biosphere</t>
        </is>
      </c>
      <c r="H891" t="inlineStr">
        <is>
          <t>4.0E-05 kg/kg fuel for diesel locomotives, according to Spielmann et al. (2007)
Spielmann, M., Bauer, C., Dones, R., Institut, P. S., &amp; Tuchschmid, M. (2007). Transport Services. Swiss Centre for Life Cycle Inventories, ecoinvent report No. 14.</t>
        </is>
      </c>
    </row>
    <row r="892">
      <c r="A892" t="inlineStr">
        <is>
          <t>Zinc II</t>
        </is>
      </c>
      <c r="B892" t="n">
        <v>6.769999999999999e-10</v>
      </c>
      <c r="D892" t="inlineStr">
        <is>
          <t>kilogram</t>
        </is>
      </c>
      <c r="E892" t="inlineStr">
        <is>
          <t>air</t>
        </is>
      </c>
      <c r="F892" t="inlineStr">
        <is>
          <t>biosphere</t>
        </is>
      </c>
      <c r="H892" t="inlineStr">
        <is>
          <t>1.0E-06 kg/kg fuel for diesel locomotives, according to Spielmann et al. (2007)
Spielmann, M., Bauer, C., Dones, R., Institut, P. S., &amp; Tuchschmid, M. (2007). Transport Services. Swiss Centre for Life Cycle Inventories, ecoinvent report No. 14.</t>
        </is>
      </c>
    </row>
    <row r="893">
      <c r="A893" t="inlineStr">
        <is>
          <t>transport, freight train, fuel cell, hydrogen</t>
        </is>
      </c>
      <c r="B893" t="n">
        <v>1</v>
      </c>
      <c r="C893" t="inlineStr">
        <is>
          <t>RoW</t>
        </is>
      </c>
      <c r="D893" t="inlineStr">
        <is>
          <t>ton kilometer</t>
        </is>
      </c>
      <c r="F893" t="inlineStr">
        <is>
          <t>production</t>
        </is>
      </c>
      <c r="G893" t="inlineStr">
        <is>
          <t>transport, freight train</t>
        </is>
      </c>
    </row>
    <row r="894"/>
    <row r="895" ht="16" customHeight="1">
      <c r="A895" s="1" t="inlineStr">
        <is>
          <t>Activity</t>
        </is>
      </c>
      <c r="B895" s="1" t="inlineStr">
        <is>
          <t>internal combustion engine, for lorry, adapted to locomotives</t>
        </is>
      </c>
    </row>
    <row r="896">
      <c r="A896" t="inlineStr">
        <is>
          <t>location</t>
        </is>
      </c>
      <c r="B896" t="inlineStr">
        <is>
          <t>RER</t>
        </is>
      </c>
    </row>
    <row r="897">
      <c r="A897" t="inlineStr">
        <is>
          <t>production amount</t>
        </is>
      </c>
      <c r="B897" t="n">
        <v>1</v>
      </c>
    </row>
    <row r="898">
      <c r="A898" t="inlineStr">
        <is>
          <t>reference product</t>
        </is>
      </c>
      <c r="B898" t="inlineStr">
        <is>
          <t>internal combustion engine, for lorry</t>
        </is>
      </c>
    </row>
    <row r="899">
      <c r="A899" t="inlineStr">
        <is>
          <t>type</t>
        </is>
      </c>
      <c r="B899" t="inlineStr">
        <is>
          <t>process</t>
        </is>
      </c>
    </row>
    <row r="900">
      <c r="A900" t="inlineStr">
        <is>
          <t>unit</t>
        </is>
      </c>
      <c r="B900" t="inlineStr">
        <is>
          <t>kilogram</t>
        </is>
      </c>
    </row>
    <row r="901">
      <c r="A901" t="inlineStr">
        <is>
          <t>source</t>
        </is>
      </c>
      <c r="B901" t="inlineStr">
        <is>
          <t>Wolff et al. 2020, Sustainability, DOI: 10.3390/su12135396</t>
        </is>
      </c>
    </row>
    <row r="902">
      <c r="A902" t="inlineStr">
        <is>
          <t>description</t>
        </is>
      </c>
      <c r="B902" t="inlineStr">
        <is>
          <t>This is the inventory for 1 kg of internal combustion engine for a MDV/HDV.</t>
        </is>
      </c>
    </row>
    <row r="903" ht="16" customHeight="1">
      <c r="A903" s="1" t="inlineStr">
        <is>
          <t>Exchanges</t>
        </is>
      </c>
    </row>
    <row r="904">
      <c r="A904" s="2" t="inlineStr">
        <is>
          <t>name</t>
        </is>
      </c>
      <c r="B904" s="2" t="inlineStr">
        <is>
          <t>amount</t>
        </is>
      </c>
      <c r="C904" s="2" t="inlineStr">
        <is>
          <t>location</t>
        </is>
      </c>
      <c r="D904" s="2" t="inlineStr">
        <is>
          <t>unit</t>
        </is>
      </c>
      <c r="E904" s="2" t="inlineStr">
        <is>
          <t>categories</t>
        </is>
      </c>
      <c r="F904" s="2" t="inlineStr">
        <is>
          <t>type</t>
        </is>
      </c>
      <c r="G904" s="2" t="inlineStr">
        <is>
          <t>reference product</t>
        </is>
      </c>
      <c r="H904" s="2" t="n"/>
    </row>
    <row r="905">
      <c r="A905" t="inlineStr">
        <is>
          <t>market for copper, cathode</t>
        </is>
      </c>
      <c r="B905" t="n">
        <v>0.01</v>
      </c>
      <c r="C905" t="inlineStr">
        <is>
          <t>GLO</t>
        </is>
      </c>
      <c r="D905" t="inlineStr">
        <is>
          <t>kilogram</t>
        </is>
      </c>
      <c r="E905" t="inlineStr"/>
      <c r="F905" t="inlineStr">
        <is>
          <t>technosphere</t>
        </is>
      </c>
      <c r="G905" t="inlineStr">
        <is>
          <t>copper, cathode</t>
        </is>
      </c>
    </row>
    <row r="906">
      <c r="A906" t="inlineStr">
        <is>
          <t>metal working, average for aluminium product manufacturing</t>
        </is>
      </c>
      <c r="B906" t="n">
        <v>0.15</v>
      </c>
      <c r="C906" t="inlineStr">
        <is>
          <t>RER</t>
        </is>
      </c>
      <c r="D906" t="inlineStr">
        <is>
          <t>kilogram</t>
        </is>
      </c>
      <c r="E906" t="inlineStr"/>
      <c r="F906" t="inlineStr">
        <is>
          <t>technosphere</t>
        </is>
      </c>
      <c r="G906" t="inlineStr">
        <is>
          <t>metal working, average for aluminium product manufacturing</t>
        </is>
      </c>
    </row>
    <row r="907">
      <c r="A907" t="inlineStr">
        <is>
          <t>Hydrogen chloride</t>
        </is>
      </c>
      <c r="B907" t="n">
        <v>0.000695</v>
      </c>
      <c r="D907" t="inlineStr">
        <is>
          <t>kilogram</t>
        </is>
      </c>
      <c r="E907" t="inlineStr">
        <is>
          <t>air</t>
        </is>
      </c>
      <c r="F907" t="inlineStr">
        <is>
          <t>biosphere</t>
        </is>
      </c>
    </row>
    <row r="908">
      <c r="A908" t="inlineStr">
        <is>
          <t>market for steel, low-alloyed</t>
        </is>
      </c>
      <c r="B908" t="n">
        <v>0.3</v>
      </c>
      <c r="C908" t="inlineStr">
        <is>
          <t>GLO</t>
        </is>
      </c>
      <c r="D908" t="inlineStr">
        <is>
          <t>kilogram</t>
        </is>
      </c>
      <c r="E908" t="inlineStr"/>
      <c r="F908" t="inlineStr">
        <is>
          <t>technosphere</t>
        </is>
      </c>
      <c r="G908" t="inlineStr">
        <is>
          <t>steel, low-alloyed</t>
        </is>
      </c>
    </row>
    <row r="909">
      <c r="A909" t="inlineStr">
        <is>
          <t>market group for electricity, low voltage</t>
        </is>
      </c>
      <c r="B909" t="n">
        <v>0.645</v>
      </c>
      <c r="C909" t="inlineStr">
        <is>
          <t>ENTSO-E</t>
        </is>
      </c>
      <c r="D909" t="inlineStr">
        <is>
          <t>kilowatt hour</t>
        </is>
      </c>
      <c r="E909" t="inlineStr"/>
      <c r="F909" t="inlineStr">
        <is>
          <t>technosphere</t>
        </is>
      </c>
      <c r="G909" t="inlineStr">
        <is>
          <t>electricity, low voltage</t>
        </is>
      </c>
    </row>
    <row r="910">
      <c r="A910" t="inlineStr">
        <is>
          <t>metal working, average for copper product manufacturing</t>
        </is>
      </c>
      <c r="B910" t="n">
        <v>0.01</v>
      </c>
      <c r="C910" t="inlineStr">
        <is>
          <t>RER</t>
        </is>
      </c>
      <c r="D910" t="inlineStr">
        <is>
          <t>kilogram</t>
        </is>
      </c>
      <c r="E910" t="inlineStr"/>
      <c r="F910" t="inlineStr">
        <is>
          <t>technosphere</t>
        </is>
      </c>
      <c r="G910" t="inlineStr">
        <is>
          <t>metal working, average for copper product manufacturing</t>
        </is>
      </c>
    </row>
    <row r="911">
      <c r="A911" t="inlineStr">
        <is>
          <t>Hydrogen sulfide</t>
        </is>
      </c>
      <c r="B911" t="n">
        <v>1.18e-06</v>
      </c>
      <c r="D911" t="inlineStr">
        <is>
          <t>kilogram</t>
        </is>
      </c>
      <c r="E911" t="inlineStr">
        <is>
          <t>air</t>
        </is>
      </c>
      <c r="F911" t="inlineStr">
        <is>
          <t>biosphere</t>
        </is>
      </c>
    </row>
    <row r="912">
      <c r="A912" t="inlineStr">
        <is>
          <t>Carbon monoxide, fossil</t>
        </is>
      </c>
      <c r="B912" t="n">
        <v>0.0005529</v>
      </c>
      <c r="D912" t="inlineStr">
        <is>
          <t>kilogram</t>
        </is>
      </c>
      <c r="E912" t="inlineStr">
        <is>
          <t>air</t>
        </is>
      </c>
      <c r="F912" t="inlineStr">
        <is>
          <t>biosphere</t>
        </is>
      </c>
    </row>
    <row r="913">
      <c r="A913" t="inlineStr">
        <is>
          <t>Sulfur dioxide</t>
        </is>
      </c>
      <c r="B913" t="n">
        <v>0.00856</v>
      </c>
      <c r="D913" t="inlineStr">
        <is>
          <t>kilogram</t>
        </is>
      </c>
      <c r="E913" t="inlineStr">
        <is>
          <t>air</t>
        </is>
      </c>
      <c r="F913" t="inlineStr">
        <is>
          <t>biosphere</t>
        </is>
      </c>
    </row>
    <row r="914">
      <c r="A914" t="inlineStr">
        <is>
          <t>Methane, fossil</t>
        </is>
      </c>
      <c r="B914" t="n">
        <v>0.00727</v>
      </c>
      <c r="D914" t="inlineStr">
        <is>
          <t>kilogram</t>
        </is>
      </c>
      <c r="E914" t="inlineStr">
        <is>
          <t>air</t>
        </is>
      </c>
      <c r="F914" t="inlineStr">
        <is>
          <t>biosphere</t>
        </is>
      </c>
    </row>
    <row r="915">
      <c r="A915" t="inlineStr">
        <is>
          <t>market for cast iron</t>
        </is>
      </c>
      <c r="B915" t="n">
        <v>0.45</v>
      </c>
      <c r="C915" t="inlineStr">
        <is>
          <t>GLO</t>
        </is>
      </c>
      <c r="D915" t="inlineStr">
        <is>
          <t>kilogram</t>
        </is>
      </c>
      <c r="E915" t="inlineStr"/>
      <c r="F915" t="inlineStr">
        <is>
          <t>technosphere</t>
        </is>
      </c>
      <c r="G915" t="inlineStr">
        <is>
          <t>cast iron</t>
        </is>
      </c>
    </row>
    <row r="916">
      <c r="A916" t="inlineStr">
        <is>
          <t>Occupation, industrial area</t>
        </is>
      </c>
      <c r="B916" t="n">
        <v>0.0158</v>
      </c>
      <c r="D916" t="inlineStr">
        <is>
          <t>square meter-year</t>
        </is>
      </c>
      <c r="E916" t="inlineStr">
        <is>
          <t>natural resource::land</t>
        </is>
      </c>
      <c r="F916" t="inlineStr">
        <is>
          <t>biosphere</t>
        </is>
      </c>
    </row>
    <row r="917">
      <c r="A917" t="inlineStr">
        <is>
          <t>Carbon dioxide, fossil</t>
        </is>
      </c>
      <c r="B917" t="n">
        <v>2.456</v>
      </c>
      <c r="D917" t="inlineStr">
        <is>
          <t>kilogram</t>
        </is>
      </c>
      <c r="E917" t="inlineStr">
        <is>
          <t>air</t>
        </is>
      </c>
      <c r="F917" t="inlineStr">
        <is>
          <t>biosphere</t>
        </is>
      </c>
    </row>
    <row r="918">
      <c r="A918" t="inlineStr">
        <is>
          <t>Ammonium, ion</t>
        </is>
      </c>
      <c r="B918" t="n">
        <v>4.58e-06</v>
      </c>
      <c r="D918" t="inlineStr">
        <is>
          <t>kilogram</t>
        </is>
      </c>
      <c r="E918" t="inlineStr">
        <is>
          <t>water</t>
        </is>
      </c>
      <c r="F918" t="inlineStr">
        <is>
          <t>biosphere</t>
        </is>
      </c>
    </row>
    <row r="919">
      <c r="A919" t="inlineStr">
        <is>
          <t>Transformation, to industrial area</t>
        </is>
      </c>
      <c r="B919" t="n">
        <v>0.0158</v>
      </c>
      <c r="D919" t="inlineStr">
        <is>
          <t>square meter</t>
        </is>
      </c>
      <c r="E919" t="inlineStr">
        <is>
          <t>natural resource::land</t>
        </is>
      </c>
      <c r="F919" t="inlineStr">
        <is>
          <t>biosphere</t>
        </is>
      </c>
    </row>
    <row r="920">
      <c r="A920" t="inlineStr">
        <is>
          <t>COD, Chemical Oxygen Demand</t>
        </is>
      </c>
      <c r="B920" t="n">
        <v>0.000223</v>
      </c>
      <c r="D920" t="inlineStr">
        <is>
          <t>kilogram</t>
        </is>
      </c>
      <c r="E920" t="inlineStr">
        <is>
          <t>water</t>
        </is>
      </c>
      <c r="F920" t="inlineStr">
        <is>
          <t>biosphere</t>
        </is>
      </c>
    </row>
    <row r="921">
      <c r="A921" t="inlineStr">
        <is>
          <t>market for synthetic rubber</t>
        </is>
      </c>
      <c r="B921" t="n">
        <v>0.045</v>
      </c>
      <c r="C921" t="inlineStr">
        <is>
          <t>GLO</t>
        </is>
      </c>
      <c r="D921" t="inlineStr">
        <is>
          <t>kilogram</t>
        </is>
      </c>
      <c r="E921" t="inlineStr"/>
      <c r="F921" t="inlineStr">
        <is>
          <t>technosphere</t>
        </is>
      </c>
      <c r="G921" t="inlineStr">
        <is>
          <t>synthetic rubber</t>
        </is>
      </c>
    </row>
    <row r="922">
      <c r="A922" t="inlineStr">
        <is>
          <t>market for aluminium alloy, AlLi</t>
        </is>
      </c>
      <c r="B922" t="n">
        <v>0.15</v>
      </c>
      <c r="C922" t="inlineStr">
        <is>
          <t>GLO</t>
        </is>
      </c>
      <c r="D922" t="inlineStr">
        <is>
          <t>kilogram</t>
        </is>
      </c>
      <c r="E922" t="inlineStr"/>
      <c r="F922" t="inlineStr">
        <is>
          <t>technosphere</t>
        </is>
      </c>
      <c r="G922" t="inlineStr">
        <is>
          <t>aluminium alloy, AlLi</t>
        </is>
      </c>
    </row>
    <row r="923">
      <c r="A923" t="inlineStr">
        <is>
          <t>BOD5, Biological Oxygen Demand</t>
        </is>
      </c>
      <c r="B923" t="n">
        <v>0.000129</v>
      </c>
      <c r="D923" t="inlineStr">
        <is>
          <t>kilogram</t>
        </is>
      </c>
      <c r="E923" t="inlineStr">
        <is>
          <t>water</t>
        </is>
      </c>
      <c r="F923" t="inlineStr">
        <is>
          <t>biosphere</t>
        </is>
      </c>
    </row>
    <row r="924">
      <c r="A924" t="inlineStr">
        <is>
          <t>metal working, average for steel product manufacturing</t>
        </is>
      </c>
      <c r="B924" t="n">
        <v>0.45</v>
      </c>
      <c r="C924" t="inlineStr">
        <is>
          <t>RER</t>
        </is>
      </c>
      <c r="D924" t="inlineStr">
        <is>
          <t>kilogram</t>
        </is>
      </c>
      <c r="E924" t="inlineStr"/>
      <c r="F924" t="inlineStr">
        <is>
          <t>technosphere</t>
        </is>
      </c>
      <c r="G924" t="inlineStr">
        <is>
          <t>metal working, average for steel product manufacturing</t>
        </is>
      </c>
    </row>
    <row r="925">
      <c r="A925" t="inlineStr">
        <is>
          <t>Nitrogen oxides</t>
        </is>
      </c>
      <c r="B925" t="n">
        <v>0.00708</v>
      </c>
      <c r="D925" t="inlineStr">
        <is>
          <t>kilogram</t>
        </is>
      </c>
      <c r="E925" t="inlineStr">
        <is>
          <t>air</t>
        </is>
      </c>
      <c r="F925" t="inlineStr">
        <is>
          <t>biosphere</t>
        </is>
      </c>
    </row>
    <row r="926">
      <c r="A926" t="inlineStr">
        <is>
          <t>internal combustion engine, for lorry, adapted to locomotives</t>
        </is>
      </c>
      <c r="B926" t="n">
        <v>1</v>
      </c>
      <c r="C926" t="inlineStr">
        <is>
          <t>RER</t>
        </is>
      </c>
      <c r="D926" t="inlineStr">
        <is>
          <t>kilogram</t>
        </is>
      </c>
      <c r="E926" t="inlineStr"/>
      <c r="F926" t="inlineStr">
        <is>
          <t>production</t>
        </is>
      </c>
      <c r="G926" t="inlineStr">
        <is>
          <t>internal combustion engine, for lorry</t>
        </is>
      </c>
    </row>
    <row r="927">
      <c r="A927" t="inlineStr">
        <is>
          <t>market for phenolic resin</t>
        </is>
      </c>
      <c r="B927" t="n">
        <v>0.45</v>
      </c>
      <c r="C927" t="inlineStr">
        <is>
          <t>RER</t>
        </is>
      </c>
      <c r="D927" t="inlineStr">
        <is>
          <t>kilogram</t>
        </is>
      </c>
      <c r="E927" t="inlineStr"/>
      <c r="F927" t="inlineStr">
        <is>
          <t>technosphere</t>
        </is>
      </c>
      <c r="G927" t="inlineStr">
        <is>
          <t>phenolic resin</t>
        </is>
      </c>
    </row>
    <row r="928"/>
    <row r="929" ht="16" customHeight="1">
      <c r="A929" s="1" t="inlineStr">
        <is>
          <t>Activity</t>
        </is>
      </c>
      <c r="B929" s="1" t="inlineStr">
        <is>
          <t>fuel tank, for diesel vehicle, adapted to locomotives</t>
        </is>
      </c>
    </row>
    <row r="930">
      <c r="A930" t="inlineStr">
        <is>
          <t>location</t>
        </is>
      </c>
      <c r="B930" t="inlineStr">
        <is>
          <t>RER</t>
        </is>
      </c>
    </row>
    <row r="931">
      <c r="A931" t="inlineStr">
        <is>
          <t>production amount</t>
        </is>
      </c>
      <c r="B931" t="n">
        <v>1</v>
      </c>
    </row>
    <row r="932">
      <c r="A932" t="inlineStr">
        <is>
          <t>reference product</t>
        </is>
      </c>
      <c r="B932" t="inlineStr">
        <is>
          <t>fuel tank</t>
        </is>
      </c>
    </row>
    <row r="933">
      <c r="A933" t="inlineStr">
        <is>
          <t>type</t>
        </is>
      </c>
      <c r="B933" t="inlineStr">
        <is>
          <t>process</t>
        </is>
      </c>
    </row>
    <row r="934">
      <c r="A934" t="inlineStr">
        <is>
          <t>unit</t>
        </is>
      </c>
      <c r="B934" t="inlineStr">
        <is>
          <t>kilogram</t>
        </is>
      </c>
    </row>
    <row r="935">
      <c r="A935" t="inlineStr">
        <is>
          <t>source</t>
        </is>
      </c>
      <c r="B935" t="inlineStr">
        <is>
          <t>Wolff et al. 2020, Sustainability, DOI: 10.3390/su12135396</t>
        </is>
      </c>
    </row>
    <row r="936">
      <c r="A936" t="inlineStr">
        <is>
          <t>description</t>
        </is>
      </c>
      <c r="B936" t="inlineStr">
        <is>
          <t>This is the inventory for 1 kg of aluminium-made fuel tank, empty. Scaling formula: 17.159*ln(volume fuel)-54.98</t>
        </is>
      </c>
    </row>
    <row r="937" ht="16" customHeight="1">
      <c r="A937" s="1" t="inlineStr">
        <is>
          <t>Exchanges</t>
        </is>
      </c>
    </row>
    <row r="938">
      <c r="A938" s="2" t="inlineStr">
        <is>
          <t>name</t>
        </is>
      </c>
      <c r="B938" s="2" t="inlineStr">
        <is>
          <t>amount</t>
        </is>
      </c>
      <c r="C938" s="2" t="inlineStr">
        <is>
          <t>location</t>
        </is>
      </c>
      <c r="D938" s="2" t="inlineStr">
        <is>
          <t>unit</t>
        </is>
      </c>
      <c r="E938" s="2" t="inlineStr">
        <is>
          <t>categories</t>
        </is>
      </c>
      <c r="F938" s="2" t="inlineStr">
        <is>
          <t>type</t>
        </is>
      </c>
      <c r="G938" s="2" t="inlineStr">
        <is>
          <t>reference product</t>
        </is>
      </c>
      <c r="H938" s="2" t="n"/>
    </row>
    <row r="939">
      <c r="A939" t="inlineStr">
        <is>
          <t>metal working, average for aluminium product manufacturing</t>
        </is>
      </c>
      <c r="B939" t="n">
        <v>1</v>
      </c>
      <c r="C939" t="inlineStr">
        <is>
          <t>RER</t>
        </is>
      </c>
      <c r="D939" t="inlineStr">
        <is>
          <t>kilogram</t>
        </is>
      </c>
      <c r="E939" t="inlineStr"/>
      <c r="F939" t="inlineStr">
        <is>
          <t>technosphere</t>
        </is>
      </c>
      <c r="G939" t="inlineStr">
        <is>
          <t>metal working, average for aluminium product manufacturing</t>
        </is>
      </c>
    </row>
    <row r="940">
      <c r="A940" t="inlineStr">
        <is>
          <t>fuel tank, for diesel vehicle, adapted to locomotives</t>
        </is>
      </c>
      <c r="B940" t="n">
        <v>1</v>
      </c>
      <c r="C940" t="inlineStr">
        <is>
          <t>RER</t>
        </is>
      </c>
      <c r="D940" t="inlineStr">
        <is>
          <t>kilogram</t>
        </is>
      </c>
      <c r="E940" t="inlineStr"/>
      <c r="F940" t="inlineStr">
        <is>
          <t>production</t>
        </is>
      </c>
      <c r="G940" t="inlineStr">
        <is>
          <t>fuel tank</t>
        </is>
      </c>
    </row>
    <row r="941">
      <c r="A941" t="inlineStr">
        <is>
          <t>market group for electricity, low voltage</t>
        </is>
      </c>
      <c r="B941" t="n">
        <v>6.25</v>
      </c>
      <c r="C941" t="inlineStr">
        <is>
          <t>ENTSO-E</t>
        </is>
      </c>
      <c r="D941" t="inlineStr">
        <is>
          <t>kilowatt hour</t>
        </is>
      </c>
      <c r="E941" t="inlineStr"/>
      <c r="F941" t="inlineStr">
        <is>
          <t>technosphere</t>
        </is>
      </c>
      <c r="G941" t="inlineStr">
        <is>
          <t>electricity, low voltage</t>
        </is>
      </c>
    </row>
    <row r="942">
      <c r="A942" t="inlineStr">
        <is>
          <t>market for aluminium alloy, AlLi</t>
        </is>
      </c>
      <c r="B942" t="n">
        <v>1</v>
      </c>
      <c r="C942" t="inlineStr">
        <is>
          <t>GLO</t>
        </is>
      </c>
      <c r="D942" t="inlineStr">
        <is>
          <t>kilogram</t>
        </is>
      </c>
      <c r="E942" t="inlineStr"/>
      <c r="F942" t="inlineStr">
        <is>
          <t>technosphere</t>
        </is>
      </c>
      <c r="G942" t="inlineStr">
        <is>
          <t>aluminium alloy, AlLi</t>
        </is>
      </c>
    </row>
    <row r="943">
      <c r="A943" t="inlineStr">
        <is>
          <t>welding, arc, aluminium</t>
        </is>
      </c>
      <c r="B943" t="n">
        <v>5</v>
      </c>
      <c r="C943" t="inlineStr">
        <is>
          <t>RER</t>
        </is>
      </c>
      <c r="D943" t="inlineStr">
        <is>
          <t>meter</t>
        </is>
      </c>
      <c r="E943" t="inlineStr"/>
      <c r="F943" t="inlineStr">
        <is>
          <t>technosphere</t>
        </is>
      </c>
      <c r="G943" t="inlineStr">
        <is>
          <t>welding, arc, aluminium</t>
        </is>
      </c>
    </row>
  </sheetData>
  <autoFilter ref="A1:H983"/>
  <pageMargins left="0.7" right="0.7" top="0.75" bottom="0.75" header="0.3" footer="0.3"/>
  <pageSetup orientation="portrait" paperSize="9" horizontalDpi="0" verticalDpi="0"/>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Jonas Klimt</dc:creator>
  <dcterms:created xmlns:dcterms="http://purl.org/dc/terms/" xmlns:xsi="http://www.w3.org/2001/XMLSchema-instance" xsi:type="dcterms:W3CDTF">2024-04-17T07:54:07Z</dcterms:created>
  <dcterms:modified xmlns:dcterms="http://purl.org/dc/terms/" xmlns:xsi="http://www.w3.org/2001/XMLSchema-instance" xsi:type="dcterms:W3CDTF">2026-07-07T13:56:54Z</dcterms:modified>
  <cp:lastModifiedBy>Romain Sacchi</cp:lastModifiedBy>
</cp:coreProperties>
</file>