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2"/>
  <workbookPr defaultThemeVersion="166925"/>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47EFDAEB-930B-404E-800F-42C66BFE2A4D}" xr6:coauthVersionLast="47" xr6:coauthVersionMax="47" xr10:uidLastSave="{00000000-0000-0000-0000-000000000000}"/>
  <bookViews>
    <workbookView xWindow="8140" yWindow="1860" windowWidth="22100" windowHeight="17540" xr2:uid="{3988C069-CC65-40BA-9751-20608AAA2DA4}"/>
  </bookViews>
  <sheets>
    <sheet name="Sheet1" sheetId="1" r:id="rId1"/>
  </sheets>
  <definedNames>
    <definedName name="_xlnm._FilterDatabase" localSheetId="0" hidden="1">Sheet1!$A$1:$H$983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9" i="1" l="1"/>
  <c r="B46" i="1"/>
  <c r="B32" i="1"/>
  <c r="B17" i="1"/>
  <c r="B45" i="1"/>
  <c r="B31" i="1"/>
  <c r="B16" i="1"/>
</calcChain>
</file>

<file path=xl/sharedStrings.xml><?xml version="1.0" encoding="utf-8"?>
<sst xmlns="http://schemas.openxmlformats.org/spreadsheetml/2006/main" count="4397" uniqueCount="280">
  <si>
    <t>Activity</t>
  </si>
  <si>
    <t>production of locomotive, diesel-electric</t>
  </si>
  <si>
    <t>location</t>
  </si>
  <si>
    <t>GLO</t>
  </si>
  <si>
    <t>production amount</t>
  </si>
  <si>
    <t>reference product</t>
  </si>
  <si>
    <t>locomotive diesel-electric</t>
  </si>
  <si>
    <t>type</t>
  </si>
  <si>
    <t>process</t>
  </si>
  <si>
    <t>unit</t>
  </si>
  <si>
    <t>source</t>
  </si>
  <si>
    <t xml:space="preserve">market for locomotive (ecoinvent) is based on Frischknecht et al. (1996). This study only consideres materials of the catenary electric locomotive RE 460 (~84t, years of construction 1991-1996), operated by the SBB in CH. Electrical components are not considered. This equals a electric locomotives base components without the electrical equipment (= power tracktion). Therfore additional components are added to the inventory to represent a diesel locomotive (ICE, generator, fuel tank, transformer, inverter, electric motors). As a reference diesel-electric locomotive the UKlight (Vossloh Rail Vehicles, 2012), as it is supplied by ABB (also supllying the Re460) and is similar in size (85t) to the Re460 (84t). The UKlight from Vossloh Rail Vehicles operates on 2,800 kW max. power with a starting tractive effort of 317 kN and a max speed of 160 km/h. This makes it comparable to the electric alternative Re460 with a tractive effort of 300 kN, although having a higher max. power of 6,100 kW and higher max. speed of 230 km/h. The two vehicles are still assumed to be comparable alternatives as freight rail transport does not operate on high velocities. 
Electrical components taken from ABB (2018b).
Average lifetime is assumed to be similar to the electric counterpart, namly 40 years with 9.6 million km Frischknecht et al. (1996). Assuming an average speed of 40 kmh (approx. 25 mph, based on Statista (2024)) equals a drivingtime of 240,000 h over the lifetime of the locomotive.
ABB (2018b). Bordline CC1500 DE - Product information. Retrieved March 23, 2024, from  https://search.abb.com/library/Download.aspx?DocumentID=3BHS340077%20ZAB%20E01&amp;LanguageCode=en&amp;DocumentPartId=&amp;Action=Launch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Statista  (n.d.).Union Pacific: Average train speed 2022. Retrieved April 3, 2024, from https://www.statista.com/statistics/547745/average-train-speed-union-pacific-railroad/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t>
  </si>
  <si>
    <t>description</t>
  </si>
  <si>
    <t/>
  </si>
  <si>
    <t>comment</t>
  </si>
  <si>
    <t>Exchanges</t>
  </si>
  <si>
    <t>name</t>
  </si>
  <si>
    <t>amount</t>
  </si>
  <si>
    <t>categories</t>
  </si>
  <si>
    <t>market for locomotive</t>
  </si>
  <si>
    <t>technosphere</t>
  </si>
  <si>
    <t>locomotive</t>
  </si>
  <si>
    <t>The ecoinvent inventory of locomotive based on Frischknecht (1996) serves as a base for all locomotive inventories modelled. The inventory only includes main materials without considering electronic equipment. As the inventory is based on the electric locomotive Re460, the inventory of the locomotive represents everything but the power/traction components. This allows for adding the components responsble for propelling the vehicle on top of this inflow.
Frischknecht R., Bollens U., Bosshart S., Ciot M., Ciseri L., Doka G., Dones R., Gantner U. and Hischier R. (1996) Ökoinventare von Energiesystemen: Grundlagen für den ökologischen Vergleich von Energiesystemen und den Einbezug von Energiesystemen in Ökobilanzen für die Schweiz</t>
  </si>
  <si>
    <t>RER</t>
  </si>
  <si>
    <t>kilogram</t>
  </si>
  <si>
    <t>fuel tank</t>
  </si>
  <si>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t>
  </si>
  <si>
    <t>internal combustion engine, for lorry</t>
  </si>
  <si>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t>
  </si>
  <si>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t>
  </si>
  <si>
    <t>market for electric motor, electric passenger car</t>
  </si>
  <si>
    <t>electric motor, electric passenger car</t>
  </si>
  <si>
    <t>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t>
  </si>
  <si>
    <t>market for converter, for electric passenger car</t>
  </si>
  <si>
    <t>converter, for electric passenger car</t>
  </si>
  <si>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t>
  </si>
  <si>
    <t>production</t>
  </si>
  <si>
    <t>production of locomotive, electric catenary</t>
  </si>
  <si>
    <t>locomotive electric, catenary</t>
  </si>
  <si>
    <t xml:space="preserve">market for locomotive (ecoinvent) is based on Frischknecht et al. (1996). This study only consideres materials of the catenary electric locomotive RE 460 (~84t, years of construction 1991-1996, 6,100 kW max. power, 300 kN max. tractive effort), operated by the SBB in CH. Electrical components are not considered. This equals a electric locomotives base components without the electrical equipment (= power tracktion). Therfore additional components are added to the inventory to represent a electric locomotive (transformer, electric motor, converter). Electrical components taken from ABB (2018a).
Average Lifetime is 40 years with 9.6 million km. Assuming an average speed of 40 kmh (approx. 25 mph, based on Statista (2024)) equals a drivingtime of 240,000 h over the lifetime of the locomotive.
ABB (2018a). Bordline CC1500 AC_15kV - Product information. Retrieved March 23, 2024, from  https://search.abb.com/library/Download.aspx?DocumentID=3BHS340076%20ZAB%20E04&amp;LanguageCode=en&amp;DocumentPartId=&amp;Action=Launch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Statista  (n.d.).Union Pacific: Average train speed 2022. Retrieved April 3, 2024, from https://www.statista.com/statistics/547745/average-train-speed-union-pacific-railroad/
</t>
  </si>
  <si>
    <t>market for transformer, high voltage use</t>
  </si>
  <si>
    <t>transformer, high voltage use</t>
  </si>
  <si>
    <t>ecoinvent inventory for 1kg (200 -380V) used in information and communication technology. Overhead catenary systems usually operate on 25kV. Transformers made by the company Hitachi, used by ABB specify a weight of 3,050kg for a rail traction transformer (Hitachi, 2022).
It is assumed that the transformer doesn't need to be exchanged over the lifetime of the locomotive, as lifetimes for well maintained transformer can reach 40 years and longer (Zhou, 2013). Furthermore ABB (2017) mentioned that transoformer were still in good shape and therfore preserved in the vehicle. The goal of the maintainance was to keep the vehicle running for another 20 years.
ABB (2017). IGBT converters extend life of Re460 locomotives. Retrieved on April, 6, 2024, from: https://library.e.abb.com/public/bfe91c518ff94330a3c591b4bbeb8b6a/65-69%201m6073_EN_72dpi.pdf?x-sign=opZfNERrVHhA5Ti99s4UxUeA3lIqHQkHDxt5CPVCyqbrd2RFMCmG94YZ6PDJII6i
Hitachi (2022). RESIBLOC® Rail traction transformers. Available at: https://publisher.hitachienergy.com/preview?DocumentID=9AKK107992A2005&amp;LanguageCode=en&amp;DocumentPartId=&amp;Action=launch&amp;DocumentRevisionId=C
Zhou, D., Wang, Z., &amp; Li, C. (2013). Data Requisites for Transformer Statistical Lifetime Modelling—Part I: Aging-Related Failures | IEEE Journals &amp; Magazine | IEEE Xplore. https://doi.org/10.1109/TPWRD.2013.2264143</t>
  </si>
  <si>
    <t xml:space="preserve">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t>
  </si>
  <si>
    <t>ecoinvent inventory for 1 unit fit for 100kW drivetrain, weighs 4.5kg; converter weight of ABB BORDLINE® CC1500 AC_15kV: 2590kg (ABB, 2018a),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converters being necessary in the assumed lifetime of 40 years of the locomotive.
To generate a total power of max. 6.1 MW, two converters are used as also seen in the videographic sources showing the modernization of the locomotive (ABB Schweiz, 2020)
ABB (2014). ABB wins $70 million order to modernize locomotives for Swiss Railways SBB. News.Retrived on April, 3, 2024 from https://new.abb.com/news/detail/13389/abb-wins-70-million-order-to-modernize-locomotives-for-swiss-railways-sbb
ABB (2018a) BORDLINE CC1500 AC_15kV- Product information. Retrieved on March, 21, 2024 from https://search.abb.com/library/Download.aspx?DocumentID=3BHS340076%20ZAB%20E04&amp;LanguageCode=en&amp;DocumentPartId=&amp;Action=Launch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ABB Schweiz (2020). Class Re 460 modernization program of Swiss Federal Railways SBB. Available at: https://www.youtube.com/watch?v=EqeFXbjETlA</t>
  </si>
  <si>
    <t>production of locomotive, fuel cell, hydrogen</t>
  </si>
  <si>
    <t>locomotive fuel cell, hydrogen</t>
  </si>
  <si>
    <t>ecoinvent inventory for 1 unit (max. power output 100kW, 53kg). The maximum power output the electric motors have to deal with is 2,500kW for the respective sizing of the HFC system, according to Knibbe et al. (2023). This equals 25 ecoinvent inventory equivalents, assuming comparable compositions of the ecoinvent inventory and locomotive traction motors.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Knibbe, R., Harding, D., Burton, J., Cooper, E., Amir Zadeh, Z., Sagulenko, M., Meehan, P. A., &amp; Buckley, R. (2023). Optimal battery and hydrogen fuel cell sizing in heavy-haul locomotives. Journal of Energy Storage, 71, 108090. https://doi.org/10.1016/j.est.2023.108090</t>
  </si>
  <si>
    <t>ecoinvent inventory for 1 unit fit for 100kW drivetrain, weighs 4.5kg; converter weight of BORDLINE® CC1500 DE: 1140kg (ABB, 2018b), assuming the same material composition the units of converter are calculating by dividing the weight of the CC1500 DE through the ecoinvent set.
As the diesel-electric and HFC locomotive have similar peak power outputs (2,500 kW vs. 2,400 kW) it is assumed that a converter similar to the BORDLINE CC1500 DE can be used in a HFC locomotive.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onverters being necessary in the assumed lifetime of 40 years of the locomotive.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t>
  </si>
  <si>
    <t>fuel cell system assembly, 1 kWe, proton exchange membrane (PEM)</t>
  </si>
  <si>
    <t>fuel cell system, 1 kWe, proton exchange membrane (PEM)</t>
  </si>
  <si>
    <t>LCI taken from premise for road vehicles. Knibbe et al. (2023) suggest a optimal fuell cell sizing of 860kW. The average lifetime of the fuel cell system is 30,000 h (Knibbe et al., 2023), with a assumed lifetime operation of 240,000h, the fuel cell system has to be replaced 8 times. This can only be seen as an approximation as lifetime strongly depends on operating conditions (as shown for road vehicles in Bae et al., 2012)
Knibbe, R., Harding, D., Burton, J., Cooper, E., Amir Zadeh, Z., Sagulenko, M., Meehan, P. A., &amp; Buckley, R. (2023). Optimal battery and hydrogen fuel cell sizing in heavy-haul locomotives. Journal of Energy Storage, 71, 108090. https://doi.org/10.1016/j.est.2023.108090
Bae S., Kim S-J., Park JI., Park .C, Lee J-H., Song .I (2012). Lifetime prediction of a polymer electrolyte membrane fuel cell via an accelerated startupeshutdown cycle test. Int J Hydrogen Energy 2012;37:9775e81. https://doi.org/10.1016/ j.ijhydene.2012.03.104.</t>
  </si>
  <si>
    <t>Fuel tank, compressed hydrogen gas, 700bar, with aluminium liner</t>
  </si>
  <si>
    <t>hydrogen tank</t>
  </si>
  <si>
    <t>premise inventory for 1kg of tank; premise bases its inventory on Stropnik et al. (2022). These state that 1,237 kg of hydrogen is consumed by the 1kWe fuel cell over 20,000h of operation producing 1kW per h. This assumes that the tank is filled so that the 860kW fuell cell canproduce 860kW per h. This might not reflect reality as the fuel cell is not always run on full capacity.
Evangelisti et al. (2017) states that for an aluminium lined  Type III hydrogen tank 5.6kg hydrogen is carried in a 93kg tank.
According to Agostini et al. (2018) expected lifespans of type III and type IV hydrogen tanks is assumed to be 10 years. This equals 4 tanks used over the lifetime of 40 years of the locomotive.
Evangelisti, S., Tagliaferri, C., Brett, D. J. L., &amp; Lettieri, P. (2017). Life cycle assessment of a polymer electrolyte membrane fuel cell system for passenger vehicles. Journal of Cleaner Production, 142, 4339–4355. https://doi.org/10.1016/j.jclepro.2016.11.159
Rok Stropnik, Nejc Mlakar, Andrej Lotrič, Mihael Sekavčnik, Mitja Mori (2022). The influence of degradation effects in proton exchange membrane fuel cells on life cycle assessment modelling and environmental impact indicators, International Journal of Hydrogen Energy, Volume 47, Issue 57, https://doi.org/10.1016/j.ijhydene.2022.04.011</t>
  </si>
  <si>
    <t>premise inventory for 1kg of battery ,23.5 kWh (165 kg) made of 140 3.6 V- 46Ah. Knibbe et al. (2023) suggest a optimal battery sizing of 3.6 MWh.
The NMC-622 battery was chosen in contrast to the LPF battery in Knibbe et al. (2023) because of its higher engergy density taken from Dai et al. (2019)  (premise truck batteries built on this study)
The average lifetime of a battery highly depends on the operating conditions and charging cycles. Shafique et al. (2023) assumed a lifetime of 15 years (taking into consideration future developments) for a NMC-622 battery. This equals ~2.67 batteries for a 40 years lifetime of the locomotive. 
Dai, Q., Kelly, J. C., Gaines, L., &amp; Wang, M. (2019). Life cycle analysis of lithium-ion batteries for automotive applications. Batteries, 5(2), 48
Knibbe, R., Harding, D., Burton, J., Cooper, E., Amir Zadeh, Z., Sagulenko, M., Meehan, P. A., &amp; Buckley, R. (2023). Optimal battery and hydrogen fuel cell sizing in heavy-haul locomotives. Journal of Energy Storage, 71, 108090. https://doi.org/10.1016/j.est.2023.108090
Shafique, M., Akbar, A., Rafiq, M., Azam, A., &amp; Luo, X. (2023). Global material flow analysis of end-of-life of lithium nickel manganese cobalt oxide batteries from battery electric vehicles. Waste Management &amp; Research, 41(2), 376–388. https://doi.org/10.1177/0734242X221127175</t>
  </si>
  <si>
    <t>market for goods wagon</t>
  </si>
  <si>
    <t>goods wagon</t>
  </si>
  <si>
    <t>As the fuel cell and the battery require significant storage space an additional goods wagon (baseframe) is added to transport the HFC system externally behind the locomotive. Designs like this are already in development and production (Alstom, 2022).
Alstom. (2022). From 2025, Nestlé Waters France will use the first hydrogen-powered freight train through an innovative solution developed by Alstom and ENGIE. Alstom. https://www.alstom.com/press-releases-news/2022/11/2025-nestle-waters-france-will-use-first-hydrogen-powered-freight-train-through-innovative-solution-developed-alstom-and-engie</t>
  </si>
  <si>
    <t>transport, freight train, diesel-electric</t>
  </si>
  <si>
    <t>Europe without Switzerland</t>
  </si>
  <si>
    <t>transport, freight train</t>
  </si>
  <si>
    <t>market for diesel</t>
  </si>
  <si>
    <t>diesel</t>
  </si>
  <si>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Additional the energy consumption for shunting processes is added. The shunting processe is assumed to be done by diesel shunting locomotives exclusivley. The specific diesel consumption for the shunting is taken from the regional ecoinvent datasets "transport, freight train, electric".</t>
  </si>
  <si>
    <t>locomotive, diesel-electric</t>
  </si>
  <si>
    <t>taken from ecoinvent, "transport, freight train, diesel</t>
  </si>
  <si>
    <t>maintenance, locomotive</t>
  </si>
  <si>
    <t>maintenance, goods wagon</t>
  </si>
  <si>
    <t>market for railway track</t>
  </si>
  <si>
    <t>meter-year</t>
  </si>
  <si>
    <t>railway track</t>
  </si>
  <si>
    <t>Ammonia</t>
  </si>
  <si>
    <t>biosphere</t>
  </si>
  <si>
    <t>2.0E-05 kg/kg fuel for diesel locomotives, according to Spielmann et al. (2007)
Spielmann, M., Bauer, C., Dones, R., Institut, P. S., &amp; Tuchschmid, M. (2007). Transport Services. Swiss Centre for Life Cycle Inventories, ecoinvent report No. 14.</t>
  </si>
  <si>
    <t>Benzene</t>
  </si>
  <si>
    <t>1.0E-04 kg/kg fuel for diesel locomotives, according to Spielmann et al. (2007)
Spielmann, M., Bauer, C., Dones, R., Institut, P. S., &amp; Tuchschmid, M. (2007). Transport Services. Swiss Centre for Life Cycle Inventories, ecoinvent report No. 14.</t>
  </si>
  <si>
    <t>Cadmium II</t>
  </si>
  <si>
    <t>1.0E-08 kg/kg fuel for diesel locomotives, according to Spielmann et al. (2007)
Spielmann, M., Bauer, C., Dones, R., Institut, P. S., &amp; Tuchschmid, M. (2007). Transport Services. Swiss Centre for Life Cycle Inventories, ecoinvent report No. 14.</t>
  </si>
  <si>
    <t>Carbon dioxide, fossil</t>
  </si>
  <si>
    <t>3.146 kg/kg fuel for diesel locomotives, according to Spielmann et al. (2007)
Spielmann, M., Bauer, C., Dones, R., Institut, P. S., &amp; Tuchschmid, M. (2007). Transport Services. Swiss Centre for Life Cycle Inventories, ecoinvent report No. 14.</t>
  </si>
  <si>
    <t>Carbon monoxide, fossil</t>
  </si>
  <si>
    <t>1.58E-02 kg/kg fuel for diesel locomotives, according to Spielmann et al. (2007)
Spielmann, M., Bauer, C., Dones, R., Institut, P. S., &amp; Tuchschmid, M. (2007). Transport Services. Swiss Centre for Life Cycle Inventories, ecoinvent report No. 14.</t>
  </si>
  <si>
    <t>Chromium III</t>
  </si>
  <si>
    <t>5.0E-08 kg/kg fuel for diesel locomotives, according to Spielmann et al. (2007)
Spielmann, M., Bauer, C., Dones, R., Institut, P. S., &amp; Tuchschmid, M. (2007). Transport Services. Swiss Centre for Life Cycle Inventories, ecoinvent report No. 14.</t>
  </si>
  <si>
    <t>Copper ion</t>
  </si>
  <si>
    <t>1.7E-06 kg/kg fuel for diesel locomotives, according to Spielmann et al. (2007)
Spielmann, M., Bauer, C., Dones, R., Institut, P. S., &amp; Tuchschmid, M. (2007). Transport Services. Swiss Centre for Life Cycle Inventories, ecoinvent report No. 14.</t>
  </si>
  <si>
    <t>Dinitrogen monoxide</t>
  </si>
  <si>
    <t>Iron ion</t>
  </si>
  <si>
    <t>1.24E-05 kg/tkm, emission of particulates due to abrasion from rail tracks, wheels,and brakes Spielmann et al. (2007)
Spielmann, M., Bauer, C., Dones, R., Institut, P. S., &amp; Tuchschmid, M. (2007). Transport Services. Swiss Centre for Life Cycle Inventories, ecoinvent report No. 14.</t>
  </si>
  <si>
    <t>Lead II</t>
  </si>
  <si>
    <t>1.1E-10 kg/kg fuel for diesel locomotives, according to Spielmann et al. (2007)
Spielmann, M., Bauer, C., Dones, R., Institut, P. S., &amp; Tuchschmid, M. (2007). Transport Services. Swiss Centre for Life Cycle Inventories, ecoinvent report No. 14.</t>
  </si>
  <si>
    <t>Mercury II</t>
  </si>
  <si>
    <t>2.0E-11 kg/kg fuel for diesel locomotives, according to Spielmann et al. (2007)
Spielmann, M., Bauer, C., Dones, R., Institut, P. S., &amp; Tuchschmid, M. (2007). Transport Services. Swiss Centre for Life Cycle Inventories, ecoinvent report No. 14.</t>
  </si>
  <si>
    <t>Methane, fossil</t>
  </si>
  <si>
    <t>1.3E-04 kg/kg fuel for diesel locomotives, according to Spielmann et al. (2007)
Spielmann, M., Bauer, C., Dones, R., Institut, P. S., &amp; Tuchschmid, M. (2007). Transport Services. Swiss Centre for Life Cycle Inventories, ecoinvent report No. 14.</t>
  </si>
  <si>
    <t>NMVOC, non-methane volatile organic compounds</t>
  </si>
  <si>
    <t>5.25E-03 kg/kg fuel for diesel locomotives, according to Spielmann et al. (2007)
Spielmann, M., Bauer, C., Dones, R., Institut, P. S., &amp; Tuchschmid, M. (2007). Transport Services. Swiss Centre for Life Cycle Inventories, ecoinvent report No. 14.</t>
  </si>
  <si>
    <t>Nickel II</t>
  </si>
  <si>
    <t>7.0E-08 kg/kg fuel for diesel locomotives, according to Spielmann et al. (2007)
Spielmann, M., Bauer, C., Dones, R., Institut, P. S., &amp; Tuchschmid, M. (2007). Transport Services. Swiss Centre for Life Cycle Inventories, ecoinvent report No. 14.</t>
  </si>
  <si>
    <t>Nitrogen oxides</t>
  </si>
  <si>
    <t>5.5E-02 kg/kg fuel for diesel locomotives, according to Spielmann et al. (2007)
Spielmann, M., Bauer, C., Dones, R., Institut, P. S., &amp; Tuchschmid, M. (2007). Transport Services. Swiss Centre for Life Cycle Inventories, ecoinvent report No. 14.</t>
  </si>
  <si>
    <t>Particulate Matter, &lt; 2.5 um</t>
  </si>
  <si>
    <t>1.28E-03 kg/kg fuel for diesel locomotives, according to Spielmann et al. (2007)
Spielmann, M., Bauer, C., Dones, R., Institut, P. S., &amp; Tuchschmid, M. (2007). Transport Services. Swiss Centre for Life Cycle Inventories, ecoinvent report No. 14.</t>
  </si>
  <si>
    <t>Particulate Matter, &gt; 10 um</t>
  </si>
  <si>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</si>
  <si>
    <t>Particulate Matter, &gt; 2.5 um and &lt; 10um</t>
  </si>
  <si>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</si>
  <si>
    <t>Selenium IV</t>
  </si>
  <si>
    <t>Sulfur dioxide</t>
  </si>
  <si>
    <t>6.0E-04 kg/kg fuel for diesel locomotives, according to Spielmann et al. (2007)
Spielmann, M., Bauer, C., Dones, R., Institut, P. S., &amp; Tuchschmid, M. (2007). Transport Services. Swiss Centre for Life Cycle Inventories, ecoinvent report No. 14.</t>
  </si>
  <si>
    <t>Toluene</t>
  </si>
  <si>
    <t>4.0E-05 kg/kg fuel for diesel locomotives, according to Spielmann et al. (2007)
Spielmann, M., Bauer, C., Dones, R., Institut, P. S., &amp; Tuchschmid, M. (2007). Transport Services. Swiss Centre for Life Cycle Inventories, ecoinvent report No. 14.</t>
  </si>
  <si>
    <t>Zinc II</t>
  </si>
  <si>
    <t>1.0E-06 kg/kg fuel for diesel locomotives, according to Spielmann et al. (2007)
Spielmann, M., Bauer, C., Dones, R., Institut, P. S., &amp; Tuchschmid, M. (2007). Transport Services. Swiss Centre for Life Cycle Inventories, ecoinvent report No. 14.</t>
  </si>
  <si>
    <t>transport, freight train, electric</t>
  </si>
  <si>
    <t>The energy consumption for shunting processes is added. The shunting process is assumed to be done by diesel shunting locomotives exclusivley. The specific diesel consumption for the shunting is taken from the regional ecoinvent datasets "transport, freight train, electric".</t>
  </si>
  <si>
    <t>market group for electricity, high voltage</t>
  </si>
  <si>
    <t>kilowatt hour</t>
  </si>
  <si>
    <t>electricity, high voltage</t>
  </si>
  <si>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</si>
  <si>
    <t>locomotive, electric catenary</t>
  </si>
  <si>
    <t>3.14E-09 kg/tkm, emission of particulates due to abrasion from rail tracks, wheels,and brakes Spielmann et al. (2007)
Spielmann, M., Bauer, C., Dones, R., Institut, P. S., &amp; Tuchschmid, M. (2007). Transport Services. Swiss Centre for Life Cycle Inventories, ecoinvent report No. 14.</t>
  </si>
  <si>
    <t>transport, freight train, fuel cell, hydrogen</t>
  </si>
  <si>
    <t>market for hydrogen, gaseous</t>
  </si>
  <si>
    <t>hydrogen, gaseous</t>
  </si>
  <si>
    <t>locomotive, fuel cell, hydrogen</t>
  </si>
  <si>
    <t>IN</t>
  </si>
  <si>
    <t>taken from ecoinvent "transport, freight train, diesel - IN"</t>
  </si>
  <si>
    <t>market for maintenance, locomotive</t>
  </si>
  <si>
    <t>market for maintenance, goods wagon</t>
  </si>
  <si>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Similar to the ecoinvent process the electricity consumed is split 50/50 between high and medium voltage as precise data was not available.</t>
  </si>
  <si>
    <t>market group for electricity, medium voltage</t>
  </si>
  <si>
    <t>electricity, medium voltage</t>
  </si>
  <si>
    <t>taken from ecoinvent process "transport, freight train, electricity - IN"</t>
  </si>
  <si>
    <t>taken from ecoinvent "transport, freight train, diesel - IN", as the hydrogen locomotive has similar output power as the diesel-electric train, and it is assumed that diesel trains can used for retrofitting HFC-systems</t>
  </si>
  <si>
    <t>CN</t>
  </si>
  <si>
    <t>taken from ecoinvent inventor "transport, frieght train, diesel - CN"</t>
  </si>
  <si>
    <t>taken from ecoinvent inventor "transport, frieght train, electricity - CN"</t>
  </si>
  <si>
    <t>taken from ecoinvent inventor "transport, frieght train, diesel - CN", as the hydrogen locomotive has similar output power as the diesel-electric train, and it is assumed that diesel trains can used for retrofitting HFC-systems</t>
  </si>
  <si>
    <t>ZA</t>
  </si>
  <si>
    <t>taken from ecoinvent inventory "transport, freight train, diesel - ZA"</t>
  </si>
  <si>
    <t>market for electricity, high voltage</t>
  </si>
  <si>
    <t>market for electricity, medium voltage</t>
  </si>
  <si>
    <t>taken from ecoinvent inventory "transport, freight train, electricity - ZA"</t>
  </si>
  <si>
    <t>taken from ecoinvent inventory "transport, freight train, diesel - ZA", as the hydrogen locomotive has similar output power as the diesel-electric train, and it is assumed that diesel trains can used for retrofitting HFC-systems</t>
  </si>
  <si>
    <t>US</t>
  </si>
  <si>
    <t>RoW</t>
  </si>
  <si>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Additional the energy consumption for shunting processes is added. The shunting processe is assumed to be done by diesel shunting locomotives exclusivley. The specific diesel consumption for the shunting is taken from the regional ecoinvent datasets "transport, freight train, electric". In the case of the US the shunting emissions are taken from the "transport, freight train, electric" dataset from Europe without Switzerland, as the diesel dataset for the US is based on European without Switzerland's dataset.</t>
  </si>
  <si>
    <t>taken from ecoinvent inventory "transport, freight train, diesel - US"</t>
  </si>
  <si>
    <t>mention for the year 2025 instead of 2020. As the exact electrcity composition is not known/data is not available a 50/50 split between high and medium voltage electricity is assumed, similar to other datasets in ecoinvent like IN or ZA.
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</si>
  <si>
    <t>As the exact electrcity composition is not known/data is not available a 50/50 split between high and medium voltage electricity is assumed, similar to other datasets in ecoinvent like IN or ZA</t>
  </si>
  <si>
    <t>taken from ecoinvent inventory "transport, freight train, diesel - US" as the hydrogen locomotive has similar output power as the diesel-electric train, and it is assumed that diesel trains can used for retrofitting HFC-systems</t>
  </si>
  <si>
    <t>taken from ecoinvent inventory "transport, freight train, diesel - RoW"</t>
  </si>
  <si>
    <t>AM</t>
  </si>
  <si>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</si>
  <si>
    <t>AO</t>
  </si>
  <si>
    <t>AU</t>
  </si>
  <si>
    <t>AZ</t>
  </si>
  <si>
    <t>BD</t>
  </si>
  <si>
    <t>BH</t>
  </si>
  <si>
    <t>BJ</t>
  </si>
  <si>
    <t>BN</t>
  </si>
  <si>
    <t>BW</t>
  </si>
  <si>
    <t>CD</t>
  </si>
  <si>
    <t>CG</t>
  </si>
  <si>
    <t>CI</t>
  </si>
  <si>
    <t>CM</t>
  </si>
  <si>
    <t>CY</t>
  </si>
  <si>
    <t>DZ</t>
  </si>
  <si>
    <t>EG</t>
  </si>
  <si>
    <t>ER</t>
  </si>
  <si>
    <t>ET</t>
  </si>
  <si>
    <t>GA</t>
  </si>
  <si>
    <t>GE</t>
  </si>
  <si>
    <t>GH</t>
  </si>
  <si>
    <t>HK</t>
  </si>
  <si>
    <t>ID</t>
  </si>
  <si>
    <t>IL</t>
  </si>
  <si>
    <t>JO</t>
  </si>
  <si>
    <t>JP</t>
  </si>
  <si>
    <t>KE</t>
  </si>
  <si>
    <t>KG</t>
  </si>
  <si>
    <t>KH</t>
  </si>
  <si>
    <t>KP</t>
  </si>
  <si>
    <t>KR</t>
  </si>
  <si>
    <t>KZ</t>
  </si>
  <si>
    <t>LB</t>
  </si>
  <si>
    <t>LK</t>
  </si>
  <si>
    <t>LY</t>
  </si>
  <si>
    <t>MA</t>
  </si>
  <si>
    <t>MM</t>
  </si>
  <si>
    <t>MN</t>
  </si>
  <si>
    <t>MU</t>
  </si>
  <si>
    <t>MY</t>
  </si>
  <si>
    <t>MZ</t>
  </si>
  <si>
    <t>NA</t>
  </si>
  <si>
    <t>NE</t>
  </si>
  <si>
    <t>NG</t>
  </si>
  <si>
    <t>NP</t>
  </si>
  <si>
    <t>NZ</t>
  </si>
  <si>
    <t>OM</t>
  </si>
  <si>
    <t>PH</t>
  </si>
  <si>
    <t>PK</t>
  </si>
  <si>
    <t>QA</t>
  </si>
  <si>
    <t>SD</t>
  </si>
  <si>
    <t>SG</t>
  </si>
  <si>
    <t>SN</t>
  </si>
  <si>
    <t>SS</t>
  </si>
  <si>
    <t>SY</t>
  </si>
  <si>
    <t>TG</t>
  </si>
  <si>
    <t>TH</t>
  </si>
  <si>
    <t>TJ</t>
  </si>
  <si>
    <t>TM</t>
  </si>
  <si>
    <t>TN</t>
  </si>
  <si>
    <t>TR</t>
  </si>
  <si>
    <t>TW</t>
  </si>
  <si>
    <t>TZ</t>
  </si>
  <si>
    <t>UZ</t>
  </si>
  <si>
    <t>VN</t>
  </si>
  <si>
    <t>YE</t>
  </si>
  <si>
    <t>ZM</t>
  </si>
  <si>
    <t>ZW</t>
  </si>
  <si>
    <t>RLA</t>
  </si>
  <si>
    <t>RME</t>
  </si>
  <si>
    <t>RNA</t>
  </si>
  <si>
    <t>taken from ecoinvent inventory "transport, freight train, electricity - RoW"</t>
  </si>
  <si>
    <t>taken from ecoinvent inventory "transport, freight train, diesel - RoW" as the hydrogen locomotive has similar output power as the diesel-electric train, and it is assumed that diesel trains can used for retrofitting HFC-systems</t>
  </si>
  <si>
    <t>database</t>
  </si>
  <si>
    <t>train</t>
  </si>
  <si>
    <t>Xylene</t>
  </si>
  <si>
    <t>Sulfur hexafluoride</t>
  </si>
  <si>
    <t>ton kilometer</t>
  </si>
  <si>
    <t>market group for diesel</t>
  </si>
  <si>
    <t>Wolff et al. 2020, Sustainability, DOI: 10.3390/su12135396</t>
  </si>
  <si>
    <t>This is the inventory for 1 kg of internal combustion engine for a MDV/HDV.</t>
  </si>
  <si>
    <t>market for copper, cathode</t>
  </si>
  <si>
    <t>copper, cathode</t>
  </si>
  <si>
    <t>metal working, average for aluminium product manufacturing</t>
  </si>
  <si>
    <t>Hydrogen chloride</t>
  </si>
  <si>
    <t>air</t>
  </si>
  <si>
    <t>market for steel, low-alloyed</t>
  </si>
  <si>
    <t>steel, low-alloyed</t>
  </si>
  <si>
    <t>market group for electricity, low voltage</t>
  </si>
  <si>
    <t>ENTSO-E</t>
  </si>
  <si>
    <t>electricity, low voltage</t>
  </si>
  <si>
    <t>metal working, average for copper product manufacturing</t>
  </si>
  <si>
    <t>Hydrogen sulfide</t>
  </si>
  <si>
    <t>market for cast iron</t>
  </si>
  <si>
    <t>cast iron</t>
  </si>
  <si>
    <t>Occupation, industrial area</t>
  </si>
  <si>
    <t>square meter-year</t>
  </si>
  <si>
    <t>natural resource::land</t>
  </si>
  <si>
    <t>Ammonium, ion</t>
  </si>
  <si>
    <t>water</t>
  </si>
  <si>
    <t>Transformation, to industrial area</t>
  </si>
  <si>
    <t>square meter</t>
  </si>
  <si>
    <t>COD, Chemical Oxygen Demand</t>
  </si>
  <si>
    <t>market for synthetic rubber</t>
  </si>
  <si>
    <t>synthetic rubber</t>
  </si>
  <si>
    <t>market for aluminium alloy, AlLi</t>
  </si>
  <si>
    <t>aluminium alloy, AlLi</t>
  </si>
  <si>
    <t>BOD5, Biological Oxygen Demand</t>
  </si>
  <si>
    <t>metal working, average for steel product manufacturing</t>
  </si>
  <si>
    <t>market for phenolic resin</t>
  </si>
  <si>
    <t>phenolic resin</t>
  </si>
  <si>
    <t>internal combustion engine, for lorry, adapted to locomotives</t>
  </si>
  <si>
    <t>This is the inventory for 1 kg of aluminium-made fuel tank, empty. Scaling formula: 17.159*ln(volume fuel)-54.98</t>
  </si>
  <si>
    <t>welding, arc, aluminium</t>
  </si>
  <si>
    <t>meter</t>
  </si>
  <si>
    <t>fuel tank, for diesel vehicle, adapted to locomotives</t>
  </si>
  <si>
    <t>electronic component production, passive, unspecified</t>
  </si>
  <si>
    <t>electronic component, passive, unspecified</t>
  </si>
  <si>
    <t>market for battery cell, Li-ion, NMC622</t>
  </si>
  <si>
    <t>battery cell, Li-ion, NMC622</t>
  </si>
  <si>
    <t>soil</t>
  </si>
  <si>
    <t xml:space="preserve">market for locomotive (ecoinvent) is based on Frischknecht et al. (1996). This study only consideres materials of the catenary electric locomotive RE 460, operated by the SBB in CH. Electrical components are not considered. This equals a electric locomotives base components without the electrical equipment (= power traction). Therefore additional components are added to the inventory to represent a fuel cell, hydrogen locomotive (electric motor, converter, fuel cell, fuel tank, battery cell). It is assumed that diesel-electric locomotives will be retrofitted with fuel cell system or that hydrogen driven locomotives operate similarly to diesel locomotives. Electrical components taken from ABB (2018b).
The HFC-battery system is sized to be able to produce a max. power output of 2,500 kW (Knibbe et al., 2023). As this power output is similar to the diesel-electric locomotive UKlight (Vossloh Rail Vehicles, 2012) of 2,800 kW it is assumed that the HFC-locomotive will have a comparable tractive effort of below 300 kN. This makes it a viable alternative to the electric, catenary or diesel-electric counter part.
Average Lifetime is 40 years with 9.6 million km. Assuming an average speed of 40 kmh (approx. 25 mph, based on Statista (2024)) equals a drivingtime of 240,000 h over the lifetime of the locomotive.
ABB (2018b). Bordline CC1500 DE - Product information. Retrieved March 23, 2024, from  https://search.abb.com/library/Download.aspx?DocumentID=3BHS340077%20ZAB%20E01&amp;LanguageCode=en&amp;DocumentPartId=&amp;Action=Launch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Knibbe, R., Harding, D., Burton, J., Cooper, E., Amir Zadeh, Z., Sagulenko, M., Meehan, P. A., &amp; Buckley, R. (2023). Optimal battery and hydrogen fuel cell sizing in heavy-haul locomotives. Journal of Energy Storage, 71, 108090. https://doi.org/10.1016/j.est.2023.108090
Statista  (n.d.).Union Pacific: Average train speed 2022. Retrieved April 3, 2024, from https://www.statista.com/statistics/547745/average-train-speed-union-pacific-railroad/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t>
  </si>
  <si>
    <t>Water</t>
  </si>
  <si>
    <t>cubic meter</t>
  </si>
  <si>
    <t>9kg H2O per kg H2 converted.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</si>
</sst>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2"/>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xf numFmtId="0" fontId="2"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ns1:Ignorable="x14ac xr xr2 xr3" ns2:uid="{2A08E695-FC79-4DF0-ACCB-3B3F78317B74}">
  <dimension ref="A1:Z1157"/>
  <sheetViews>
    <sheetView tabSelected="1" topLeftCell="A125" workbookViewId="0">
      <selection activeCell="F149" sqref="F149"/>
    </sheetView>
  </sheetViews>
  <sheetFormatPr baseColWidth="10" defaultColWidth="8.83203125" defaultRowHeight="15" ns3:dyDescent="0.2"/>
  <cols>
    <col min="1" max="1" width="61.83203125" customWidth="1"/>
    <col min="2" max="2" width="11.83203125" bestFit="1" customWidth="1"/>
  </cols>
  <sheetData>
    <row r="1" spans="1:8" ns3:dyDescent="0.2">
      <c r="A1" t="s">
        <v>228</v>
      </c>
      <c r="B1" t="s">
        <v>229</v>
      </c>
    </row>
    <row r="3" spans="1:8" ns3:dyDescent="0.2">
      <c r="A3" s="2" t="s">
        <v>0</v>
      </c>
      <c r="B3" s="2" t="s">
        <v>1</v>
      </c>
    </row>
    <row r="4" spans="1:8" ns3:dyDescent="0.2">
      <c r="A4" t="s">
        <v>2</v>
      </c>
      <c r="B4" t="s">
        <v>3</v>
      </c>
    </row>
    <row r="5" spans="1:8" ns3:dyDescent="0.2">
      <c r="A5" t="s">
        <v>4</v>
      </c>
      <c r="B5">
        <v>1</v>
      </c>
    </row>
    <row r="6" spans="1:8" ns3:dyDescent="0.2">
      <c r="A6" t="s">
        <v>5</v>
      </c>
      <c r="B6" t="s">
        <v>6</v>
      </c>
    </row>
    <row r="7" spans="1:8" ns3:dyDescent="0.2">
      <c r="A7" t="s">
        <v>7</v>
      </c>
      <c r="B7" t="s">
        <v>8</v>
      </c>
    </row>
    <row r="8" spans="1:8" ns3:dyDescent="0.2">
      <c r="A8" t="s">
        <v>9</v>
      </c>
      <c r="B8" t="s">
        <v>9</v>
      </c>
    </row>
    <row r="9" spans="1:8" ns3:dyDescent="0.2">
      <c r="A9" t="s">
        <v>10</v>
      </c>
      <c r="B9" t="inlineStr">
        <is>
          <t xml:space="preserve">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
PREVIOUS NOTES (retained as history; the correction above takes precedence):
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market for locomotive (ecoinvent) is based on Frischknecht et al. (1996). This study only consideres materials of the catenary electric locomotive RE 460 (~84t, years of construction 1991-1996), operated by the SBB in CH. Electrical components are not considered. This equals a electric locomotives base components without the electrical equipment (= power tracktion). Therfore additional components are added to the inventory to represent a diesel locomotive (ICE, generator, fuel tank, transformer, inverter, electric motors). As a reference diesel-electric locomotive the UKlight (Vossloh Rail Vehicles, 2012), as it is supplied by ABB (also supllying the Re460) and is similar in size (85t) to the Re460 (84t). The UKlight from Vossloh Rail Vehicles operates on 2,800 kW max. power with a starting tractive effort of 317 kN and a max speed of 160 km/h. This makes it comparable to the electric alternative Re460 with a tractive effort of 300 kN, although having a higher max. power of 6,100 kW and higher max. speed of 230 km/h. The two vehicles are still assumed to be comparable alternatives as freight rail transport does not operate on high velocities. 
Electrical components taken from ABB (2018b).
Average lifetime is assumed to be similar to the electric counterpart, namly 40 years with 9.6 million km Frischknecht et al. (1996). Assuming an average speed of 40 kmh (approx. 25 mph, based on Statista (2024)) equals a drivingtime of 240,000 h over the lifetime of the locomotive.
ABB (2018b). Bordline CC1500 DE - Product information. Retrieved March 23, 2024, from  https://search.abb.com/library/Download.aspx?DocumentID=3BHS340077%20ZAB%20E01&amp;LanguageCode=en&amp;DocumentPartId=&amp;Action=Launch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Statista  (n.d.).Union Pacific: Average train speed 2022. Retrieved April 3, 2024, from https://www.statista.com/statistics/547745/average-train-speed-union-pacific-railroad/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t>
        </is>
      </c>
    </row>
    <row r="10" spans="1:8" ns3:dyDescent="0.2">
      <c r="A10" t="s">
        <v>15</v>
      </c>
    </row>
    <row r="11" spans="1:8" ns3:dyDescent="0.2">
      <c r="A11" s="2" t="s">
        <v>16</v>
      </c>
      <c r="B11" s="2" t="s">
        <v>17</v>
      </c>
      <c r="C11" s="2" t="s">
        <v>2</v>
      </c>
      <c r="D11" s="2" t="s">
        <v>9</v>
      </c>
      <c r="E11" s="2" t="s">
        <v>18</v>
      </c>
      <c r="F11" s="2" t="s">
        <v>7</v>
      </c>
      <c r="G11" s="2" t="s">
        <v>5</v>
      </c>
      <c r="H11" s="2" t="s">
        <v>14</v>
      </c>
    </row>
    <row r="12" spans="1:8" ns3:dyDescent="0.2">
      <c r="A12" t="s">
        <v>19</v>
      </c>
      <c r="B12">
        <v>1</v>
      </c>
      <c r="C12" t="s">
        <v>3</v>
      </c>
      <c r="D12" t="s">
        <v>9</v>
      </c>
      <c r="F12" t="s">
        <v>20</v>
      </c>
      <c r="G12" t="s">
        <v>21</v>
      </c>
      <c r="H12" t="inlineStr">
        <is>
          <t>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t>
        </is>
      </c>
    </row>
    <row r="13" spans="1:8" ns3:dyDescent="0.2">
      <c r="A13" t="s">
        <v>270</v>
      </c>
      <c r="B13">
        <v>91.16651797151124</v>
      </c>
      <c r="C13" t="s">
        <v>23</v>
      </c>
      <c r="D13" t="s">
        <v>24</v>
      </c>
      <c r="F13" t="s">
        <v>20</v>
      </c>
      <c r="G13" t="s">
        <v>25</v>
      </c>
      <c r="H13" t="s">
        <v>26</v>
      </c>
    </row>
    <row r="14" spans="1:8" ns3:dyDescent="0.2">
      <c r="A14" t="s">
        <v>266</v>
      </c>
      <c r="B14">
        <v>9593.181818181818</v>
      </c>
      <c r="C14" t="s">
        <v>23</v>
      </c>
      <c r="D14" t="s">
        <v>24</v>
      </c>
      <c r="F14" t="s">
        <v>20</v>
      </c>
      <c r="G14" t="s">
        <v>27</v>
      </c>
      <c r="H14" t="s">
        <v>28</v>
      </c>
    </row>
    <row r="15" spans="1:8" ns3:dyDescent="0.2">
      <c r="A15" t="inlineStr">
        <is>
          <t>rail powertrain generator, synchronous engineering reference</t>
        </is>
      </c>
      <c r="B15">
        <v>7050.0</v>
      </c>
      <c r="C15" t="inlineStr">
        <is>
          <t>GLO</t>
        </is>
      </c>
      <c r="D15" t="s">
        <v>24</v>
      </c>
      <c r="F15" t="s">
        <v>20</v>
      </c>
      <c r="G15" t="inlineStr">
        <is>
          <t>rail powertrain generator, synchronous engineering reference</t>
        </is>
      </c>
      <c r="H15" t="s">
        <v>29</v>
      </c>
    </row>
    <row r="16" spans="1:8" ns3:dyDescent="0.2">
      <c r="A16" t="inlineStr">
        <is>
          <t>electric motor, asynchronous traction, engineering reference</t>
        </is>
      </c>
      <c r="B16">
        <f>24*53</f>
        <v>1272</v>
      </c>
      <c r="C16" t="s">
        <v>3</v>
      </c>
      <c r="D16" t="s">
        <v>24</v>
      </c>
      <c r="F16" t="s">
        <v>20</v>
      </c>
      <c r="G16" t="inlineStr">
        <is>
          <t>electric motor, asynchronous traction, engineering reference</t>
        </is>
      </c>
      <c r="H16"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t>
        </is>
      </c>
    </row>
    <row r="17" spans="1:8" ns3:dyDescent="0.2">
      <c r="A17" t="inlineStr">
        <is>
          <t>traction converter, medium-voltage rail engineering reference</t>
        </is>
      </c>
      <c r="B17">
        <f>1013.33333333333*4.5</f>
        <v>4559.9999999999845</v>
      </c>
      <c r="C17" t="s">
        <v>3</v>
      </c>
      <c r="D17" t="s">
        <v>24</v>
      </c>
      <c r="F17" t="s">
        <v>20</v>
      </c>
      <c r="G17" t="inlineStr">
        <is>
          <t>traction converter, medium-voltage rail engineering reference</t>
        </is>
      </c>
      <c r="H17" t="s">
        <v>35</v>
      </c>
    </row>
    <row r="18" spans="1:8" ns3:dyDescent="0.2">
      <c r="A18" t="s">
        <v>1</v>
      </c>
      <c r="B18">
        <v>1</v>
      </c>
      <c r="C18" t="s">
        <v>3</v>
      </c>
      <c r="D18" t="s">
        <v>9</v>
      </c>
      <c r="F18" t="s">
        <v>36</v>
      </c>
      <c r="G18" t="s">
        <v>6</v>
      </c>
    </row>
    <row r="20" spans="1:8" ns3:dyDescent="0.2">
      <c r="A20" s="2" t="s">
        <v>0</v>
      </c>
      <c r="B20" s="2" t="s">
        <v>37</v>
      </c>
    </row>
    <row r="21" spans="1:8" ns3:dyDescent="0.2">
      <c r="A21" t="s">
        <v>2</v>
      </c>
      <c r="B21" t="s">
        <v>3</v>
      </c>
    </row>
    <row r="22" spans="1:8" ns3:dyDescent="0.2">
      <c r="A22" t="s">
        <v>4</v>
      </c>
      <c r="B22">
        <v>1</v>
      </c>
    </row>
    <row r="23" spans="1:8" ns3:dyDescent="0.2">
      <c r="A23" t="s">
        <v>5</v>
      </c>
      <c r="B23" t="s">
        <v>38</v>
      </c>
    </row>
    <row r="24" spans="1:8" ns3:dyDescent="0.2">
      <c r="A24" t="s">
        <v>7</v>
      </c>
      <c r="B24" t="s">
        <v>8</v>
      </c>
    </row>
    <row r="25" spans="1:8" ns3:dyDescent="0.2">
      <c r="A25" t="s">
        <v>9</v>
      </c>
      <c r="B25" t="s">
        <v>9</v>
      </c>
    </row>
    <row r="26" spans="1:8" ns3:dyDescent="0.2">
      <c r="A26" t="s">
        <v>10</v>
      </c>
      <c r="B26" t="inlineStr">
        <is>
          <t xml:space="preserve">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market for locomotive (ecoinvent) is based on Frischknecht et al. (1996). This study only consideres materials of the catenary electric locomotive RE 460 (~84t, years of construction 1991-1996, 6,100 kW max. power, 300 kN max. tractive effort), operated by the SBB in CH. Electrical components are not considered. This equals a electric locomotives base components without the electrical equipment (= power tracktion). Therfore additional components are added to the inventory to represent a electric locomotive (transformer, electric motor, converter). Electrical components taken from ABB (2018a).
Average Lifetime is 40 years with 9.6 million km. Assuming an average speed of 40 kmh (approx. 25 mph, based on Statista (2024)) equals a drivingtime of 240,000 h over the lifetime of the locomotive.
ABB (2018a). Bordline CC1500 AC_15kV - Product information. Retrieved March 23, 2024, from  https://search.abb.com/library/Download.aspx?DocumentID=3BHS340076%20ZAB%20E04&amp;LanguageCode=en&amp;DocumentPartId=&amp;Action=Launch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Statista  (n.d.).Union Pacific: Average train speed 2022. Retrieved April 3, 2024, from https://www.statista.com/statistics/547745/average-train-speed-union-pacific-railroad/
</t>
        </is>
      </c>
    </row>
    <row r="27" spans="1:8" ns3:dyDescent="0.2">
      <c r="A27" t="s">
        <v>15</v>
      </c>
    </row>
    <row r="28" spans="1:8" ns3:dyDescent="0.2">
      <c r="A28" s="2" t="s">
        <v>16</v>
      </c>
      <c r="B28" s="2" t="s">
        <v>17</v>
      </c>
      <c r="C28" s="2" t="s">
        <v>2</v>
      </c>
      <c r="D28" s="2" t="s">
        <v>9</v>
      </c>
      <c r="E28" s="2" t="s">
        <v>18</v>
      </c>
      <c r="F28" s="2" t="s">
        <v>7</v>
      </c>
      <c r="G28" s="2" t="s">
        <v>5</v>
      </c>
      <c r="H28" s="2" t="s">
        <v>14</v>
      </c>
    </row>
    <row r="29" spans="1:8" ns3:dyDescent="0.2">
      <c r="A29" t="s">
        <v>19</v>
      </c>
      <c r="B29">
        <v>1</v>
      </c>
      <c r="C29" t="s">
        <v>3</v>
      </c>
      <c r="D29" t="s">
        <v>9</v>
      </c>
      <c r="F29" t="s">
        <v>20</v>
      </c>
      <c r="G29" t="s">
        <v>21</v>
      </c>
      <c r="H29" t="s">
        <v>22</v>
      </c>
    </row>
    <row r="30" spans="1:8" ns3:dyDescent="0.2">
      <c r="A30" t="s">
        <v>40</v>
      </c>
      <c r="B30">
        <v>3050</v>
      </c>
      <c r="C30" t="s">
        <v>3</v>
      </c>
      <c r="D30" t="s">
        <v>24</v>
      </c>
      <c r="F30" t="s">
        <v>20</v>
      </c>
      <c r="G30" t="s">
        <v>41</v>
      </c>
      <c r="H30" t="s">
        <v>42</v>
      </c>
    </row>
    <row r="31" spans="1:8" ns3:dyDescent="0.2">
      <c r="A31" t="inlineStr">
        <is>
          <t>electric motor, asynchronous traction, engineering reference</t>
        </is>
      </c>
      <c r="B31">
        <f>70*53</f>
        <v>3710</v>
      </c>
      <c r="C31" t="s">
        <v>3</v>
      </c>
      <c r="D31" t="s">
        <v>24</v>
      </c>
      <c r="F31" t="s">
        <v>20</v>
      </c>
      <c r="G31" t="inlineStr">
        <is>
          <t>electric motor, asynchronous traction, engineering reference</t>
        </is>
      </c>
      <c r="H31" t="inlineStr">
        <is>
          <t xml:space="preserve">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t>
        </is>
      </c>
    </row>
    <row r="32" spans="1:8" ns3:dyDescent="0.2">
      <c r="A32" t="inlineStr">
        <is>
          <t>traction converter, medium-voltage rail engineering reference</t>
        </is>
      </c>
      <c r="B32">
        <f>2302.22222222222*4.5</f>
        <v>10359.999999999989</v>
      </c>
      <c r="C32" t="s">
        <v>3</v>
      </c>
      <c r="D32" t="s">
        <v>24</v>
      </c>
      <c r="F32" t="s">
        <v>20</v>
      </c>
      <c r="G32" t="inlineStr">
        <is>
          <t>traction converter, medium-voltage rail engineering reference</t>
        </is>
      </c>
      <c r="H32" t="s">
        <v>44</v>
      </c>
    </row>
    <row r="33" spans="1:8" ns3:dyDescent="0.2">
      <c r="A33" t="s">
        <v>37</v>
      </c>
      <c r="B33">
        <v>1</v>
      </c>
      <c r="C33" t="s">
        <v>3</v>
      </c>
      <c r="D33" t="s">
        <v>9</v>
      </c>
      <c r="F33" t="s">
        <v>36</v>
      </c>
      <c r="G33" t="s">
        <v>38</v>
      </c>
    </row>
    <row r="35" spans="1:8" ns3:dyDescent="0.2">
      <c r="A35" s="2" t="s">
        <v>0</v>
      </c>
      <c r="B35" s="2" t="s">
        <v>45</v>
      </c>
    </row>
    <row r="36" spans="1:8" ns3:dyDescent="0.2">
      <c r="A36" t="s">
        <v>2</v>
      </c>
      <c r="B36" t="s">
        <v>3</v>
      </c>
    </row>
    <row r="37" spans="1:8" ns3:dyDescent="0.2">
      <c r="A37" t="s">
        <v>4</v>
      </c>
      <c r="B37">
        <v>1</v>
      </c>
    </row>
    <row r="38" spans="1:8" ns3:dyDescent="0.2">
      <c r="A38" t="s">
        <v>5</v>
      </c>
      <c r="B38" t="s">
        <v>46</v>
      </c>
    </row>
    <row r="39" spans="1:8" ns3:dyDescent="0.2">
      <c r="A39" t="s">
        <v>7</v>
      </c>
      <c r="B39" t="s">
        <v>8</v>
      </c>
    </row>
    <row r="40" spans="1:8" ns3:dyDescent="0.2">
      <c r="A40" t="s">
        <v>9</v>
      </c>
      <c r="B40" t="s">
        <v>9</v>
      </c>
    </row>
    <row r="41" spans="1:8" ns3:dyDescent="0.2">
      <c r="A41" t="s">
        <v>12</v>
      </c>
      <c r="B41" t="inlineStr">
        <is>
          <t xml:space="preserve">APPROVED RAIL-SPECIFIC700BAR STORAGE/LIFE REFERENCE, issue69,2026-10-18. FCH2RAIL D1.5 railstorage investigation,DLR2021,AnnexBTable20, https://elib.dlr.de/145010/1/FCH2RAIL_D1.5.pdf :TypeIII70MPaTPED surveyreference8.3kgH2,2048x455mm,333Loutervolume,179kgINCLUDINGgas =&gt;170.7kgdry. Supplier surveyreference is not a certifiedcompleteheavyhaullocomotive design. Preserve current700barworkingpressure and40yearrailmanufacturinghorizon; do not forcepassenger350barorroadbus/truckvessels intoheavyhaul. Existing30323.845714kg cumulativecar-TypeIIIproxy was4sets over40years,with93kgdry/5.6kgH2. Its impliedinstalledgas=oldmass/4*5.6/93=456.488kg. Retain thisimpliedenergy budget as explicitengineeringreference because no route-specificrefuellingrange is documented; not infergasinventory fromlifetimefuelthroughput. Select55surveycylinders*8.3=456.5kgH2capacity,roundingup only0.012kg. Sourcepreserved860kW/.06185kgH2perkWhe implies8.582hfullpower before reserve; actualroute/peakduty,reserveandrefilling range remainunvalidated. Keep10yearvessellife/foursets as existing conservativeassumption,NOT manufacturerlifecertificate;test10-20years ratherthan invent a lifetime saving. Cylinder dry170.7 excludes8.3kgfuel. MaterialBOMunpublished:6mmAl linerat2700kg/m3 overcapsulearea2*pi*outerradius*length,2kgstainlessbosses,2kgPAprotection,remainingCF/epoxy at60/40vol%(1800/1200kg/m3),69.2308wt%fiber. Outerdiametergeometry,linerthickness,actualalloy/fiber andpressurequalification areengineeringassumptions,not a certifiedpressurevessel design.95%materialretention withmatchingprocesswaste and1kWh/kgforming/curing reference; wovenfiber is filamentwindingmanufacturingproxy. Installedvesseldrymass9388.5kg. Dedicatedsharedrack500kg(one40yearset,80%ordinary steel/20%Al) and100kgvalve/manifold/controls(two20yearsets:50stainless,5Cu,5brass,10PA,29.5Al,0.5auxinterfaceboard) are explicitmountingassumptions; no wholelocomotive,tenderchassis ortrack added. Lifetimevesselmanufacture220units,one rack,twoBoPsets are inside oneunit oflifetimeenergy-equipmentreference. Qtyone atlocomotiveproduction,not count220again in perMJadapter. Nominalinstalledstorageenvelope55*.333=18.315m3beforemounting; availablelocomotive/tenderpackaging is unresolved and not asserted tofit. Preserveexistingroad/railoperatingfuel andcompression path;700barpressureunchanged,no unsubstantiatedcompressionenergy saving. Originalrangeandbodyenergy notresimulated. EOL remainswholevehicleboundary,pressurespecificcylinderrecovery gap,no credits. Refreshstoredhydrogenpassengerrailcoefficients andindependentlynormalizefreightrailservices.
PREVIOUS NOTES (retained as history; the correction above takes precedence):
APPROVED HYDROGEN-RAIL COMPLETE LFP CAPACITY REFERENCE, issue33, 2026-10-18. Knibbe2023 DOI10.1016/j.est.2023.108090,3.6MWhLFP/860kWreference and133Wh/kgpack; Dai2018 public LFP non-cell material proportions https://publications.anl.gov/anlpubs/2018/10/146906.pdf Table8. Replace old whole-pack23.5kWh/165kg conversion purchased as bareNMC622cells with a complete3.6MWhLFP reference. Referencepack133Wh/kg =&gt;27067.66917293233kg installed; existing40year/15year lifetime convention gives9600kWh manufactured and treated, not annual procurement.15years remains an engineering calendar assumption, not demonstrated rail LFP cycle life; sensitivity10-20years and source-specific duty/aging remains required. At860kW total stored energy/power=4.186h; battery peakpower and simultaneous fuel-cell duty are not proven by this ratio. Per1kWh:6.25kg cells at existing160Wh/kgcell reference. Assume modular100kWh subsystems, each112series-equivalent3.2V LFPcells at279.017857Ah; series/parallel arrangement and thermal ratings are a design reference, not measured locomotive architecture. One existing6.668kg LFP monitoring/central-controls package per100kWh; other retained mass uses Dai non-electronic module/pack material proportions including50/50glycol/water. This hardware geometry/control allocation is an explicit engineering transfer. Complete pack mass/cellcapacity/control+waste close together. Controls package already treats its6.668kg, so local battery waste excludes that mass; no duplicate EOL. Source cell manufacturing chemistry, electronics-specific materials and thermal duty remain proxies; source133Wh/kg is not certification of this constructed BOM. Existing rail inventory had fixed barecell mass over time; this dedicated fixed-reference provider retains that temporal boundary and is outside generic road density-learning markets. No future LFP electrode evolution is claimed. No locomotive body, tender or track added. Rail source and explicit passenger-energy link are both changed.
PREVIOUS NOTES (retained as history; the correction above takes precedence):
APPROVED SINGLE RAIL FUEL-CELL REPLACEMENT BUDGET, item29, 2026-10-18. Knibbe2023 DOI10.1016/j.est.2023.108090, owner rail reference860kW/30000hstack and240000hoperation; Stropnik2022 DOI10.1016/j.ijhydene.2022.04.011 BoP20000h. Existing owner buys860kW*240000/30000=6880kW-equivalent system sets. Generic assembly additionally buys20000/3800=5.2631579stacks, yielding42.105stack sets over owner life. Introduce rail-specific assembly per1kWe owner set:one existing generic manufactured stack (not generic lifetime assembly) and30000/20000=1.5genericBoP units. Therefore owner lifetime has8stacksets and12BoPsets, each budget applied once.30000h railstack life is the existing heavy-haul engineering assumption, not a demonstrated lightvehicle stack endurance; retain it explicitly rather than silently importing3800h. BoP20000h is a source-based engineering durability proxy; fractional1.5 is expected lifetime attribution, not an instantaneous1.5BoP installation. Stack and BoP manufacture/source grades/size proxies remain unchanged; generic stack remains eligible for existing future catalyst updates. No new platinum loading or primary/secondary curve. Heavy-haul power/duty/passenger representativeness, storage and battery design remain separate gaps. Existing860kW and6880owner quantity retained; the explicit final-energy hydrogen passenger-rail purchase relinked; other rail service inherits its locomotive supplier so old cached assembly identity cannot persist.
PREVIOUS NOTES (retained as history; the correction above takes precedence):
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market for locomotive (ecoinvent) is based on Frischknecht et al. (1996). This study only consideres materials of the catenary electric locomotive RE 460, operated by the SBB in CH. Electrical components are not considered. This equals a electric locomotives base components without the electrical equipment (= power traction). Therefore additional components are added to the inventory to represent a fuel cell, hydrogen locomotive (electric motor, converter, fuel cell, fuel tank, battery cell). It is assumed that diesel-electric locomotives will be retrofitted with fuel cell system or that hydrogen driven locomotives operate similarly to diesel locomotives. Electrical components taken from ABB (2018b).
The HFC-battery system is sized to be able to produce a max. power output of 2,500 kW (Knibbe et al., 2023). As this power output is similar to the diesel-electric locomotive UKlight (Vossloh Rail Vehicles, 2012) of 2,800 kW it is assumed that the HFC-locomotive will have a comparable tractive effort of below 300 kN. This makes it a viable alternative to the electric, catenary or diesel-electric counter part.
Average Lifetime is 40 years with 9.6 million km. Assuming an average speed of 40 kmh (approx. 25 mph, based on Statista (2024)) equals a drivingtime of 240,000 h over the lifetime of the locomotive.
ABB (2018b). Bordline CC1500 DE - Product information. Retrieved March 23, 2024, from  https://search.abb.com/library/Download.aspx?DocumentID=3BHS340077%20ZAB%20E01&amp;LanguageCode=en&amp;DocumentPartId=&amp;Action=Launch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Knibbe, R., Harding, D., Burton, J., Cooper, E., Amir Zadeh, Z., Sagulenko, M., Meehan, P. A., &amp; Buckley, R. (2023). Optimal battery and hydrogen fuel cell sizing in heavy-haul locomotives. Journal of Energy Storage, 71, 108090. https://doi.org/10.1016/j.est.2023.108090
Statista  (n.d.).Union Pacific: Average train speed 2022. Retrieved April 3, 2024, from https://www.statista.com/statistics/547745/average-train-speed-union-pacific-railroad/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t>
        </is>
      </c>
    </row>
    <row r="42" spans="1:8" ns3:dyDescent="0.2">
      <c r="A42" t="s">
        <v>15</v>
      </c>
    </row>
    <row r="43" spans="1:8" ns3:dyDescent="0.2">
      <c r="A43" s="2" t="s">
        <v>16</v>
      </c>
      <c r="B43" s="2" t="s">
        <v>17</v>
      </c>
      <c r="C43" s="2" t="s">
        <v>2</v>
      </c>
      <c r="D43" s="2" t="s">
        <v>9</v>
      </c>
      <c r="E43" s="2" t="s">
        <v>18</v>
      </c>
      <c r="F43" s="2" t="s">
        <v>7</v>
      </c>
      <c r="G43" s="2" t="s">
        <v>5</v>
      </c>
      <c r="H43" s="2" t="s">
        <v>14</v>
      </c>
    </row>
    <row r="44" spans="1:8" ns3:dyDescent="0.2">
      <c r="A44" t="s">
        <v>19</v>
      </c>
      <c r="B44">
        <v>1</v>
      </c>
      <c r="C44" t="s">
        <v>3</v>
      </c>
      <c r="D44" t="s">
        <v>9</v>
      </c>
      <c r="F44" t="s">
        <v>20</v>
      </c>
      <c r="G44" t="s">
        <v>21</v>
      </c>
      <c r="H44" t="s">
        <v>22</v>
      </c>
    </row>
    <row r="45" spans="1:8" ns3:dyDescent="0.2">
      <c r="A45" t="inlineStr">
        <is>
          <t>electric motor, asynchronous traction, engineering reference</t>
        </is>
      </c>
      <c r="B45">
        <f>25*53</f>
        <v>1325</v>
      </c>
      <c r="C45" t="s">
        <v>3</v>
      </c>
      <c r="D45" t="s">
        <v>24</v>
      </c>
      <c r="F45" t="s">
        <v>20</v>
      </c>
      <c r="G45" t="inlineStr">
        <is>
          <t>electric motor, asynchronous traction, engineering reference</t>
        </is>
      </c>
      <c r="H45"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maximum power output the electric motors have to deal with is 2,500kW for the respective sizing of the HFC system, according to Knibbe et al. (2023). This equals 25 ecoinvent inventory equivalents, assuming comparable compositions of the ecoinvent inventory and locomotive traction motors.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Knibbe, R., Harding, D., Burton, J., Cooper, E., Amir Zadeh, Z., Sagulenko, M., Meehan, P. A., &amp; Buckley, R. (2023). Optimal battery and hydrogen fuel cell sizing in heavy-haul locomotives. Journal of Energy Storage, 71, 108090. https://doi.org/10.1016/j.est.2023.108090</t>
        </is>
      </c>
    </row>
    <row r="46" spans="1:8" ns3:dyDescent="0.2">
      <c r="A46" t="inlineStr">
        <is>
          <t>traction converter, medium-voltage rail engineering reference</t>
        </is>
      </c>
      <c r="B46">
        <f>506.666666666667*4.5</f>
        <v>2280.0000000000018</v>
      </c>
      <c r="C46" t="s">
        <v>3</v>
      </c>
      <c r="D46" t="s">
        <v>24</v>
      </c>
      <c r="F46" t="s">
        <v>20</v>
      </c>
      <c r="G46" t="inlineStr">
        <is>
          <t>traction converter, medium-voltage rail engineering reference</t>
        </is>
      </c>
      <c r="H46" t="s">
        <v>48</v>
      </c>
    </row>
    <row r="47" spans="1:8" ns3:dyDescent="0.2">
      <c r="A47" t="inlineStr">
        <is>
          <t>fuel cell system assembly, rail30kh stack engineering reference</t>
        </is>
      </c>
      <c r="B47">
        <v>6880</v>
      </c>
      <c r="C47" t="s">
        <v>3</v>
      </c>
      <c r="D47" t="s">
        <v>9</v>
      </c>
      <c r="F47" t="s">
        <v>20</v>
      </c>
      <c r="G47" t="inlineStr">
        <is>
          <t>fuel cell system assembly, rail30kh stack engineering reference</t>
        </is>
      </c>
      <c r="H47" t="inlineStr">
        <is>
          <t>APPROVED SINGLE RAIL FUEL-CELL REPLACEMENT BUDGET, item29, 2026-10-18. Knibbe2023 DOI10.1016/j.est.2023.108090, owner rail reference860kW/30000hstack and240000hoperation; Stropnik2022 DOI10.1016/j.ijhydene.2022.04.011 BoP20000h. Existing owner buys860kW*240000/30000=6880kW-equivalent system sets. Generic assembly additionally buys20000/3800=5.2631579stacks, yielding42.105stack sets over owner life. Introduce rail-specific assembly per1kWe owner set:one existing generic manufactured stack (not generic lifetime assembly) and30000/20000=1.5genericBoP units. Therefore owner lifetime has8stacksets and12BoPsets, each budget applied once.30000h railstack life is the existing heavy-haul engineering assumption, not a demonstrated lightvehicle stack endurance; retain it explicitly rather than silently importing3800h. BoP20000h is a source-based engineering durability proxy; fractional1.5 is expected lifetime attribution, not an instantaneous1.5BoP installation. Stack and BoP manufacture/source grades/size proxies remain unchanged; generic stack remains eligible for existing future catalyst updates. No new platinum loading or primary/secondary curve. Heavy-haul power/duty/passenger representativeness, storage and battery design remain separate gaps. Existing860kW and6880owner quantity retained; the explicit final-energy hydrogen passenger-rail purchase relinked; other rail service inherits its locomotive supplier so old cached assembly identity cannot persist.</t>
        </is>
      </c>
    </row>
    <row r="48" spans="1:8" ns3:dyDescent="0.2">
      <c r="A48" t="inlineStr">
        <is>
          <t>hydrogen fuel tank system, rail700bar lifetime reference</t>
        </is>
      </c>
      <c r="B48">
        <v>1</v>
      </c>
      <c r="C48" t="inlineStr">
        <is>
          <t>GLO</t>
        </is>
      </c>
      <c r="D48" t="inlineStr">
        <is>
          <t>unit</t>
        </is>
      </c>
      <c r="F48" t="s">
        <v>20</v>
      </c>
      <c r="G48" t="inlineStr">
        <is>
          <t>hydrogen fuel tank system, rail700bar lifetime reference</t>
        </is>
      </c>
      <c r="H48" t="inlineStr">
        <is>
          <t>APPROVED RAIL-SPECIFIC700BAR STORAGE/LIFE REFERENCE, issue69,2026-10-18. FCH2RAIL D1.5 railstorage investigation,DLR2021,AnnexBTable20, https://elib.dlr.de/145010/1/FCH2RAIL_D1.5.pdf :TypeIII70MPaTPED surveyreference8.3kgH2,2048x455mm,333Loutervolume,179kgINCLUDINGgas =&gt;170.7kgdry. Supplier surveyreference is not a certifiedcompleteheavyhaullocomotive design. Preserve current700barworkingpressure and40yearrailmanufacturinghorizon; do not forcepassenger350barorroadbus/truckvessels intoheavyhaul. Existing30323.845714kg cumulativecar-TypeIIIproxy was4sets over40years,with93kgdry/5.6kgH2. Its impliedinstalledgas=oldmass/4*5.6/93=456.488kg. Retain thisimpliedenergy budget as explicitengineeringreference because no route-specificrefuellingrange is documented; not infergasinventory fromlifetimefuelthroughput. Select55surveycylinders*8.3=456.5kgH2capacity,roundingup only0.012kg. Sourcepreserved860kW/.06185kgH2perkWhe implies8.582hfullpower before reserve; actualroute/peakduty,reserveandrefilling range remainunvalidated. Keep10yearvessellife/foursets as existing conservativeassumption,NOT manufacturerlifecertificate;test10-20years ratherthan invent a lifetime saving. Cylinder dry170.7 excludes8.3kgfuel. MaterialBOMunpublished:6mmAl linerat2700kg/m3 overcapsulearea2*pi*outerradius*length,2kgstainlessbosses,2kgPAprotection,remainingCF/epoxy at60/40vol%(1800/1200kg/m3),69.2308wt%fiber. Outerdiametergeometry,linerthickness,actualalloy/fiber andpressurequalification areengineeringassumptions,not a certifiedpressurevessel design.95%materialretention withmatchingprocesswaste and1kWh/kgforming/curing reference; wovenfiber is filamentwindingmanufacturingproxy. Installedvesseldrymass9388.5kg. Dedicatedsharedrack500kg(one40yearset,80%ordinary steel/20%Al) and100kgvalve/manifold/controls(two20yearsets:50stainless,5Cu,5brass,10PA,29.5Al,0.5auxinterfaceboard) are explicitmountingassumptions; no wholelocomotive,tenderchassis ortrack added. Lifetimevesselmanufacture220units,one rack,twoBoPsets are inside oneunit oflifetimeenergy-equipmentreference. Qtyone atlocomotiveproduction,not count220again in perMJadapter. Nominalinstalledstorageenvelope55*.333=18.315m3beforemounting; availablelocomotive/tenderpackaging is unresolved and not asserted tofit. Preserveexistingroad/railoperatingfuel andcompression path;700barpressureunchanged,no unsubstantiatedcompressionenergy saving. Originalrangeandbodyenergy notresimulated. EOL remainswholevehicleboundary,pressurespecificcylinderrecovery gap,no credits. Refreshstoredhydrogenpassengerrailcoefficients andindependentlynormalizefreightrailservices.</t>
        </is>
      </c>
    </row>
    <row r="49" spans="1:8" ns3:dyDescent="0.2">
      <c r="A49" t="inlineStr">
        <is>
          <t>battery capacity, hydrogen rail, LFP engineering reference</t>
        </is>
      </c>
      <c r="B49">
        <v>9600.0</v>
      </c>
      <c r="C49" t="s">
        <v>3</v>
      </c>
      <c r="D49" t="inlineStr">
        <is>
          <t>kilowatt hour</t>
        </is>
      </c>
      <c r="F49" t="s">
        <v>20</v>
      </c>
      <c r="G49" t="inlineStr">
        <is>
          <t>battery capacity, hydrogen rail, LFP engineering reference</t>
        </is>
      </c>
      <c r="H49" t="inlineStr">
        <is>
          <t>APPROVED HYDROGEN-RAIL COMPLETE LFP CAPACITY REFERENCE, issue33, 2026-10-18. Knibbe2023 DOI10.1016/j.est.2023.108090,3.6MWhLFP/860kWreference and133Wh/kgpack; Dai2018 public LFP non-cell material proportions https://publications.anl.gov/anlpubs/2018/10/146906.pdf Table8. Replace old whole-pack23.5kWh/165kg conversion purchased as bareNMC622cells with a complete3.6MWhLFP reference. Referencepack133Wh/kg =&gt;27067.66917293233kg installed; existing40year/15year lifetime convention gives9600kWh manufactured and treated, not annual procurement.15years remains an engineering calendar assumption, not demonstrated rail LFP cycle life; sensitivity10-20years and source-specific duty/aging remains required. At860kW total stored energy/power=4.186h; battery peakpower and simultaneous fuel-cell duty are not proven by this ratio. Per1kWh:6.25kg cells at existing160Wh/kgcell reference. Assume modular100kWh subsystems, each112series-equivalent3.2V LFPcells at279.017857Ah; series/parallel arrangement and thermal ratings are a design reference, not measured locomotive architecture. One existing6.668kg LFP monitoring/central-controls package per100kWh; other retained mass uses Dai non-electronic module/pack material proportions including50/50glycol/water. This hardware geometry/control allocation is an explicit engineering transfer. Complete pack mass/cellcapacity/control+waste close together. Controls package already treats its6.668kg, so local battery waste excludes that mass; no duplicate EOL. Source cell manufacturing chemistry, electronics-specific materials and thermal duty remain proxies; source133Wh/kg is not certification of this constructed BOM. Existing rail inventory had fixed barecell mass over time; this dedicated fixed-reference provider retains that temporal boundary and is outside generic road density-learning markets. No future LFP electrode evolution is claimed. No locomotive body, tender or track added. Rail source and explicit passenger-energy link are both changed.</t>
        </is>
      </c>
    </row>
    <row r="50" spans="1:8" ns3:dyDescent="0.2">
      <c r="A50" t="s">
        <v>56</v>
      </c>
      <c r="B50">
        <v>1</v>
      </c>
      <c r="C50" t="s">
        <v>3</v>
      </c>
      <c r="D50" t="s">
        <v>9</v>
      </c>
      <c r="F50" t="s">
        <v>20</v>
      </c>
      <c r="G50" t="s">
        <v>57</v>
      </c>
      <c r="H50" t="s">
        <v>58</v>
      </c>
    </row>
    <row r="51" spans="1:8" ns3:dyDescent="0.2">
      <c r="A51" t="s">
        <v>45</v>
      </c>
      <c r="B51">
        <v>1</v>
      </c>
      <c r="C51" t="s">
        <v>3</v>
      </c>
      <c r="D51" t="s">
        <v>9</v>
      </c>
      <c r="F51" t="s">
        <v>36</v>
      </c>
      <c r="G51" t="s">
        <v>46</v>
      </c>
    </row>
    <row r="53" spans="1:8" ns3:dyDescent="0.2">
      <c r="A53" s="2" t="s">
        <v>0</v>
      </c>
      <c r="B53" s="2" t="s">
        <v>59</v>
      </c>
    </row>
    <row r="54" spans="1:8" ns3:dyDescent="0.2">
      <c r="A54" t="s">
        <v>2</v>
      </c>
      <c r="B54" t="s">
        <v>60</v>
      </c>
    </row>
    <row r="55" spans="1:8" ns3:dyDescent="0.2">
      <c r="A55" t="s">
        <v>4</v>
      </c>
      <c r="B55">
        <v>1</v>
      </c>
    </row>
    <row r="56" spans="1:8" ns3:dyDescent="0.2">
      <c r="A56" t="s">
        <v>5</v>
      </c>
      <c r="B56" t="s">
        <v>61</v>
      </c>
    </row>
    <row r="57" spans="1:8" ns3:dyDescent="0.2">
      <c r="A57" t="s">
        <v>7</v>
      </c>
      <c r="B57" t="s">
        <v>8</v>
      </c>
    </row>
    <row r="58" spans="1:8" ns3:dyDescent="0.2">
      <c r="A58" t="s">
        <v>9</v>
      </c>
      <c r="B58" t="s">
        <v>232</v>
      </c>
    </row>
    <row r="59" spans="1:8" ns3:dyDescent="0.2">
      <c r="A59" t="s">
        <v>15</v>
      </c>
    </row>
    <row r="60" spans="1:8" ns3:dyDescent="0.2">
      <c r="A60" s="2" t="s">
        <v>16</v>
      </c>
      <c r="B60" s="2" t="s">
        <v>17</v>
      </c>
      <c r="C60" s="2" t="s">
        <v>2</v>
      </c>
      <c r="D60" s="2" t="s">
        <v>9</v>
      </c>
      <c r="E60" s="2" t="s">
        <v>18</v>
      </c>
      <c r="F60" s="2" t="s">
        <v>7</v>
      </c>
      <c r="G60" s="2" t="s">
        <v>5</v>
      </c>
      <c r="H60" s="2" t="s">
        <v>14</v>
      </c>
    </row>
    <row r="61" spans="1:8" ns3:dyDescent="0.2">
      <c r="A61" t="s">
        <v>62</v>
      </c>
      <c r="B61">
        <v>9.1093678401991604E-3</v>
      </c>
      <c r="C61" t="s">
        <v>60</v>
      </c>
      <c r="D61" t="s">
        <v>24</v>
      </c>
      <c r="F61" t="s">
        <v>20</v>
      </c>
      <c r="G61" t="s">
        <v>63</v>
      </c>
      <c r="H61" t="s">
        <v>64</v>
      </c>
    </row>
    <row r="62" spans="1:8" ns3:dyDescent="0.2">
      <c r="A62" t="s">
        <v>1</v>
      </c>
      <c r="B62">
        <v>7.1100000000000003E-10</v>
      </c>
      <c r="C62" t="s">
        <v>3</v>
      </c>
      <c r="D62" t="s">
        <v>9</v>
      </c>
      <c r="F62" t="s">
        <v>20</v>
      </c>
      <c r="G62" t="inlineStr">
        <is>
          <t>locomotive diesel-electric</t>
        </is>
      </c>
      <c r="H62"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"transport, freight train, diesel</t>
        </is>
      </c>
    </row>
    <row r="63" spans="1:8" ns3:dyDescent="0.2">
      <c r="A63" t="s">
        <v>67</v>
      </c>
      <c r="B63">
        <v>7.1100000000000003E-10</v>
      </c>
      <c r="C63" t="s">
        <v>23</v>
      </c>
      <c r="D63" t="s">
        <v>9</v>
      </c>
      <c r="F63" t="s">
        <v>20</v>
      </c>
      <c r="G63" t="s">
        <v>67</v>
      </c>
      <c r="H63" t="s">
        <v>66</v>
      </c>
    </row>
    <row r="64" spans="1:8" ns3:dyDescent="0.2">
      <c r="A64" t="s">
        <v>56</v>
      </c>
      <c r="B64">
        <v>4.5900000000000001E-8</v>
      </c>
      <c r="C64" t="s">
        <v>3</v>
      </c>
      <c r="D64" t="s">
        <v>9</v>
      </c>
      <c r="F64" t="s">
        <v>20</v>
      </c>
      <c r="G64" t="s">
        <v>57</v>
      </c>
      <c r="H64" t="s">
        <v>66</v>
      </c>
    </row>
    <row r="65" spans="1:8" ns3:dyDescent="0.2">
      <c r="A65" t="s">
        <v>68</v>
      </c>
      <c r="B65">
        <v>4.5900000000000001E-8</v>
      </c>
      <c r="C65" t="s">
        <v>23</v>
      </c>
      <c r="D65" t="s">
        <v>9</v>
      </c>
      <c r="F65" t="s">
        <v>20</v>
      </c>
      <c r="G65" t="s">
        <v>68</v>
      </c>
      <c r="H65" t="s">
        <v>66</v>
      </c>
    </row>
    <row r="66" spans="1:8" ns3:dyDescent="0.2">
      <c r="A66" t="s">
        <v>69</v>
      </c>
      <c r="B66">
        <v>9.2999999999999997E-5</v>
      </c>
      <c r="C66" t="s">
        <v>3</v>
      </c>
      <c r="D66" t="s">
        <v>70</v>
      </c>
      <c r="F66" t="s">
        <v>20</v>
      </c>
      <c r="G66" t="s">
        <v>71</v>
      </c>
      <c r="H66" t="s">
        <v>66</v>
      </c>
    </row>
    <row r="67" spans="1:8" ns3:dyDescent="0.2">
      <c r="A67" t="s">
        <v>72</v>
      </c>
      <c r="B67">
        <v>1.6313382842717454E-7</v>
      </c>
      <c r="D67" t="s">
        <v>24</v>
      </c>
      <c r="E67" t="s">
        <v>240</v>
      </c>
      <c r="F67" t="s">
        <v>73</v>
      </c>
      <c r="H67" t="s">
        <v>74</v>
      </c>
    </row>
    <row r="68" spans="1:8" ns3:dyDescent="0.2">
      <c r="A68" t="s">
        <v>75</v>
      </c>
      <c r="B68">
        <v>8.1566914213587272E-7</v>
      </c>
      <c r="D68" t="s">
        <v>24</v>
      </c>
      <c r="E68" t="s">
        <v>240</v>
      </c>
      <c r="F68" t="s">
        <v>73</v>
      </c>
      <c r="H68" t="s">
        <v>76</v>
      </c>
    </row>
    <row r="69" spans="1:8" ns3:dyDescent="0.2">
      <c r="A69" t="s">
        <v>77</v>
      </c>
      <c r="B69">
        <v>8.1566914213587261E-11</v>
      </c>
      <c r="D69" t="s">
        <v>24</v>
      </c>
      <c r="E69" t="s">
        <v>240</v>
      </c>
      <c r="F69" t="s">
        <v>73</v>
      </c>
      <c r="H69" t="s">
        <v>78</v>
      </c>
    </row>
    <row r="70" spans="1:8" ns3:dyDescent="0.2">
      <c r="A70" t="s">
        <v>79</v>
      </c>
      <c r="B70">
        <v>2.5660951211594552E-2</v>
      </c>
      <c r="D70" t="s">
        <v>24</v>
      </c>
      <c r="E70" t="s">
        <v>240</v>
      </c>
      <c r="F70" t="s">
        <v>73</v>
      </c>
      <c r="H70" t="s">
        <v>80</v>
      </c>
    </row>
    <row r="71" spans="1:8" ns3:dyDescent="0.2">
      <c r="A71" t="s">
        <v>81</v>
      </c>
      <c r="B71">
        <v>1.2887572445746789E-4</v>
      </c>
      <c r="D71" t="s">
        <v>24</v>
      </c>
      <c r="E71" t="s">
        <v>240</v>
      </c>
      <c r="F71" t="s">
        <v>73</v>
      </c>
      <c r="H71" t="s">
        <v>82</v>
      </c>
    </row>
    <row r="72" spans="1:8" ns3:dyDescent="0.2">
      <c r="A72" t="s">
        <v>83</v>
      </c>
      <c r="B72">
        <v>4.078345710679363E-10</v>
      </c>
      <c r="D72" t="s">
        <v>24</v>
      </c>
      <c r="E72" t="s">
        <v>240</v>
      </c>
      <c r="F72" t="s">
        <v>73</v>
      </c>
      <c r="H72" t="s">
        <v>84</v>
      </c>
    </row>
    <row r="73" spans="1:8" ns3:dyDescent="0.2">
      <c r="A73" t="s">
        <v>85</v>
      </c>
      <c r="B73">
        <v>1.3866375416309835E-8</v>
      </c>
      <c r="D73" t="s">
        <v>24</v>
      </c>
      <c r="E73" t="s">
        <v>240</v>
      </c>
      <c r="F73" t="s">
        <v>73</v>
      </c>
      <c r="H73" t="s">
        <v>86</v>
      </c>
    </row>
    <row r="74" spans="1:8" ns3:dyDescent="0.2">
      <c r="A74" t="s">
        <v>87</v>
      </c>
      <c r="B74">
        <v>8.1566914213587272E-7</v>
      </c>
      <c r="D74" t="s">
        <v>24</v>
      </c>
      <c r="E74" t="s">
        <v>240</v>
      </c>
      <c r="F74" t="s">
        <v>73</v>
      </c>
      <c r="H74" t="s">
        <v>76</v>
      </c>
    </row>
    <row r="75" spans="1:8" ns3:dyDescent="0.2">
      <c r="A75" t="s">
        <v>88</v>
      </c>
      <c r="B75">
        <v>1.24E-5</v>
      </c>
      <c r="D75" t="s">
        <v>24</v>
      </c>
      <c r="E75" t="s">
        <v>275</v>
      </c>
      <c r="F75" t="s">
        <v>73</v>
      </c>
      <c r="H75" t="s">
        <v>89</v>
      </c>
    </row>
    <row r="76" spans="1:8" ns3:dyDescent="0.2">
      <c r="A76" t="s">
        <v>90</v>
      </c>
      <c r="B76">
        <v>8.9723605634945985E-13</v>
      </c>
      <c r="D76" t="s">
        <v>24</v>
      </c>
      <c r="E76" t="s">
        <v>240</v>
      </c>
      <c r="F76" t="s">
        <v>73</v>
      </c>
      <c r="H76" t="s">
        <v>91</v>
      </c>
    </row>
    <row r="77" spans="1:8" ns3:dyDescent="0.2">
      <c r="A77" t="s">
        <v>92</v>
      </c>
      <c r="B77">
        <v>1.6313382842717452E-13</v>
      </c>
      <c r="D77" t="s">
        <v>24</v>
      </c>
      <c r="E77" t="s">
        <v>240</v>
      </c>
      <c r="F77" t="s">
        <v>73</v>
      </c>
      <c r="H77" t="s">
        <v>93</v>
      </c>
    </row>
    <row r="78" spans="1:8" ns3:dyDescent="0.2">
      <c r="A78" t="s">
        <v>94</v>
      </c>
      <c r="B78">
        <v>1.0603698847766344E-6</v>
      </c>
      <c r="D78" t="s">
        <v>24</v>
      </c>
      <c r="E78" t="s">
        <v>240</v>
      </c>
      <c r="F78" t="s">
        <v>73</v>
      </c>
      <c r="H78" t="s">
        <v>95</v>
      </c>
    </row>
    <row r="79" spans="1:8" ns3:dyDescent="0.2">
      <c r="A79" t="s">
        <v>96</v>
      </c>
      <c r="B79">
        <v>4.2822629962133319E-5</v>
      </c>
      <c r="D79" t="s">
        <v>24</v>
      </c>
      <c r="E79" t="s">
        <v>240</v>
      </c>
      <c r="F79" t="s">
        <v>73</v>
      </c>
      <c r="H79" t="s">
        <v>97</v>
      </c>
    </row>
    <row r="80" spans="1:8" ns3:dyDescent="0.2">
      <c r="A80" t="s">
        <v>98</v>
      </c>
      <c r="B80">
        <v>5.7096839949511093E-10</v>
      </c>
      <c r="D80" t="s">
        <v>24</v>
      </c>
      <c r="E80" t="s">
        <v>240</v>
      </c>
      <c r="F80" t="s">
        <v>73</v>
      </c>
      <c r="H80" t="s">
        <v>99</v>
      </c>
    </row>
    <row r="81" spans="1:8" ns3:dyDescent="0.2">
      <c r="A81" t="s">
        <v>100</v>
      </c>
      <c r="B81">
        <v>4.4861802817472993E-4</v>
      </c>
      <c r="D81" t="s">
        <v>24</v>
      </c>
      <c r="E81" t="s">
        <v>240</v>
      </c>
      <c r="F81" t="s">
        <v>73</v>
      </c>
      <c r="H81" t="s">
        <v>101</v>
      </c>
    </row>
    <row r="82" spans="1:8" ns3:dyDescent="0.2">
      <c r="A82" t="s">
        <v>102</v>
      </c>
      <c r="B82">
        <v>1.0032730448271234E-5</v>
      </c>
      <c r="D82" t="s">
        <v>24</v>
      </c>
      <c r="E82" t="s">
        <v>240</v>
      </c>
      <c r="F82" t="s">
        <v>73</v>
      </c>
      <c r="H82" t="s">
        <v>103</v>
      </c>
    </row>
    <row r="83" spans="1:8" ns3:dyDescent="0.2">
      <c r="A83" t="s">
        <v>104</v>
      </c>
      <c r="B83">
        <v>1.8147802359032595E-5</v>
      </c>
      <c r="D83" t="s">
        <v>24</v>
      </c>
      <c r="E83" t="s">
        <v>240</v>
      </c>
      <c r="F83" t="s">
        <v>73</v>
      </c>
      <c r="H83" t="s">
        <v>105</v>
      </c>
    </row>
    <row r="84" spans="1:8" ns3:dyDescent="0.2">
      <c r="A84" t="s">
        <v>106</v>
      </c>
      <c r="B84">
        <v>1.7172765982085385E-5</v>
      </c>
      <c r="D84" t="s">
        <v>24</v>
      </c>
      <c r="E84" t="s">
        <v>240</v>
      </c>
      <c r="F84" t="s">
        <v>73</v>
      </c>
      <c r="H84" t="s">
        <v>107</v>
      </c>
    </row>
    <row r="85" spans="1:8" ns3:dyDescent="0.2">
      <c r="A85" t="s">
        <v>108</v>
      </c>
      <c r="B85">
        <v>8.1566914213587261E-11</v>
      </c>
      <c r="D85" t="s">
        <v>24</v>
      </c>
      <c r="E85" t="s">
        <v>240</v>
      </c>
      <c r="F85" t="s">
        <v>73</v>
      </c>
      <c r="H85" t="s">
        <v>78</v>
      </c>
    </row>
    <row r="86" spans="1:8" ns3:dyDescent="0.2">
      <c r="A86" t="s">
        <v>109</v>
      </c>
      <c r="B86">
        <v>4.8940148528152355E-6</v>
      </c>
      <c r="D86" t="s">
        <v>24</v>
      </c>
      <c r="E86" t="s">
        <v>240</v>
      </c>
      <c r="F86" t="s">
        <v>73</v>
      </c>
      <c r="H86" t="s">
        <v>110</v>
      </c>
    </row>
    <row r="87" spans="1:8" ns3:dyDescent="0.2">
      <c r="A87" t="s">
        <v>111</v>
      </c>
      <c r="B87">
        <v>3.2626765685434908E-7</v>
      </c>
      <c r="D87" t="s">
        <v>24</v>
      </c>
      <c r="E87" t="s">
        <v>240</v>
      </c>
      <c r="F87" t="s">
        <v>73</v>
      </c>
      <c r="H87" t="s">
        <v>112</v>
      </c>
    </row>
    <row r="88" spans="1:8" ns3:dyDescent="0.2">
      <c r="A88" t="s">
        <v>230</v>
      </c>
      <c r="B88">
        <v>3.2626765685434908E-7</v>
      </c>
      <c r="D88" t="s">
        <v>24</v>
      </c>
      <c r="E88" t="s">
        <v>240</v>
      </c>
      <c r="F88" t="s">
        <v>73</v>
      </c>
      <c r="H88" t="s">
        <v>112</v>
      </c>
    </row>
    <row r="89" spans="1:8" ns3:dyDescent="0.2">
      <c r="A89" t="s">
        <v>113</v>
      </c>
      <c r="B89">
        <v>8.1566914213587256E-9</v>
      </c>
      <c r="D89" t="s">
        <v>24</v>
      </c>
      <c r="E89" t="s">
        <v>240</v>
      </c>
      <c r="F89" t="s">
        <v>73</v>
      </c>
      <c r="H89" t="s">
        <v>114</v>
      </c>
    </row>
    <row r="90" spans="1:8" ns3:dyDescent="0.2">
      <c r="A90" t="s">
        <v>59</v>
      </c>
      <c r="B90">
        <v>1</v>
      </c>
      <c r="C90" t="s">
        <v>60</v>
      </c>
      <c r="D90" t="s">
        <v>232</v>
      </c>
      <c r="F90" t="s">
        <v>36</v>
      </c>
      <c r="G90" t="s">
        <v>61</v>
      </c>
    </row>
    <row r="92" spans="1:8" ns3:dyDescent="0.2">
      <c r="A92" s="2" t="s">
        <v>0</v>
      </c>
      <c r="B92" s="2" t="s">
        <v>115</v>
      </c>
    </row>
    <row r="93" spans="1:8" ns3:dyDescent="0.2">
      <c r="A93" t="s">
        <v>2</v>
      </c>
      <c r="B93" t="s">
        <v>60</v>
      </c>
    </row>
    <row r="94" spans="1:8" ns3:dyDescent="0.2">
      <c r="A94" t="s">
        <v>4</v>
      </c>
      <c r="B94">
        <v>1</v>
      </c>
    </row>
    <row r="95" spans="1:8" ns3:dyDescent="0.2">
      <c r="A95" t="s">
        <v>5</v>
      </c>
      <c r="B95" t="s">
        <v>61</v>
      </c>
    </row>
    <row r="96" spans="1:8" ns3:dyDescent="0.2">
      <c r="A96" t="s">
        <v>7</v>
      </c>
      <c r="B96" t="s">
        <v>8</v>
      </c>
    </row>
    <row r="97" spans="1:8" ns3:dyDescent="0.2">
      <c r="A97" t="s">
        <v>9</v>
      </c>
      <c r="B97" t="s">
        <v>232</v>
      </c>
    </row>
    <row r="98" spans="1:8" ns3:dyDescent="0.2">
      <c r="A98" t="s">
        <v>15</v>
      </c>
    </row>
    <row r="99" spans="1:8" ns3:dyDescent="0.2">
      <c r="A99" s="2" t="s">
        <v>16</v>
      </c>
      <c r="B99" s="2" t="s">
        <v>17</v>
      </c>
      <c r="C99" s="2" t="s">
        <v>2</v>
      </c>
      <c r="D99" s="2" t="s">
        <v>9</v>
      </c>
      <c r="E99" s="2" t="s">
        <v>18</v>
      </c>
      <c r="F99" s="2" t="s">
        <v>7</v>
      </c>
      <c r="G99" s="2" t="s">
        <v>5</v>
      </c>
      <c r="H99" s="2" t="s">
        <v>14</v>
      </c>
    </row>
    <row r="100" spans="1:8" ns3:dyDescent="0.2">
      <c r="A100" t="s">
        <v>62</v>
      </c>
      <c r="B100">
        <v>6.7699999999999998E-4</v>
      </c>
      <c r="C100" t="s">
        <v>60</v>
      </c>
      <c r="D100" t="s">
        <v>24</v>
      </c>
      <c r="F100" t="s">
        <v>20</v>
      </c>
      <c r="G100" t="s">
        <v>63</v>
      </c>
      <c r="H100" t="s">
        <v>116</v>
      </c>
    </row>
    <row r="101" spans="1:8" ns3:dyDescent="0.2">
      <c r="A101" t="s">
        <v>117</v>
      </c>
      <c r="B101">
        <v>5.8975418231608338E-2</v>
      </c>
      <c r="C101" t="s">
        <v>60</v>
      </c>
      <c r="D101" t="s">
        <v>118</v>
      </c>
      <c r="F101" t="s">
        <v>20</v>
      </c>
      <c r="G101" t="s">
        <v>119</v>
      </c>
      <c r="H101" t="s">
        <v>120</v>
      </c>
    </row>
    <row r="102" spans="1:8" ns3:dyDescent="0.2">
      <c r="A102" t="s">
        <v>37</v>
      </c>
      <c r="B102">
        <v>7.1100000000000003E-10</v>
      </c>
      <c r="C102" t="s">
        <v>3</v>
      </c>
      <c r="D102" t="s">
        <v>9</v>
      </c>
      <c r="F102" t="s">
        <v>20</v>
      </c>
      <c r="G102" t="inlineStr">
        <is>
          <t>locomotive electric, catenary</t>
        </is>
      </c>
      <c r="H102" t="inlineStr">
        <is>
          <t>Rail source linking consistency, item19: reference product now exactly matches its existing locomotive production supplier; numerical service and lifetime allocation unchanged.</t>
        </is>
      </c>
    </row>
    <row r="103" spans="1:8" ns3:dyDescent="0.2">
      <c r="A103" t="s">
        <v>67</v>
      </c>
      <c r="B103">
        <v>7.1100000000000003E-10</v>
      </c>
      <c r="C103" t="s">
        <v>23</v>
      </c>
      <c r="D103" t="s">
        <v>9</v>
      </c>
      <c r="F103" t="s">
        <v>20</v>
      </c>
      <c r="G103" t="s">
        <v>67</v>
      </c>
      <c r="H103" t="s">
        <v>66</v>
      </c>
    </row>
    <row r="104" spans="1:8" ns3:dyDescent="0.2">
      <c r="A104" t="s">
        <v>56</v>
      </c>
      <c r="B104">
        <v>4.5900000000000001E-8</v>
      </c>
      <c r="C104" t="s">
        <v>3</v>
      </c>
      <c r="D104" t="s">
        <v>9</v>
      </c>
      <c r="F104" t="s">
        <v>20</v>
      </c>
      <c r="G104" t="s">
        <v>57</v>
      </c>
      <c r="H104" t="s">
        <v>66</v>
      </c>
    </row>
    <row r="105" spans="1:8" ns3:dyDescent="0.2">
      <c r="A105" t="s">
        <v>68</v>
      </c>
      <c r="B105">
        <v>4.5900000000000001E-8</v>
      </c>
      <c r="C105" t="s">
        <v>23</v>
      </c>
      <c r="D105" t="s">
        <v>9</v>
      </c>
      <c r="F105" t="s">
        <v>20</v>
      </c>
      <c r="G105" t="s">
        <v>68</v>
      </c>
      <c r="H105" t="s">
        <v>66</v>
      </c>
    </row>
    <row r="106" spans="1:8" ns3:dyDescent="0.2">
      <c r="A106" t="s">
        <v>69</v>
      </c>
      <c r="B106">
        <v>9.2999999999999997E-5</v>
      </c>
      <c r="C106" t="s">
        <v>3</v>
      </c>
      <c r="D106" t="s">
        <v>70</v>
      </c>
      <c r="F106" t="s">
        <v>20</v>
      </c>
      <c r="G106" t="s">
        <v>71</v>
      </c>
      <c r="H106" t="s">
        <v>66</v>
      </c>
    </row>
    <row r="107" spans="1:8" ns3:dyDescent="0.2">
      <c r="A107" t="s">
        <v>72</v>
      </c>
      <c r="B107">
        <v>1.3540000000000001E-8</v>
      </c>
      <c r="D107" t="s">
        <v>24</v>
      </c>
      <c r="E107" t="s">
        <v>240</v>
      </c>
      <c r="F107" t="s">
        <v>73</v>
      </c>
      <c r="H107" t="s">
        <v>74</v>
      </c>
    </row>
    <row r="108" spans="1:8" ns3:dyDescent="0.2">
      <c r="A108" t="s">
        <v>75</v>
      </c>
      <c r="B108">
        <v>6.7700000000000004E-8</v>
      </c>
      <c r="D108" t="s">
        <v>24</v>
      </c>
      <c r="E108" t="s">
        <v>240</v>
      </c>
      <c r="F108" t="s">
        <v>73</v>
      </c>
      <c r="H108" t="s">
        <v>76</v>
      </c>
    </row>
    <row r="109" spans="1:8" ns3:dyDescent="0.2">
      <c r="A109" t="s">
        <v>77</v>
      </c>
      <c r="B109">
        <v>6.7699999999999996E-12</v>
      </c>
      <c r="D109" t="s">
        <v>24</v>
      </c>
      <c r="E109" t="s">
        <v>240</v>
      </c>
      <c r="F109" t="s">
        <v>73</v>
      </c>
      <c r="H109" t="s">
        <v>78</v>
      </c>
    </row>
    <row r="110" spans="1:8" ns3:dyDescent="0.2">
      <c r="A110" t="s">
        <v>79</v>
      </c>
      <c r="B110">
        <v>2.1298419999999998E-3</v>
      </c>
      <c r="D110" t="s">
        <v>24</v>
      </c>
      <c r="E110" t="s">
        <v>240</v>
      </c>
      <c r="F110" t="s">
        <v>73</v>
      </c>
      <c r="H110" t="s">
        <v>80</v>
      </c>
    </row>
    <row r="111" spans="1:8" ns3:dyDescent="0.2">
      <c r="A111" t="s">
        <v>81</v>
      </c>
      <c r="B111">
        <v>1.06966E-5</v>
      </c>
      <c r="D111" t="s">
        <v>24</v>
      </c>
      <c r="E111" t="s">
        <v>240</v>
      </c>
      <c r="F111" t="s">
        <v>73</v>
      </c>
      <c r="H111" t="s">
        <v>82</v>
      </c>
    </row>
    <row r="112" spans="1:8" ns3:dyDescent="0.2">
      <c r="A112" t="s">
        <v>83</v>
      </c>
      <c r="B112">
        <v>3.3849999999999998E-11</v>
      </c>
      <c r="D112" t="s">
        <v>24</v>
      </c>
      <c r="E112" t="s">
        <v>240</v>
      </c>
      <c r="F112" t="s">
        <v>73</v>
      </c>
      <c r="H112" t="s">
        <v>84</v>
      </c>
    </row>
    <row r="113" spans="1:8" ns3:dyDescent="0.2">
      <c r="A113" t="s">
        <v>85</v>
      </c>
      <c r="B113">
        <v>1.1509E-9</v>
      </c>
      <c r="D113" t="s">
        <v>24</v>
      </c>
      <c r="E113" t="s">
        <v>240</v>
      </c>
      <c r="F113" t="s">
        <v>73</v>
      </c>
      <c r="H113" t="s">
        <v>86</v>
      </c>
    </row>
    <row r="114" spans="1:8" ns3:dyDescent="0.2">
      <c r="A114" t="s">
        <v>87</v>
      </c>
      <c r="B114">
        <v>6.7700000000000004E-8</v>
      </c>
      <c r="D114" t="s">
        <v>24</v>
      </c>
      <c r="E114" t="s">
        <v>240</v>
      </c>
      <c r="F114" t="s">
        <v>73</v>
      </c>
      <c r="H114" t="s">
        <v>76</v>
      </c>
    </row>
    <row r="115" spans="1:8" ns3:dyDescent="0.2">
      <c r="A115" t="s">
        <v>88</v>
      </c>
      <c r="B115">
        <v>1.24E-5</v>
      </c>
      <c r="D115" t="s">
        <v>24</v>
      </c>
      <c r="E115" t="s">
        <v>275</v>
      </c>
      <c r="F115" t="s">
        <v>73</v>
      </c>
      <c r="H115" t="s">
        <v>89</v>
      </c>
    </row>
    <row r="116" spans="1:8" ns3:dyDescent="0.2">
      <c r="A116" t="s">
        <v>90</v>
      </c>
      <c r="B116">
        <v>7.4469999999999997E-14</v>
      </c>
      <c r="D116" t="s">
        <v>24</v>
      </c>
      <c r="E116" t="s">
        <v>240</v>
      </c>
      <c r="F116" t="s">
        <v>73</v>
      </c>
      <c r="H116" t="s">
        <v>91</v>
      </c>
    </row>
    <row r="117" spans="1:8" ns3:dyDescent="0.2">
      <c r="A117" t="s">
        <v>92</v>
      </c>
      <c r="B117">
        <v>1.3539999999999998E-14</v>
      </c>
      <c r="D117" t="s">
        <v>24</v>
      </c>
      <c r="E117" t="s">
        <v>240</v>
      </c>
      <c r="F117" t="s">
        <v>73</v>
      </c>
      <c r="H117" t="s">
        <v>93</v>
      </c>
    </row>
    <row r="118" spans="1:8" ns3:dyDescent="0.2">
      <c r="A118" t="s">
        <v>94</v>
      </c>
      <c r="B118">
        <v>8.8009999999999992E-8</v>
      </c>
      <c r="D118" t="s">
        <v>24</v>
      </c>
      <c r="E118" t="s">
        <v>240</v>
      </c>
      <c r="F118" t="s">
        <v>73</v>
      </c>
      <c r="H118" t="s">
        <v>95</v>
      </c>
    </row>
    <row r="119" spans="1:8" ns3:dyDescent="0.2">
      <c r="A119" t="s">
        <v>96</v>
      </c>
      <c r="B119">
        <v>3.5542499999999999E-6</v>
      </c>
      <c r="D119" t="s">
        <v>24</v>
      </c>
      <c r="E119" t="s">
        <v>240</v>
      </c>
      <c r="F119" t="s">
        <v>73</v>
      </c>
      <c r="H119" t="s">
        <v>97</v>
      </c>
    </row>
    <row r="120" spans="1:8" ns3:dyDescent="0.2">
      <c r="A120" t="s">
        <v>98</v>
      </c>
      <c r="B120">
        <v>4.7390000000000004E-11</v>
      </c>
      <c r="D120" t="s">
        <v>24</v>
      </c>
      <c r="E120" t="s">
        <v>240</v>
      </c>
      <c r="F120" t="s">
        <v>73</v>
      </c>
      <c r="H120" t="s">
        <v>99</v>
      </c>
    </row>
    <row r="121" spans="1:8" ns3:dyDescent="0.2">
      <c r="A121" t="s">
        <v>100</v>
      </c>
      <c r="B121">
        <v>3.7234999999999998E-5</v>
      </c>
      <c r="D121" t="s">
        <v>24</v>
      </c>
      <c r="E121" t="s">
        <v>240</v>
      </c>
      <c r="F121" t="s">
        <v>73</v>
      </c>
      <c r="H121" t="s">
        <v>101</v>
      </c>
    </row>
    <row r="122" spans="1:8" ns3:dyDescent="0.2">
      <c r="A122" t="s">
        <v>102</v>
      </c>
      <c r="B122">
        <v>8.3270999999999994E-7</v>
      </c>
      <c r="D122" t="s">
        <v>24</v>
      </c>
      <c r="E122" t="s">
        <v>240</v>
      </c>
      <c r="F122" t="s">
        <v>73</v>
      </c>
      <c r="H122" t="s">
        <v>103</v>
      </c>
    </row>
    <row r="123" spans="1:8" ns3:dyDescent="0.2">
      <c r="A123" t="s">
        <v>104</v>
      </c>
      <c r="B123">
        <v>1.7737167300000001E-5</v>
      </c>
      <c r="D123" t="s">
        <v>24</v>
      </c>
      <c r="E123" t="s">
        <v>240</v>
      </c>
      <c r="F123" t="s">
        <v>73</v>
      </c>
      <c r="H123" t="s">
        <v>105</v>
      </c>
    </row>
    <row r="124" spans="1:8" ns3:dyDescent="0.2">
      <c r="A124" t="s">
        <v>106</v>
      </c>
      <c r="B124">
        <v>1.6372438999999999E-5</v>
      </c>
      <c r="D124" t="s">
        <v>24</v>
      </c>
      <c r="E124" t="s">
        <v>240</v>
      </c>
      <c r="F124" t="s">
        <v>73</v>
      </c>
      <c r="H124" t="s">
        <v>107</v>
      </c>
    </row>
    <row r="125" spans="1:8" ns3:dyDescent="0.2">
      <c r="A125" t="s">
        <v>108</v>
      </c>
      <c r="B125">
        <v>6.7699999999999996E-12</v>
      </c>
      <c r="D125" t="s">
        <v>24</v>
      </c>
      <c r="E125" t="s">
        <v>240</v>
      </c>
      <c r="F125" t="s">
        <v>73</v>
      </c>
      <c r="H125" t="s">
        <v>78</v>
      </c>
    </row>
    <row r="126" spans="1:8" ns3:dyDescent="0.2">
      <c r="A126" t="s">
        <v>109</v>
      </c>
      <c r="B126">
        <v>4.0619999999999997E-7</v>
      </c>
      <c r="D126" t="s">
        <v>24</v>
      </c>
      <c r="E126" t="s">
        <v>240</v>
      </c>
      <c r="F126" t="s">
        <v>73</v>
      </c>
      <c r="H126" t="s">
        <v>110</v>
      </c>
    </row>
    <row r="127" spans="1:8" ns3:dyDescent="0.2">
      <c r="A127" t="s">
        <v>231</v>
      </c>
      <c r="B127">
        <v>3.1399999999999999E-9</v>
      </c>
      <c r="D127" t="s">
        <v>24</v>
      </c>
      <c r="E127" t="s">
        <v>240</v>
      </c>
      <c r="F127" t="s">
        <v>73</v>
      </c>
      <c r="H127" t="s">
        <v>122</v>
      </c>
    </row>
    <row r="128" spans="1:8" ns3:dyDescent="0.2">
      <c r="A128" t="s">
        <v>111</v>
      </c>
      <c r="B128">
        <v>2.7080000000000002E-8</v>
      </c>
      <c r="D128" t="s">
        <v>24</v>
      </c>
      <c r="E128" t="s">
        <v>240</v>
      </c>
      <c r="F128" t="s">
        <v>73</v>
      </c>
      <c r="H128" t="s">
        <v>112</v>
      </c>
    </row>
    <row r="129" spans="1:8" ns3:dyDescent="0.2">
      <c r="A129" t="s">
        <v>230</v>
      </c>
      <c r="B129">
        <v>2.7080000000000002E-8</v>
      </c>
      <c r="D129" t="s">
        <v>24</v>
      </c>
      <c r="E129" t="s">
        <v>240</v>
      </c>
      <c r="F129" t="s">
        <v>73</v>
      </c>
      <c r="H129" t="s">
        <v>112</v>
      </c>
    </row>
    <row r="130" spans="1:8" ns3:dyDescent="0.2">
      <c r="A130" t="s">
        <v>113</v>
      </c>
      <c r="B130">
        <v>6.7699999999999994E-10</v>
      </c>
      <c r="D130" t="s">
        <v>24</v>
      </c>
      <c r="E130" t="s">
        <v>240</v>
      </c>
      <c r="F130" t="s">
        <v>73</v>
      </c>
      <c r="H130" t="s">
        <v>114</v>
      </c>
    </row>
    <row r="131" spans="1:8" ns3:dyDescent="0.2">
      <c r="A131" t="s">
        <v>115</v>
      </c>
      <c r="B131">
        <v>1</v>
      </c>
      <c r="C131" t="s">
        <v>60</v>
      </c>
      <c r="D131" t="s">
        <v>232</v>
      </c>
      <c r="F131" t="s">
        <v>36</v>
      </c>
      <c r="G131" t="s">
        <v>61</v>
      </c>
    </row>
    <row r="133" spans="1:8" ns3:dyDescent="0.2">
      <c r="A133" s="2" t="s">
        <v>0</v>
      </c>
      <c r="B133" s="2" t="s">
        <v>123</v>
      </c>
    </row>
    <row r="134" spans="1:8" ns3:dyDescent="0.2">
      <c r="A134" t="s">
        <v>2</v>
      </c>
      <c r="B134" t="s">
        <v>60</v>
      </c>
    </row>
    <row r="135" spans="1:8" ns3:dyDescent="0.2">
      <c r="A135" t="s">
        <v>4</v>
      </c>
      <c r="B135">
        <v>1</v>
      </c>
    </row>
    <row r="136" spans="1:8" ns3:dyDescent="0.2">
      <c r="A136" t="s">
        <v>5</v>
      </c>
      <c r="B136" t="s">
        <v>61</v>
      </c>
    </row>
    <row r="137" spans="1:8" ns3:dyDescent="0.2">
      <c r="A137" t="s">
        <v>7</v>
      </c>
      <c r="B137" t="s">
        <v>8</v>
      </c>
    </row>
    <row r="138" spans="1:8" ns3:dyDescent="0.2">
      <c r="A138" t="s">
        <v>9</v>
      </c>
      <c r="B138" t="s">
        <v>232</v>
      </c>
    </row>
    <row r="139" spans="1:8" ns3:dyDescent="0.2">
      <c r="A139" t="s">
        <v>15</v>
      </c>
    </row>
    <row r="140" spans="1:8" ns3:dyDescent="0.2">
      <c r="A140" s="2" t="s">
        <v>16</v>
      </c>
      <c r="B140" s="2" t="s">
        <v>17</v>
      </c>
      <c r="C140" s="2" t="s">
        <v>2</v>
      </c>
      <c r="D140" s="2" t="s">
        <v>9</v>
      </c>
      <c r="E140" s="2" t="s">
        <v>18</v>
      </c>
      <c r="F140" s="2" t="s">
        <v>7</v>
      </c>
      <c r="G140" s="2" t="s">
        <v>5</v>
      </c>
      <c r="H140" s="2" t="s">
        <v>14</v>
      </c>
    </row>
    <row r="141" spans="1:8" ns3:dyDescent="0.2">
      <c r="A141" t="s">
        <v>62</v>
      </c>
      <c r="B141">
        <v>6.7699999999999998E-4</v>
      </c>
      <c r="C141" t="s">
        <v>60</v>
      </c>
      <c r="D141" t="s">
        <v>24</v>
      </c>
      <c r="F141" t="s">
        <v>20</v>
      </c>
      <c r="G141" t="s">
        <v>63</v>
      </c>
      <c r="H141" t="s">
        <v>116</v>
      </c>
    </row>
    <row r="142" spans="1:8" ns3:dyDescent="0.2">
      <c r="A142" t="s">
        <v>124</v>
      </c>
      <c r="B142">
        <v>2.6407008419567155E-3</v>
      </c>
      <c r="C142" t="s">
        <v>3</v>
      </c>
      <c r="D142" t="s">
        <v>24</v>
      </c>
      <c r="F142" t="s">
        <v>20</v>
      </c>
      <c r="G142" t="s">
        <v>125</v>
      </c>
      <c r="H142" t="s">
        <v>120</v>
      </c>
    </row>
    <row r="143" spans="1:8" ns3:dyDescent="0.2">
      <c r="A143" t="s">
        <v>45</v>
      </c>
      <c r="B143">
        <v>7.1100000000000003E-10</v>
      </c>
      <c r="C143" t="s">
        <v>3</v>
      </c>
      <c r="D143" t="s">
        <v>9</v>
      </c>
      <c r="F143" t="s">
        <v>20</v>
      </c>
      <c r="G143" t="inlineStr">
        <is>
          <t>locomotive fuel cell, hydrogen</t>
        </is>
      </c>
      <c r="H143" t="inlineStr">
        <is>
          <t>Rail source linking consistency, item19: reference product now exactly matches its existing locomotive production supplier; numerical service and lifetime allocation unchanged.</t>
        </is>
      </c>
    </row>
    <row r="144" spans="1:8" ns3:dyDescent="0.2">
      <c r="A144" t="s">
        <v>67</v>
      </c>
      <c r="B144">
        <v>7.1100000000000003E-10</v>
      </c>
      <c r="C144" t="s">
        <v>23</v>
      </c>
      <c r="D144" t="s">
        <v>9</v>
      </c>
      <c r="F144" t="s">
        <v>20</v>
      </c>
      <c r="G144" t="s">
        <v>67</v>
      </c>
      <c r="H144" t="s">
        <v>66</v>
      </c>
    </row>
    <row r="145" spans="1:8" ns3:dyDescent="0.2">
      <c r="A145" t="s">
        <v>56</v>
      </c>
      <c r="B145">
        <v>4.5900000000000001E-8</v>
      </c>
      <c r="C145" t="s">
        <v>3</v>
      </c>
      <c r="D145" t="s">
        <v>9</v>
      </c>
      <c r="F145" t="s">
        <v>20</v>
      </c>
      <c r="G145" t="s">
        <v>57</v>
      </c>
      <c r="H145" t="s">
        <v>66</v>
      </c>
    </row>
    <row r="146" spans="1:8" ns3:dyDescent="0.2">
      <c r="A146" t="s">
        <v>68</v>
      </c>
      <c r="B146">
        <v>4.5900000000000001E-8</v>
      </c>
      <c r="C146" t="s">
        <v>23</v>
      </c>
      <c r="D146" t="s">
        <v>9</v>
      </c>
      <c r="F146" t="s">
        <v>20</v>
      </c>
      <c r="G146" t="s">
        <v>68</v>
      </c>
      <c r="H146" t="s">
        <v>66</v>
      </c>
    </row>
    <row r="147" spans="1:8" ns3:dyDescent="0.2">
      <c r="A147" t="s">
        <v>69</v>
      </c>
      <c r="B147">
        <v>9.2999999999999997E-5</v>
      </c>
      <c r="C147" t="s">
        <v>3</v>
      </c>
      <c r="D147" t="s">
        <v>70</v>
      </c>
      <c r="F147" t="s">
        <v>20</v>
      </c>
      <c r="G147" t="s">
        <v>71</v>
      </c>
      <c r="H147" t="s">
        <v>66</v>
      </c>
    </row>
    <row r="148" spans="1:8" ns3:dyDescent="0.2">
      <c r="A148" t="s">
        <v>123</v>
      </c>
      <c r="B148">
        <v>1</v>
      </c>
      <c r="C148" t="s">
        <v>60</v>
      </c>
      <c r="D148" t="s">
        <v>232</v>
      </c>
      <c r="F148" t="s">
        <v>36</v>
      </c>
      <c r="G148" t="s">
        <v>61</v>
      </c>
    </row>
    <row r="149" spans="1:8" ns3:dyDescent="0.2">
      <c r="A149" t="s">
        <v>277</v>
      </c>
      <c r="B149">
        <f>9*B142/1000</f>
        <v>2.3766307577610438E-5</v>
      </c>
      <c r="D149" t="s">
        <v>278</v>
      </c>
      <c r="E149" t="s">
        <v>240</v>
      </c>
      <c r="F149" t="s">
        <v>73</v>
      </c>
      <c r="H149" t="s">
        <v>279</v>
      </c>
    </row>
    <row r="151" spans="1:8" ns3:dyDescent="0.2">
      <c r="A151" s="2" t="s">
        <v>0</v>
      </c>
      <c r="B151" s="2" t="s">
        <v>59</v>
      </c>
    </row>
    <row r="152" spans="1:8" ns3:dyDescent="0.2">
      <c r="A152" t="s">
        <v>2</v>
      </c>
      <c r="B152" t="s">
        <v>127</v>
      </c>
    </row>
    <row r="153" spans="1:8" ns3:dyDescent="0.2">
      <c r="A153" t="s">
        <v>4</v>
      </c>
      <c r="B153">
        <v>1</v>
      </c>
    </row>
    <row r="154" spans="1:8" ns3:dyDescent="0.2">
      <c r="A154" t="s">
        <v>5</v>
      </c>
      <c r="B154" t="s">
        <v>61</v>
      </c>
    </row>
    <row r="155" spans="1:8" ns3:dyDescent="0.2">
      <c r="A155" t="s">
        <v>7</v>
      </c>
      <c r="B155" t="s">
        <v>8</v>
      </c>
    </row>
    <row r="156" spans="1:8" ns3:dyDescent="0.2">
      <c r="A156" t="s">
        <v>9</v>
      </c>
      <c r="B156" t="s">
        <v>232</v>
      </c>
    </row>
    <row r="157" spans="1:8" ns3:dyDescent="0.2">
      <c r="A157" t="s">
        <v>15</v>
      </c>
    </row>
    <row r="158" spans="1:8" ns3:dyDescent="0.2">
      <c r="A158" s="2" t="s">
        <v>16</v>
      </c>
      <c r="B158" s="2" t="s">
        <v>17</v>
      </c>
      <c r="C158" s="2" t="s">
        <v>2</v>
      </c>
      <c r="D158" s="2" t="s">
        <v>9</v>
      </c>
      <c r="E158" s="2" t="s">
        <v>18</v>
      </c>
      <c r="F158" s="2" t="s">
        <v>7</v>
      </c>
      <c r="G158" s="2" t="s">
        <v>5</v>
      </c>
      <c r="H158" s="2" t="s">
        <v>14</v>
      </c>
    </row>
    <row r="159" spans="1:8" ns3:dyDescent="0.2">
      <c r="A159" t="s">
        <v>62</v>
      </c>
      <c r="B159">
        <v>6.4580125901954888E-3</v>
      </c>
      <c r="C159" t="s">
        <v>127</v>
      </c>
      <c r="D159" t="s">
        <v>24</v>
      </c>
      <c r="F159" t="s">
        <v>20</v>
      </c>
      <c r="G159" t="s">
        <v>63</v>
      </c>
      <c r="H159" t="s">
        <v>64</v>
      </c>
    </row>
    <row r="160" spans="1:8" ns3:dyDescent="0.2">
      <c r="A160" t="s">
        <v>1</v>
      </c>
      <c r="B160">
        <v>3.5159000000000002E-10</v>
      </c>
      <c r="C160" t="s">
        <v>3</v>
      </c>
      <c r="D160" t="s">
        <v>9</v>
      </c>
      <c r="F160" t="s">
        <v>20</v>
      </c>
      <c r="G160" t="inlineStr">
        <is>
          <t>locomotive diesel-electric</t>
        </is>
      </c>
      <c r="H160"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"transport, freight train, diesel - IN"</t>
        </is>
      </c>
    </row>
    <row r="161" spans="1:8" ns3:dyDescent="0.2">
      <c r="A161" t="s">
        <v>129</v>
      </c>
      <c r="B161">
        <v>3.5159000000000002E-10</v>
      </c>
      <c r="C161" t="s">
        <v>3</v>
      </c>
      <c r="D161" t="s">
        <v>9</v>
      </c>
      <c r="F161" t="s">
        <v>20</v>
      </c>
      <c r="G161" t="s">
        <v>67</v>
      </c>
      <c r="H161" t="s">
        <v>128</v>
      </c>
    </row>
    <row r="162" spans="1:8" ns3:dyDescent="0.2">
      <c r="A162" t="s">
        <v>56</v>
      </c>
      <c r="B162">
        <v>1.1206E-8</v>
      </c>
      <c r="C162" t="s">
        <v>3</v>
      </c>
      <c r="D162" t="s">
        <v>9</v>
      </c>
      <c r="F162" t="s">
        <v>20</v>
      </c>
      <c r="G162" t="s">
        <v>57</v>
      </c>
      <c r="H162" t="s">
        <v>128</v>
      </c>
    </row>
    <row r="163" spans="1:8" ns3:dyDescent="0.2">
      <c r="A163" t="s">
        <v>130</v>
      </c>
      <c r="B163">
        <v>1.1206E-8</v>
      </c>
      <c r="C163" t="s">
        <v>3</v>
      </c>
      <c r="D163" t="s">
        <v>9</v>
      </c>
      <c r="F163" t="s">
        <v>20</v>
      </c>
      <c r="G163" t="s">
        <v>68</v>
      </c>
      <c r="H163" t="s">
        <v>128</v>
      </c>
    </row>
    <row r="164" spans="1:8" ns3:dyDescent="0.2">
      <c r="A164" t="s">
        <v>69</v>
      </c>
      <c r="B164">
        <v>4.5049999999999997E-5</v>
      </c>
      <c r="C164" t="s">
        <v>3</v>
      </c>
      <c r="D164" t="s">
        <v>70</v>
      </c>
      <c r="F164" t="s">
        <v>20</v>
      </c>
      <c r="G164" t="s">
        <v>71</v>
      </c>
      <c r="H164" t="s">
        <v>128</v>
      </c>
    </row>
    <row r="165" spans="1:8" ns3:dyDescent="0.2">
      <c r="A165" t="s">
        <v>72</v>
      </c>
      <c r="B165">
        <v>1.0759524714512439E-7</v>
      </c>
      <c r="D165" t="s">
        <v>24</v>
      </c>
      <c r="E165" t="s">
        <v>240</v>
      </c>
      <c r="F165" t="s">
        <v>73</v>
      </c>
      <c r="H165" t="s">
        <v>74</v>
      </c>
    </row>
    <row r="166" spans="1:8" ns3:dyDescent="0.2">
      <c r="A166" t="s">
        <v>75</v>
      </c>
      <c r="B166">
        <v>5.3797623572562195E-7</v>
      </c>
      <c r="D166" t="s">
        <v>24</v>
      </c>
      <c r="E166" t="s">
        <v>240</v>
      </c>
      <c r="F166" t="s">
        <v>73</v>
      </c>
      <c r="H166" t="s">
        <v>76</v>
      </c>
    </row>
    <row r="167" spans="1:8" ns3:dyDescent="0.2">
      <c r="A167" t="s">
        <v>77</v>
      </c>
      <c r="B167">
        <v>5.3797623572562195E-11</v>
      </c>
      <c r="D167" t="s">
        <v>24</v>
      </c>
      <c r="E167" t="s">
        <v>240</v>
      </c>
      <c r="F167" t="s">
        <v>73</v>
      </c>
      <c r="H167" t="s">
        <v>78</v>
      </c>
    </row>
    <row r="168" spans="1:8" ns3:dyDescent="0.2">
      <c r="A168" t="s">
        <v>79</v>
      </c>
      <c r="B168">
        <v>1.6924732375928064E-2</v>
      </c>
      <c r="D168" t="s">
        <v>24</v>
      </c>
      <c r="E168" t="s">
        <v>240</v>
      </c>
      <c r="F168" t="s">
        <v>73</v>
      </c>
      <c r="H168" t="s">
        <v>80</v>
      </c>
    </row>
    <row r="169" spans="1:8" ns3:dyDescent="0.2">
      <c r="A169" t="s">
        <v>81</v>
      </c>
      <c r="B169">
        <v>8.5000245244648272E-5</v>
      </c>
      <c r="D169" t="s">
        <v>24</v>
      </c>
      <c r="E169" t="s">
        <v>240</v>
      </c>
      <c r="F169" t="s">
        <v>73</v>
      </c>
      <c r="H169" t="s">
        <v>82</v>
      </c>
    </row>
    <row r="170" spans="1:8" ns3:dyDescent="0.2">
      <c r="A170" t="s">
        <v>83</v>
      </c>
      <c r="B170">
        <v>2.6898811786281094E-10</v>
      </c>
      <c r="D170" t="s">
        <v>24</v>
      </c>
      <c r="E170" t="s">
        <v>240</v>
      </c>
      <c r="F170" t="s">
        <v>73</v>
      </c>
      <c r="H170" t="s">
        <v>84</v>
      </c>
    </row>
    <row r="171" spans="1:8" ns3:dyDescent="0.2">
      <c r="A171" t="s">
        <v>85</v>
      </c>
      <c r="B171">
        <v>9.1455960073355732E-9</v>
      </c>
      <c r="D171" t="s">
        <v>24</v>
      </c>
      <c r="E171" t="s">
        <v>240</v>
      </c>
      <c r="F171" t="s">
        <v>73</v>
      </c>
      <c r="H171" t="s">
        <v>86</v>
      </c>
    </row>
    <row r="172" spans="1:8" ns3:dyDescent="0.2">
      <c r="A172" t="s">
        <v>87</v>
      </c>
      <c r="B172">
        <v>5.3797623572562195E-7</v>
      </c>
      <c r="D172" t="s">
        <v>24</v>
      </c>
      <c r="E172" t="s">
        <v>240</v>
      </c>
      <c r="F172" t="s">
        <v>73</v>
      </c>
      <c r="H172" t="s">
        <v>76</v>
      </c>
    </row>
    <row r="173" spans="1:8" ns3:dyDescent="0.2">
      <c r="A173" t="s">
        <v>88</v>
      </c>
      <c r="B173">
        <v>1.24E-5</v>
      </c>
      <c r="D173" t="s">
        <v>24</v>
      </c>
      <c r="E173" t="s">
        <v>275</v>
      </c>
      <c r="F173" t="s">
        <v>73</v>
      </c>
      <c r="H173" t="s">
        <v>89</v>
      </c>
    </row>
    <row r="174" spans="1:8" ns3:dyDescent="0.2">
      <c r="A174" t="s">
        <v>90</v>
      </c>
      <c r="B174">
        <v>5.917738592981841E-13</v>
      </c>
      <c r="D174" t="s">
        <v>24</v>
      </c>
      <c r="E174" t="s">
        <v>240</v>
      </c>
      <c r="F174" t="s">
        <v>73</v>
      </c>
      <c r="H174" t="s">
        <v>91</v>
      </c>
    </row>
    <row r="175" spans="1:8" ns3:dyDescent="0.2">
      <c r="A175" t="s">
        <v>92</v>
      </c>
      <c r="B175">
        <v>1.0759524714512438E-13</v>
      </c>
      <c r="D175" t="s">
        <v>24</v>
      </c>
      <c r="E175" t="s">
        <v>240</v>
      </c>
      <c r="F175" t="s">
        <v>73</v>
      </c>
      <c r="H175" t="s">
        <v>93</v>
      </c>
    </row>
    <row r="176" spans="1:8" ns3:dyDescent="0.2">
      <c r="A176" t="s">
        <v>94</v>
      </c>
      <c r="B176">
        <v>6.9936910644330844E-7</v>
      </c>
      <c r="D176" t="s">
        <v>24</v>
      </c>
      <c r="E176" t="s">
        <v>240</v>
      </c>
      <c r="F176" t="s">
        <v>73</v>
      </c>
      <c r="H176" t="s">
        <v>95</v>
      </c>
    </row>
    <row r="177" spans="1:8" ns3:dyDescent="0.2">
      <c r="A177" t="s">
        <v>96</v>
      </c>
      <c r="B177">
        <v>2.8243752375595152E-5</v>
      </c>
      <c r="D177" t="s">
        <v>24</v>
      </c>
      <c r="E177" t="s">
        <v>240</v>
      </c>
      <c r="F177" t="s">
        <v>73</v>
      </c>
      <c r="H177" t="s">
        <v>97</v>
      </c>
    </row>
    <row r="178" spans="1:8" ns3:dyDescent="0.2">
      <c r="A178" t="s">
        <v>98</v>
      </c>
      <c r="B178">
        <v>3.7658336500793535E-10</v>
      </c>
      <c r="D178" t="s">
        <v>24</v>
      </c>
      <c r="E178" t="s">
        <v>240</v>
      </c>
      <c r="F178" t="s">
        <v>73</v>
      </c>
      <c r="H178" t="s">
        <v>99</v>
      </c>
    </row>
    <row r="179" spans="1:8" ns3:dyDescent="0.2">
      <c r="A179" t="s">
        <v>100</v>
      </c>
      <c r="B179">
        <v>2.9588692964909206E-4</v>
      </c>
      <c r="D179" t="s">
        <v>24</v>
      </c>
      <c r="E179" t="s">
        <v>240</v>
      </c>
      <c r="F179" t="s">
        <v>73</v>
      </c>
      <c r="H179" t="s">
        <v>101</v>
      </c>
    </row>
    <row r="180" spans="1:8" ns3:dyDescent="0.2">
      <c r="A180" t="s">
        <v>102</v>
      </c>
      <c r="B180">
        <v>6.6171076994251494E-6</v>
      </c>
      <c r="D180" t="s">
        <v>24</v>
      </c>
      <c r="E180" t="s">
        <v>240</v>
      </c>
      <c r="F180" t="s">
        <v>73</v>
      </c>
      <c r="H180" t="s">
        <v>103</v>
      </c>
    </row>
    <row r="181" spans="1:8" ns3:dyDescent="0.2">
      <c r="A181" t="s">
        <v>104</v>
      </c>
      <c r="B181">
        <v>1.7995348953413365E-5</v>
      </c>
      <c r="D181" t="s">
        <v>24</v>
      </c>
      <c r="E181" t="s">
        <v>240</v>
      </c>
      <c r="F181" t="s">
        <v>73</v>
      </c>
      <c r="H181" t="s">
        <v>105</v>
      </c>
    </row>
    <row r="182" spans="1:8" ns3:dyDescent="0.2">
      <c r="A182" t="s">
        <v>106</v>
      </c>
      <c r="B182">
        <v>1.6875634572226414E-5</v>
      </c>
      <c r="D182" t="s">
        <v>24</v>
      </c>
      <c r="E182" t="s">
        <v>240</v>
      </c>
      <c r="F182" t="s">
        <v>73</v>
      </c>
      <c r="H182" t="s">
        <v>107</v>
      </c>
    </row>
    <row r="183" spans="1:8" ns3:dyDescent="0.2">
      <c r="A183" t="s">
        <v>108</v>
      </c>
      <c r="B183">
        <v>5.3797623572562195E-11</v>
      </c>
      <c r="D183" t="s">
        <v>24</v>
      </c>
      <c r="E183" t="s">
        <v>240</v>
      </c>
      <c r="F183" t="s">
        <v>73</v>
      </c>
      <c r="H183" t="s">
        <v>78</v>
      </c>
    </row>
    <row r="184" spans="1:8" ns3:dyDescent="0.2">
      <c r="A184" t="s">
        <v>109</v>
      </c>
      <c r="B184">
        <v>3.2278574143537311E-6</v>
      </c>
      <c r="D184" t="s">
        <v>24</v>
      </c>
      <c r="E184" t="s">
        <v>240</v>
      </c>
      <c r="F184" t="s">
        <v>73</v>
      </c>
      <c r="H184" t="s">
        <v>110</v>
      </c>
    </row>
    <row r="185" spans="1:8" ns3:dyDescent="0.2">
      <c r="A185" t="s">
        <v>111</v>
      </c>
      <c r="B185">
        <v>2.1519049429024878E-7</v>
      </c>
      <c r="D185" t="s">
        <v>24</v>
      </c>
      <c r="E185" t="s">
        <v>240</v>
      </c>
      <c r="F185" t="s">
        <v>73</v>
      </c>
      <c r="H185" t="s">
        <v>112</v>
      </c>
    </row>
    <row r="186" spans="1:8" ns3:dyDescent="0.2">
      <c r="A186" t="s">
        <v>230</v>
      </c>
      <c r="B186">
        <v>2.1519049429024878E-7</v>
      </c>
      <c r="D186" t="s">
        <v>24</v>
      </c>
      <c r="E186" t="s">
        <v>240</v>
      </c>
      <c r="F186" t="s">
        <v>73</v>
      </c>
      <c r="H186" t="s">
        <v>112</v>
      </c>
    </row>
    <row r="187" spans="1:8" ns3:dyDescent="0.2">
      <c r="A187" t="s">
        <v>113</v>
      </c>
      <c r="B187">
        <v>5.379762357256219E-9</v>
      </c>
      <c r="D187" t="s">
        <v>24</v>
      </c>
      <c r="E187" t="s">
        <v>240</v>
      </c>
      <c r="F187" t="s">
        <v>73</v>
      </c>
      <c r="H187" t="s">
        <v>114</v>
      </c>
    </row>
    <row r="188" spans="1:8" ns3:dyDescent="0.2">
      <c r="A188" t="s">
        <v>59</v>
      </c>
      <c r="B188">
        <v>1</v>
      </c>
      <c r="C188" t="s">
        <v>127</v>
      </c>
      <c r="D188" t="s">
        <v>232</v>
      </c>
      <c r="F188" t="s">
        <v>36</v>
      </c>
      <c r="G188" t="s">
        <v>61</v>
      </c>
    </row>
    <row r="190" spans="1:8" ns3:dyDescent="0.2">
      <c r="A190" s="2" t="s">
        <v>0</v>
      </c>
      <c r="B190" s="2" t="s">
        <v>115</v>
      </c>
    </row>
    <row r="191" spans="1:8" ns3:dyDescent="0.2">
      <c r="A191" t="s">
        <v>2</v>
      </c>
      <c r="B191" t="s">
        <v>127</v>
      </c>
    </row>
    <row r="192" spans="1:8" ns3:dyDescent="0.2">
      <c r="A192" t="s">
        <v>4</v>
      </c>
      <c r="B192">
        <v>1</v>
      </c>
    </row>
    <row r="193" spans="1:8" ns3:dyDescent="0.2">
      <c r="A193" t="s">
        <v>5</v>
      </c>
      <c r="B193" t="s">
        <v>61</v>
      </c>
    </row>
    <row r="194" spans="1:8" ns3:dyDescent="0.2">
      <c r="A194" t="s">
        <v>7</v>
      </c>
      <c r="B194" t="s">
        <v>8</v>
      </c>
    </row>
    <row r="195" spans="1:8" ns3:dyDescent="0.2">
      <c r="A195" t="s">
        <v>9</v>
      </c>
      <c r="B195" t="s">
        <v>232</v>
      </c>
    </row>
    <row r="196" spans="1:8" ns3:dyDescent="0.2">
      <c r="A196" t="s">
        <v>15</v>
      </c>
    </row>
    <row r="197" spans="1:8" ns3:dyDescent="0.2">
      <c r="A197" s="2" t="s">
        <v>16</v>
      </c>
      <c r="B197" s="2" t="s">
        <v>17</v>
      </c>
      <c r="C197" s="2" t="s">
        <v>2</v>
      </c>
      <c r="D197" s="2" t="s">
        <v>9</v>
      </c>
      <c r="E197" s="2" t="s">
        <v>18</v>
      </c>
      <c r="F197" s="2" t="s">
        <v>7</v>
      </c>
      <c r="G197" s="2" t="s">
        <v>5</v>
      </c>
      <c r="H197" s="2" t="s">
        <v>14</v>
      </c>
    </row>
    <row r="198" spans="1:8" ns3:dyDescent="0.2">
      <c r="A198" t="s">
        <v>62</v>
      </c>
      <c r="B198">
        <v>2.5188000000000001E-4</v>
      </c>
      <c r="C198" t="s">
        <v>127</v>
      </c>
      <c r="D198" t="s">
        <v>24</v>
      </c>
      <c r="F198" t="s">
        <v>20</v>
      </c>
      <c r="G198" t="s">
        <v>63</v>
      </c>
      <c r="H198" t="s">
        <v>116</v>
      </c>
    </row>
    <row r="199" spans="1:8" ns3:dyDescent="0.2">
      <c r="A199" t="s">
        <v>117</v>
      </c>
      <c r="B199">
        <v>7.9315668145246137E-3</v>
      </c>
      <c r="C199" t="s">
        <v>127</v>
      </c>
      <c r="D199" t="s">
        <v>118</v>
      </c>
      <c r="F199" t="s">
        <v>20</v>
      </c>
      <c r="G199" t="s">
        <v>119</v>
      </c>
      <c r="H199" t="s">
        <v>131</v>
      </c>
    </row>
    <row r="200" spans="1:8" ns3:dyDescent="0.2">
      <c r="A200" t="s">
        <v>132</v>
      </c>
      <c r="B200">
        <v>7.9315668145246137E-3</v>
      </c>
      <c r="C200" t="s">
        <v>127</v>
      </c>
      <c r="D200" t="s">
        <v>118</v>
      </c>
      <c r="F200" t="s">
        <v>20</v>
      </c>
      <c r="G200" t="s">
        <v>133</v>
      </c>
      <c r="H200" t="s">
        <v>131</v>
      </c>
    </row>
    <row r="201" spans="1:8" ns3:dyDescent="0.2">
      <c r="A201" t="s">
        <v>37</v>
      </c>
      <c r="B201">
        <v>2.2077E-10</v>
      </c>
      <c r="C201" t="s">
        <v>3</v>
      </c>
      <c r="D201" t="s">
        <v>9</v>
      </c>
      <c r="F201" t="s">
        <v>20</v>
      </c>
      <c r="G201" t="inlineStr">
        <is>
          <t>locomotive electric, catenary</t>
        </is>
      </c>
      <c r="H201"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process "transport, freight train, electricity - IN"</t>
        </is>
      </c>
    </row>
    <row r="202" spans="1:8" ns3:dyDescent="0.2">
      <c r="A202" t="s">
        <v>129</v>
      </c>
      <c r="B202">
        <v>2.2077E-10</v>
      </c>
      <c r="C202" t="s">
        <v>3</v>
      </c>
      <c r="D202" t="s">
        <v>9</v>
      </c>
      <c r="F202" t="s">
        <v>20</v>
      </c>
      <c r="G202" t="s">
        <v>67</v>
      </c>
      <c r="H202" t="s">
        <v>134</v>
      </c>
    </row>
    <row r="203" spans="1:8" ns3:dyDescent="0.2">
      <c r="A203" t="s">
        <v>56</v>
      </c>
      <c r="B203">
        <v>1.1206E-8</v>
      </c>
      <c r="C203" t="s">
        <v>3</v>
      </c>
      <c r="D203" t="s">
        <v>9</v>
      </c>
      <c r="F203" t="s">
        <v>20</v>
      </c>
      <c r="G203" t="s">
        <v>57</v>
      </c>
      <c r="H203" t="s">
        <v>134</v>
      </c>
    </row>
    <row r="204" spans="1:8" ns3:dyDescent="0.2">
      <c r="A204" t="s">
        <v>130</v>
      </c>
      <c r="B204">
        <v>1.1206E-8</v>
      </c>
      <c r="C204" t="s">
        <v>3</v>
      </c>
      <c r="D204" t="s">
        <v>9</v>
      </c>
      <c r="F204" t="s">
        <v>20</v>
      </c>
      <c r="G204" t="s">
        <v>68</v>
      </c>
      <c r="H204" t="s">
        <v>134</v>
      </c>
    </row>
    <row r="205" spans="1:8" ns3:dyDescent="0.2">
      <c r="A205" t="s">
        <v>69</v>
      </c>
      <c r="B205">
        <v>4.5238000000000003E-5</v>
      </c>
      <c r="C205" t="s">
        <v>3</v>
      </c>
      <c r="D205" t="s">
        <v>70</v>
      </c>
      <c r="F205" t="s">
        <v>20</v>
      </c>
      <c r="G205" t="s">
        <v>71</v>
      </c>
      <c r="H205" t="s">
        <v>134</v>
      </c>
    </row>
    <row r="206" spans="1:8" ns3:dyDescent="0.2">
      <c r="A206" t="s">
        <v>72</v>
      </c>
      <c r="B206">
        <v>5.0376000000000009E-9</v>
      </c>
      <c r="D206" t="s">
        <v>24</v>
      </c>
      <c r="E206" t="s">
        <v>240</v>
      </c>
      <c r="F206" t="s">
        <v>73</v>
      </c>
      <c r="H206" t="s">
        <v>74</v>
      </c>
    </row>
    <row r="207" spans="1:8" ns3:dyDescent="0.2">
      <c r="A207" t="s">
        <v>75</v>
      </c>
      <c r="B207">
        <v>2.5188000000000004E-8</v>
      </c>
      <c r="D207" t="s">
        <v>24</v>
      </c>
      <c r="E207" t="s">
        <v>240</v>
      </c>
      <c r="F207" t="s">
        <v>73</v>
      </c>
      <c r="H207" t="s">
        <v>76</v>
      </c>
    </row>
    <row r="208" spans="1:8" ns3:dyDescent="0.2">
      <c r="A208" t="s">
        <v>77</v>
      </c>
      <c r="B208">
        <v>2.5188000000000001E-12</v>
      </c>
      <c r="D208" t="s">
        <v>24</v>
      </c>
      <c r="E208" t="s">
        <v>240</v>
      </c>
      <c r="F208" t="s">
        <v>73</v>
      </c>
      <c r="H208" t="s">
        <v>78</v>
      </c>
    </row>
    <row r="209" spans="1:8" ns3:dyDescent="0.2">
      <c r="A209" t="s">
        <v>79</v>
      </c>
      <c r="B209">
        <v>7.9241448E-4</v>
      </c>
      <c r="D209" t="s">
        <v>24</v>
      </c>
      <c r="E209" t="s">
        <v>240</v>
      </c>
      <c r="F209" t="s">
        <v>73</v>
      </c>
      <c r="H209" t="s">
        <v>80</v>
      </c>
    </row>
    <row r="210" spans="1:8" ns3:dyDescent="0.2">
      <c r="A210" t="s">
        <v>81</v>
      </c>
      <c r="B210">
        <v>3.9797040000000003E-6</v>
      </c>
      <c r="D210" t="s">
        <v>24</v>
      </c>
      <c r="E210" t="s">
        <v>240</v>
      </c>
      <c r="F210" t="s">
        <v>73</v>
      </c>
      <c r="H210" t="s">
        <v>82</v>
      </c>
    </row>
    <row r="211" spans="1:8" ns3:dyDescent="0.2">
      <c r="A211" t="s">
        <v>83</v>
      </c>
      <c r="B211">
        <v>1.2593999999999999E-11</v>
      </c>
      <c r="D211" t="s">
        <v>24</v>
      </c>
      <c r="E211" t="s">
        <v>240</v>
      </c>
      <c r="F211" t="s">
        <v>73</v>
      </c>
      <c r="H211" t="s">
        <v>84</v>
      </c>
    </row>
    <row r="212" spans="1:8" ns3:dyDescent="0.2">
      <c r="A212" t="s">
        <v>85</v>
      </c>
      <c r="B212">
        <v>4.28196E-10</v>
      </c>
      <c r="D212" t="s">
        <v>24</v>
      </c>
      <c r="E212" t="s">
        <v>240</v>
      </c>
      <c r="F212" t="s">
        <v>73</v>
      </c>
      <c r="H212" t="s">
        <v>86</v>
      </c>
    </row>
    <row r="213" spans="1:8" ns3:dyDescent="0.2">
      <c r="A213" t="s">
        <v>87</v>
      </c>
      <c r="B213">
        <v>2.5188000000000004E-8</v>
      </c>
      <c r="D213" t="s">
        <v>24</v>
      </c>
      <c r="E213" t="s">
        <v>240</v>
      </c>
      <c r="F213" t="s">
        <v>73</v>
      </c>
      <c r="H213" t="s">
        <v>76</v>
      </c>
    </row>
    <row r="214" spans="1:8" ns3:dyDescent="0.2">
      <c r="A214" t="s">
        <v>88</v>
      </c>
      <c r="B214">
        <v>1.24E-5</v>
      </c>
      <c r="D214" t="s">
        <v>24</v>
      </c>
      <c r="E214" t="s">
        <v>275</v>
      </c>
      <c r="F214" t="s">
        <v>73</v>
      </c>
      <c r="H214" t="s">
        <v>89</v>
      </c>
    </row>
    <row r="215" spans="1:8" ns3:dyDescent="0.2">
      <c r="A215" t="s">
        <v>90</v>
      </c>
      <c r="B215">
        <v>2.7706799999999998E-14</v>
      </c>
      <c r="D215" t="s">
        <v>24</v>
      </c>
      <c r="E215" t="s">
        <v>240</v>
      </c>
      <c r="F215" t="s">
        <v>73</v>
      </c>
      <c r="H215" t="s">
        <v>91</v>
      </c>
    </row>
    <row r="216" spans="1:8" ns3:dyDescent="0.2">
      <c r="A216" t="s">
        <v>92</v>
      </c>
      <c r="B216">
        <v>5.0375999999999997E-15</v>
      </c>
      <c r="D216" t="s">
        <v>24</v>
      </c>
      <c r="E216" t="s">
        <v>240</v>
      </c>
      <c r="F216" t="s">
        <v>73</v>
      </c>
      <c r="H216" t="s">
        <v>93</v>
      </c>
    </row>
    <row r="217" spans="1:8" ns3:dyDescent="0.2">
      <c r="A217" t="s">
        <v>94</v>
      </c>
      <c r="B217">
        <v>3.27444E-8</v>
      </c>
      <c r="D217" t="s">
        <v>24</v>
      </c>
      <c r="E217" t="s">
        <v>240</v>
      </c>
      <c r="F217" t="s">
        <v>73</v>
      </c>
      <c r="H217" t="s">
        <v>95</v>
      </c>
    </row>
    <row r="218" spans="1:8" ns3:dyDescent="0.2">
      <c r="A218" t="s">
        <v>96</v>
      </c>
      <c r="B218">
        <v>1.3223700000000001E-6</v>
      </c>
      <c r="D218" t="s">
        <v>24</v>
      </c>
      <c r="E218" t="s">
        <v>240</v>
      </c>
      <c r="F218" t="s">
        <v>73</v>
      </c>
      <c r="H218" t="s">
        <v>97</v>
      </c>
    </row>
    <row r="219" spans="1:8" ns3:dyDescent="0.2">
      <c r="A219" t="s">
        <v>98</v>
      </c>
      <c r="B219">
        <v>1.7631600000000001E-11</v>
      </c>
      <c r="D219" t="s">
        <v>24</v>
      </c>
      <c r="E219" t="s">
        <v>240</v>
      </c>
      <c r="F219" t="s">
        <v>73</v>
      </c>
      <c r="H219" t="s">
        <v>99</v>
      </c>
    </row>
    <row r="220" spans="1:8" ns3:dyDescent="0.2">
      <c r="A220" t="s">
        <v>100</v>
      </c>
      <c r="B220">
        <v>1.38534E-5</v>
      </c>
      <c r="D220" t="s">
        <v>24</v>
      </c>
      <c r="E220" t="s">
        <v>240</v>
      </c>
      <c r="F220" t="s">
        <v>73</v>
      </c>
      <c r="H220" t="s">
        <v>101</v>
      </c>
    </row>
    <row r="221" spans="1:8" ns3:dyDescent="0.2">
      <c r="A221" t="s">
        <v>102</v>
      </c>
      <c r="B221">
        <v>3.0981240000000002E-7</v>
      </c>
      <c r="D221" t="s">
        <v>24</v>
      </c>
      <c r="E221" t="s">
        <v>240</v>
      </c>
      <c r="F221" t="s">
        <v>73</v>
      </c>
      <c r="H221" t="s">
        <v>103</v>
      </c>
    </row>
    <row r="222" spans="1:8" ns3:dyDescent="0.2">
      <c r="A222" t="s">
        <v>104</v>
      </c>
      <c r="B222">
        <v>1.7713828212E-5</v>
      </c>
      <c r="D222" t="s">
        <v>24</v>
      </c>
      <c r="E222" t="s">
        <v>240</v>
      </c>
      <c r="F222" t="s">
        <v>73</v>
      </c>
      <c r="H222" t="s">
        <v>105</v>
      </c>
    </row>
    <row r="223" spans="1:8" ns3:dyDescent="0.2">
      <c r="A223" t="s">
        <v>106</v>
      </c>
      <c r="B223">
        <v>1.6326951160000001E-5</v>
      </c>
      <c r="D223" t="s">
        <v>24</v>
      </c>
      <c r="E223" t="s">
        <v>240</v>
      </c>
      <c r="F223" t="s">
        <v>73</v>
      </c>
      <c r="H223" t="s">
        <v>107</v>
      </c>
    </row>
    <row r="224" spans="1:8" ns3:dyDescent="0.2">
      <c r="A224" t="s">
        <v>108</v>
      </c>
      <c r="B224">
        <v>2.5188000000000001E-12</v>
      </c>
      <c r="D224" t="s">
        <v>24</v>
      </c>
      <c r="E224" t="s">
        <v>240</v>
      </c>
      <c r="F224" t="s">
        <v>73</v>
      </c>
      <c r="H224" t="s">
        <v>78</v>
      </c>
    </row>
    <row r="225" spans="1:8" ns3:dyDescent="0.2">
      <c r="A225" t="s">
        <v>109</v>
      </c>
      <c r="B225">
        <v>1.51128E-7</v>
      </c>
      <c r="D225" t="s">
        <v>24</v>
      </c>
      <c r="E225" t="s">
        <v>240</v>
      </c>
      <c r="F225" t="s">
        <v>73</v>
      </c>
      <c r="H225" t="s">
        <v>110</v>
      </c>
    </row>
    <row r="226" spans="1:8" ns3:dyDescent="0.2">
      <c r="A226" t="s">
        <v>231</v>
      </c>
      <c r="B226">
        <v>3.1399999999999999E-9</v>
      </c>
      <c r="D226" t="s">
        <v>24</v>
      </c>
      <c r="E226" t="s">
        <v>240</v>
      </c>
      <c r="F226" t="s">
        <v>73</v>
      </c>
      <c r="H226" t="s">
        <v>122</v>
      </c>
    </row>
    <row r="227" spans="1:8" ns3:dyDescent="0.2">
      <c r="A227" t="s">
        <v>111</v>
      </c>
      <c r="B227">
        <v>1.0075200000000002E-8</v>
      </c>
      <c r="D227" t="s">
        <v>24</v>
      </c>
      <c r="E227" t="s">
        <v>240</v>
      </c>
      <c r="F227" t="s">
        <v>73</v>
      </c>
      <c r="H227" t="s">
        <v>112</v>
      </c>
    </row>
    <row r="228" spans="1:8" ns3:dyDescent="0.2">
      <c r="A228" t="s">
        <v>230</v>
      </c>
      <c r="B228">
        <v>1.0075200000000002E-8</v>
      </c>
      <c r="D228" t="s">
        <v>24</v>
      </c>
      <c r="E228" t="s">
        <v>240</v>
      </c>
      <c r="F228" t="s">
        <v>73</v>
      </c>
      <c r="H228" t="s">
        <v>112</v>
      </c>
    </row>
    <row r="229" spans="1:8" ns3:dyDescent="0.2">
      <c r="A229" t="s">
        <v>113</v>
      </c>
      <c r="B229">
        <v>2.5188000000000001E-10</v>
      </c>
      <c r="D229" t="s">
        <v>24</v>
      </c>
      <c r="E229" t="s">
        <v>240</v>
      </c>
      <c r="F229" t="s">
        <v>73</v>
      </c>
      <c r="H229" t="s">
        <v>114</v>
      </c>
    </row>
    <row r="230" spans="1:8" ns3:dyDescent="0.2">
      <c r="A230" t="s">
        <v>115</v>
      </c>
      <c r="B230">
        <v>1</v>
      </c>
      <c r="C230" t="s">
        <v>127</v>
      </c>
      <c r="D230" t="s">
        <v>232</v>
      </c>
      <c r="F230" t="s">
        <v>36</v>
      </c>
      <c r="G230" t="s">
        <v>61</v>
      </c>
    </row>
    <row r="232" spans="1:8" ns3:dyDescent="0.2">
      <c r="A232" s="2" t="s">
        <v>0</v>
      </c>
      <c r="B232" s="2" t="s">
        <v>123</v>
      </c>
    </row>
    <row r="233" spans="1:8" ns3:dyDescent="0.2">
      <c r="A233" t="s">
        <v>2</v>
      </c>
      <c r="B233" t="s">
        <v>127</v>
      </c>
    </row>
    <row r="234" spans="1:8" ns3:dyDescent="0.2">
      <c r="A234" t="s">
        <v>4</v>
      </c>
      <c r="B234">
        <v>1</v>
      </c>
    </row>
    <row r="235" spans="1:8" ns3:dyDescent="0.2">
      <c r="A235" t="s">
        <v>5</v>
      </c>
      <c r="B235" t="s">
        <v>61</v>
      </c>
    </row>
    <row r="236" spans="1:8" ns3:dyDescent="0.2">
      <c r="A236" t="s">
        <v>7</v>
      </c>
      <c r="B236" t="s">
        <v>8</v>
      </c>
    </row>
    <row r="237" spans="1:8" ns3:dyDescent="0.2">
      <c r="A237" t="s">
        <v>9</v>
      </c>
      <c r="B237" t="s">
        <v>232</v>
      </c>
    </row>
    <row r="238" spans="1:8" ns3:dyDescent="0.2">
      <c r="A238" t="s">
        <v>15</v>
      </c>
    </row>
    <row r="239" spans="1:8" ns3:dyDescent="0.2">
      <c r="A239" s="2" t="s">
        <v>16</v>
      </c>
      <c r="B239" s="2" t="s">
        <v>17</v>
      </c>
      <c r="C239" s="2" t="s">
        <v>2</v>
      </c>
      <c r="D239" s="2" t="s">
        <v>9</v>
      </c>
      <c r="E239" s="2" t="s">
        <v>18</v>
      </c>
      <c r="F239" s="2" t="s">
        <v>7</v>
      </c>
      <c r="G239" s="2" t="s">
        <v>5</v>
      </c>
      <c r="H239" s="2" t="s">
        <v>14</v>
      </c>
    </row>
    <row r="240" spans="1:8" ns3:dyDescent="0.2">
      <c r="A240" t="s">
        <v>62</v>
      </c>
      <c r="B240">
        <v>2.5188000000000001E-4</v>
      </c>
      <c r="C240" t="s">
        <v>127</v>
      </c>
      <c r="D240" t="s">
        <v>24</v>
      </c>
      <c r="F240" t="s">
        <v>20</v>
      </c>
      <c r="G240" t="s">
        <v>63</v>
      </c>
      <c r="H240" t="s">
        <v>116</v>
      </c>
    </row>
    <row r="241" spans="1:8" ns3:dyDescent="0.2">
      <c r="A241" t="s">
        <v>124</v>
      </c>
      <c r="B241">
        <v>1.8171553051479193E-3</v>
      </c>
      <c r="C241" t="s">
        <v>3</v>
      </c>
      <c r="D241" t="s">
        <v>24</v>
      </c>
      <c r="F241" t="s">
        <v>20</v>
      </c>
      <c r="G241" t="s">
        <v>125</v>
      </c>
      <c r="H241" t="s">
        <v>120</v>
      </c>
    </row>
    <row r="242" spans="1:8" ns3:dyDescent="0.2">
      <c r="A242" t="s">
        <v>45</v>
      </c>
      <c r="B242">
        <v>3.5159000000000002E-10</v>
      </c>
      <c r="C242" t="s">
        <v>3</v>
      </c>
      <c r="D242" t="s">
        <v>9</v>
      </c>
      <c r="F242" t="s">
        <v>20</v>
      </c>
      <c r="G242" t="inlineStr">
        <is>
          <t>locomotive fuel cell, hydrogen</t>
        </is>
      </c>
      <c r="H242"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"transport, freight train, diesel - IN", as the hydrogen locomotive has similar output power as the diesel-electric train, and it is assumed that diesel trains can used for retrofitting HFC-systems</t>
        </is>
      </c>
    </row>
    <row r="243" spans="1:8" ns3:dyDescent="0.2">
      <c r="A243" t="s">
        <v>129</v>
      </c>
      <c r="B243">
        <v>3.5159000000000002E-10</v>
      </c>
      <c r="C243" t="s">
        <v>3</v>
      </c>
      <c r="D243" t="s">
        <v>9</v>
      </c>
      <c r="F243" t="s">
        <v>20</v>
      </c>
      <c r="G243" t="s">
        <v>67</v>
      </c>
      <c r="H243" t="s">
        <v>135</v>
      </c>
    </row>
    <row r="244" spans="1:8" ns3:dyDescent="0.2">
      <c r="A244" t="s">
        <v>56</v>
      </c>
      <c r="B244">
        <v>1.1206E-8</v>
      </c>
      <c r="C244" t="s">
        <v>3</v>
      </c>
      <c r="D244" t="s">
        <v>9</v>
      </c>
      <c r="F244" t="s">
        <v>20</v>
      </c>
      <c r="G244" t="s">
        <v>57</v>
      </c>
      <c r="H244" t="s">
        <v>135</v>
      </c>
    </row>
    <row r="245" spans="1:8" ns3:dyDescent="0.2">
      <c r="A245" t="s">
        <v>130</v>
      </c>
      <c r="B245">
        <v>1.1206E-8</v>
      </c>
      <c r="C245" t="s">
        <v>3</v>
      </c>
      <c r="D245" t="s">
        <v>9</v>
      </c>
      <c r="F245" t="s">
        <v>20</v>
      </c>
      <c r="G245" t="s">
        <v>68</v>
      </c>
      <c r="H245" t="s">
        <v>135</v>
      </c>
    </row>
    <row r="246" spans="1:8" ns3:dyDescent="0.2">
      <c r="A246" t="s">
        <v>69</v>
      </c>
      <c r="B246">
        <v>4.5049999999999997E-5</v>
      </c>
      <c r="C246" t="s">
        <v>3</v>
      </c>
      <c r="D246" t="s">
        <v>70</v>
      </c>
      <c r="F246" t="s">
        <v>20</v>
      </c>
      <c r="G246" t="s">
        <v>71</v>
      </c>
      <c r="H246" t="s">
        <v>135</v>
      </c>
    </row>
    <row r="247" spans="1:8" ns3:dyDescent="0.2">
      <c r="A247" t="s">
        <v>72</v>
      </c>
      <c r="B247">
        <v>5.0376000000000009E-9</v>
      </c>
      <c r="D247" t="s">
        <v>24</v>
      </c>
      <c r="E247" t="s">
        <v>240</v>
      </c>
      <c r="F247" t="s">
        <v>73</v>
      </c>
      <c r="H247" t="s">
        <v>74</v>
      </c>
    </row>
    <row r="248" spans="1:8" ns3:dyDescent="0.2">
      <c r="A248" t="s">
        <v>75</v>
      </c>
      <c r="B248">
        <v>2.5188000000000004E-8</v>
      </c>
      <c r="D248" t="s">
        <v>24</v>
      </c>
      <c r="E248" t="s">
        <v>240</v>
      </c>
      <c r="F248" t="s">
        <v>73</v>
      </c>
      <c r="H248" t="s">
        <v>76</v>
      </c>
    </row>
    <row r="249" spans="1:8" ns3:dyDescent="0.2">
      <c r="A249" t="s">
        <v>77</v>
      </c>
      <c r="B249">
        <v>2.5188000000000001E-12</v>
      </c>
      <c r="D249" t="s">
        <v>24</v>
      </c>
      <c r="E249" t="s">
        <v>240</v>
      </c>
      <c r="F249" t="s">
        <v>73</v>
      </c>
      <c r="H249" t="s">
        <v>78</v>
      </c>
    </row>
    <row r="250" spans="1:8" ns3:dyDescent="0.2">
      <c r="A250" t="s">
        <v>79</v>
      </c>
      <c r="B250">
        <v>7.9241448E-4</v>
      </c>
      <c r="D250" t="s">
        <v>24</v>
      </c>
      <c r="E250" t="s">
        <v>240</v>
      </c>
      <c r="F250" t="s">
        <v>73</v>
      </c>
      <c r="H250" t="s">
        <v>80</v>
      </c>
    </row>
    <row r="251" spans="1:8" ns3:dyDescent="0.2">
      <c r="A251" t="s">
        <v>81</v>
      </c>
      <c r="B251">
        <v>3.9797040000000003E-6</v>
      </c>
      <c r="D251" t="s">
        <v>24</v>
      </c>
      <c r="E251" t="s">
        <v>240</v>
      </c>
      <c r="F251" t="s">
        <v>73</v>
      </c>
      <c r="H251" t="s">
        <v>82</v>
      </c>
    </row>
    <row r="252" spans="1:8" ns3:dyDescent="0.2">
      <c r="A252" t="s">
        <v>83</v>
      </c>
      <c r="B252">
        <v>1.2593999999999999E-11</v>
      </c>
      <c r="D252" t="s">
        <v>24</v>
      </c>
      <c r="E252" t="s">
        <v>240</v>
      </c>
      <c r="F252" t="s">
        <v>73</v>
      </c>
      <c r="H252" t="s">
        <v>84</v>
      </c>
    </row>
    <row r="253" spans="1:8" ns3:dyDescent="0.2">
      <c r="A253" t="s">
        <v>85</v>
      </c>
      <c r="B253">
        <v>4.28196E-10</v>
      </c>
      <c r="D253" t="s">
        <v>24</v>
      </c>
      <c r="E253" t="s">
        <v>240</v>
      </c>
      <c r="F253" t="s">
        <v>73</v>
      </c>
      <c r="H253" t="s">
        <v>86</v>
      </c>
    </row>
    <row r="254" spans="1:8" ns3:dyDescent="0.2">
      <c r="A254" t="s">
        <v>87</v>
      </c>
      <c r="B254">
        <v>2.5188000000000004E-8</v>
      </c>
      <c r="D254" t="s">
        <v>24</v>
      </c>
      <c r="E254" t="s">
        <v>240</v>
      </c>
      <c r="F254" t="s">
        <v>73</v>
      </c>
      <c r="H254" t="s">
        <v>76</v>
      </c>
    </row>
    <row r="255" spans="1:8" ns3:dyDescent="0.2">
      <c r="A255" t="s">
        <v>88</v>
      </c>
      <c r="B255">
        <v>0</v>
      </c>
      <c r="D255" t="s">
        <v>24</v>
      </c>
      <c r="E255" t="s">
        <v>275</v>
      </c>
      <c r="F255" t="s">
        <v>73</v>
      </c>
      <c r="H255" t="s">
        <v>89</v>
      </c>
    </row>
    <row r="256" spans="1:8" ns3:dyDescent="0.2">
      <c r="A256" t="s">
        <v>90</v>
      </c>
      <c r="B256">
        <v>2.7706799999999998E-14</v>
      </c>
      <c r="D256" t="s">
        <v>24</v>
      </c>
      <c r="E256" t="s">
        <v>240</v>
      </c>
      <c r="F256" t="s">
        <v>73</v>
      </c>
      <c r="H256" t="s">
        <v>91</v>
      </c>
    </row>
    <row r="257" spans="1:8" ns3:dyDescent="0.2">
      <c r="A257" t="s">
        <v>92</v>
      </c>
      <c r="B257">
        <v>5.0375999999999997E-15</v>
      </c>
      <c r="D257" t="s">
        <v>24</v>
      </c>
      <c r="E257" t="s">
        <v>240</v>
      </c>
      <c r="F257" t="s">
        <v>73</v>
      </c>
      <c r="H257" t="s">
        <v>93</v>
      </c>
    </row>
    <row r="258" spans="1:8" ns3:dyDescent="0.2">
      <c r="A258" t="s">
        <v>94</v>
      </c>
      <c r="B258">
        <v>3.27444E-8</v>
      </c>
      <c r="D258" t="s">
        <v>24</v>
      </c>
      <c r="E258" t="s">
        <v>240</v>
      </c>
      <c r="F258" t="s">
        <v>73</v>
      </c>
      <c r="H258" t="s">
        <v>95</v>
      </c>
    </row>
    <row r="259" spans="1:8" ns3:dyDescent="0.2">
      <c r="A259" t="s">
        <v>96</v>
      </c>
      <c r="B259">
        <v>1.3223700000000001E-6</v>
      </c>
      <c r="D259" t="s">
        <v>24</v>
      </c>
      <c r="E259" t="s">
        <v>240</v>
      </c>
      <c r="F259" t="s">
        <v>73</v>
      </c>
      <c r="H259" t="s">
        <v>97</v>
      </c>
    </row>
    <row r="260" spans="1:8" ns3:dyDescent="0.2">
      <c r="A260" t="s">
        <v>98</v>
      </c>
      <c r="B260">
        <v>1.7631600000000001E-11</v>
      </c>
      <c r="D260" t="s">
        <v>24</v>
      </c>
      <c r="E260" t="s">
        <v>240</v>
      </c>
      <c r="F260" t="s">
        <v>73</v>
      </c>
      <c r="H260" t="s">
        <v>99</v>
      </c>
    </row>
    <row r="261" spans="1:8" ns3:dyDescent="0.2">
      <c r="A261" t="s">
        <v>100</v>
      </c>
      <c r="B261">
        <v>1.38534E-5</v>
      </c>
      <c r="D261" t="s">
        <v>24</v>
      </c>
      <c r="E261" t="s">
        <v>240</v>
      </c>
      <c r="F261" t="s">
        <v>73</v>
      </c>
      <c r="H261" t="s">
        <v>101</v>
      </c>
    </row>
    <row r="262" spans="1:8" ns3:dyDescent="0.2">
      <c r="A262" t="s">
        <v>102</v>
      </c>
      <c r="B262">
        <v>3.0981240000000002E-7</v>
      </c>
      <c r="D262" t="s">
        <v>24</v>
      </c>
      <c r="E262" t="s">
        <v>240</v>
      </c>
      <c r="F262" t="s">
        <v>73</v>
      </c>
      <c r="H262" t="s">
        <v>103</v>
      </c>
    </row>
    <row r="263" spans="1:8" ns3:dyDescent="0.2">
      <c r="A263" t="s">
        <v>104</v>
      </c>
      <c r="B263">
        <v>1.7713828212E-5</v>
      </c>
      <c r="D263" t="s">
        <v>24</v>
      </c>
      <c r="E263" t="s">
        <v>240</v>
      </c>
      <c r="F263" t="s">
        <v>73</v>
      </c>
      <c r="H263" t="s">
        <v>105</v>
      </c>
    </row>
    <row r="264" spans="1:8" ns3:dyDescent="0.2">
      <c r="A264" t="s">
        <v>106</v>
      </c>
      <c r="B264">
        <v>1.6326951160000001E-5</v>
      </c>
      <c r="D264" t="s">
        <v>24</v>
      </c>
      <c r="E264" t="s">
        <v>240</v>
      </c>
      <c r="F264" t="s">
        <v>73</v>
      </c>
      <c r="H264" t="s">
        <v>107</v>
      </c>
    </row>
    <row r="265" spans="1:8" ns3:dyDescent="0.2">
      <c r="A265" t="s">
        <v>108</v>
      </c>
      <c r="B265">
        <v>2.5188000000000001E-12</v>
      </c>
      <c r="D265" t="s">
        <v>24</v>
      </c>
      <c r="E265" t="s">
        <v>240</v>
      </c>
      <c r="F265" t="s">
        <v>73</v>
      </c>
      <c r="H265" t="s">
        <v>78</v>
      </c>
    </row>
    <row r="266" spans="1:8" ns3:dyDescent="0.2">
      <c r="A266" t="s">
        <v>109</v>
      </c>
      <c r="B266">
        <v>1.51128E-7</v>
      </c>
      <c r="D266" t="s">
        <v>24</v>
      </c>
      <c r="E266" t="s">
        <v>240</v>
      </c>
      <c r="F266" t="s">
        <v>73</v>
      </c>
      <c r="H266" t="s">
        <v>110</v>
      </c>
    </row>
    <row r="267" spans="1:8" ns3:dyDescent="0.2">
      <c r="A267" t="s">
        <v>111</v>
      </c>
      <c r="B267">
        <v>1.0075200000000002E-8</v>
      </c>
      <c r="D267" t="s">
        <v>24</v>
      </c>
      <c r="E267" t="s">
        <v>240</v>
      </c>
      <c r="F267" t="s">
        <v>73</v>
      </c>
      <c r="H267" t="s">
        <v>112</v>
      </c>
    </row>
    <row r="268" spans="1:8" ns3:dyDescent="0.2">
      <c r="A268" t="s">
        <v>230</v>
      </c>
      <c r="B268">
        <v>1.0075200000000002E-8</v>
      </c>
      <c r="D268" t="s">
        <v>24</v>
      </c>
      <c r="E268" t="s">
        <v>240</v>
      </c>
      <c r="F268" t="s">
        <v>73</v>
      </c>
      <c r="H268" t="s">
        <v>112</v>
      </c>
    </row>
    <row r="269" spans="1:8" ns3:dyDescent="0.2">
      <c r="A269" t="s">
        <v>113</v>
      </c>
      <c r="B269">
        <v>2.5188000000000001E-10</v>
      </c>
      <c r="D269" t="s">
        <v>24</v>
      </c>
      <c r="E269" t="s">
        <v>240</v>
      </c>
      <c r="F269" t="s">
        <v>73</v>
      </c>
      <c r="H269" t="s">
        <v>114</v>
      </c>
    </row>
    <row r="270" spans="1:8" ns3:dyDescent="0.2">
      <c r="A270" t="s">
        <v>123</v>
      </c>
      <c r="B270">
        <v>1</v>
      </c>
      <c r="C270" t="s">
        <v>127</v>
      </c>
      <c r="D270" t="s">
        <v>232</v>
      </c>
      <c r="F270" t="s">
        <v>36</v>
      </c>
      <c r="G270" t="s">
        <v>61</v>
      </c>
    </row>
    <row r="272" spans="1:8" ns3:dyDescent="0.2">
      <c r="A272" s="2" t="s">
        <v>0</v>
      </c>
      <c r="B272" s="2" t="s">
        <v>59</v>
      </c>
    </row>
    <row r="273" spans="1:8" ns3:dyDescent="0.2">
      <c r="A273" t="s">
        <v>2</v>
      </c>
      <c r="B273" t="s">
        <v>136</v>
      </c>
    </row>
    <row r="274" spans="1:8" ns3:dyDescent="0.2">
      <c r="A274" t="s">
        <v>4</v>
      </c>
      <c r="B274">
        <v>1</v>
      </c>
    </row>
    <row r="275" spans="1:8" ns3:dyDescent="0.2">
      <c r="A275" t="s">
        <v>5</v>
      </c>
      <c r="B275" t="s">
        <v>61</v>
      </c>
    </row>
    <row r="276" spans="1:8" ns3:dyDescent="0.2">
      <c r="A276" t="s">
        <v>7</v>
      </c>
      <c r="B276" t="s">
        <v>8</v>
      </c>
    </row>
    <row r="277" spans="1:8" ns3:dyDescent="0.2">
      <c r="A277" t="s">
        <v>9</v>
      </c>
      <c r="B277" t="s">
        <v>232</v>
      </c>
    </row>
    <row r="278" spans="1:8" ns3:dyDescent="0.2">
      <c r="A278" t="s">
        <v>15</v>
      </c>
    </row>
    <row r="279" spans="1:8" ns3:dyDescent="0.2">
      <c r="A279" s="2" t="s">
        <v>16</v>
      </c>
      <c r="B279" s="2" t="s">
        <v>17</v>
      </c>
      <c r="C279" s="2" t="s">
        <v>2</v>
      </c>
      <c r="D279" s="2" t="s">
        <v>9</v>
      </c>
      <c r="E279" s="2" t="s">
        <v>18</v>
      </c>
      <c r="F279" s="2" t="s">
        <v>7</v>
      </c>
      <c r="G279" s="2" t="s">
        <v>5</v>
      </c>
      <c r="H279" s="2" t="s">
        <v>14</v>
      </c>
    </row>
    <row r="280" spans="1:8" ns3:dyDescent="0.2">
      <c r="A280" t="s">
        <v>62</v>
      </c>
      <c r="B280">
        <v>4.8072546945793051E-3</v>
      </c>
      <c r="C280" t="s">
        <v>147</v>
      </c>
      <c r="D280" t="s">
        <v>24</v>
      </c>
      <c r="F280" t="s">
        <v>20</v>
      </c>
      <c r="G280" t="s">
        <v>63</v>
      </c>
      <c r="H280" t="s">
        <v>64</v>
      </c>
    </row>
    <row r="281" spans="1:8" ns3:dyDescent="0.2">
      <c r="A281" t="s">
        <v>1</v>
      </c>
      <c r="B281">
        <v>7.1100000000000003E-10</v>
      </c>
      <c r="C281" t="s">
        <v>3</v>
      </c>
      <c r="D281" t="s">
        <v>9</v>
      </c>
      <c r="F281" t="s">
        <v>20</v>
      </c>
      <c r="G281" t="inlineStr">
        <is>
          <t>locomotive diesel-electric</t>
        </is>
      </c>
      <c r="H281"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 "transport, frieght train, diesel - CN"</t>
        </is>
      </c>
    </row>
    <row r="282" spans="1:8" ns3:dyDescent="0.2">
      <c r="A282" t="s">
        <v>129</v>
      </c>
      <c r="B282">
        <v>7.1100000000000003E-10</v>
      </c>
      <c r="C282" t="s">
        <v>3</v>
      </c>
      <c r="D282" t="s">
        <v>9</v>
      </c>
      <c r="F282" t="s">
        <v>20</v>
      </c>
      <c r="G282" t="s">
        <v>67</v>
      </c>
      <c r="H282" t="s">
        <v>137</v>
      </c>
    </row>
    <row r="283" spans="1:8" ns3:dyDescent="0.2">
      <c r="A283" t="s">
        <v>56</v>
      </c>
      <c r="B283">
        <v>4.5900000000000001E-8</v>
      </c>
      <c r="C283" t="s">
        <v>3</v>
      </c>
      <c r="D283" t="s">
        <v>9</v>
      </c>
      <c r="F283" t="s">
        <v>20</v>
      </c>
      <c r="G283" t="s">
        <v>57</v>
      </c>
      <c r="H283" t="s">
        <v>137</v>
      </c>
    </row>
    <row r="284" spans="1:8" ns3:dyDescent="0.2">
      <c r="A284" t="s">
        <v>130</v>
      </c>
      <c r="B284">
        <v>4.5900000000000001E-8</v>
      </c>
      <c r="C284" t="s">
        <v>3</v>
      </c>
      <c r="D284" t="s">
        <v>9</v>
      </c>
      <c r="F284" t="s">
        <v>20</v>
      </c>
      <c r="G284" t="s">
        <v>68</v>
      </c>
      <c r="H284" t="s">
        <v>137</v>
      </c>
    </row>
    <row r="285" spans="1:8" ns3:dyDescent="0.2">
      <c r="A285" t="s">
        <v>69</v>
      </c>
      <c r="B285">
        <v>9.2999999999999997E-5</v>
      </c>
      <c r="C285" t="s">
        <v>3</v>
      </c>
      <c r="D285" t="s">
        <v>70</v>
      </c>
      <c r="F285" t="s">
        <v>20</v>
      </c>
      <c r="G285" t="s">
        <v>71</v>
      </c>
      <c r="H285" t="s">
        <v>137</v>
      </c>
    </row>
    <row r="286" spans="1:8" ns3:dyDescent="0.2">
      <c r="A286" t="s">
        <v>72</v>
      </c>
      <c r="B286">
        <v>8.6812492833618614E-8</v>
      </c>
      <c r="D286" t="s">
        <v>24</v>
      </c>
      <c r="E286" t="s">
        <v>240</v>
      </c>
      <c r="F286" t="s">
        <v>73</v>
      </c>
      <c r="H286" t="s">
        <v>74</v>
      </c>
    </row>
    <row r="287" spans="1:8" ns3:dyDescent="0.2">
      <c r="A287" t="s">
        <v>75</v>
      </c>
      <c r="B287">
        <v>4.3406246416809305E-7</v>
      </c>
      <c r="D287" t="s">
        <v>24</v>
      </c>
      <c r="E287" t="s">
        <v>240</v>
      </c>
      <c r="F287" t="s">
        <v>73</v>
      </c>
      <c r="H287" t="s">
        <v>76</v>
      </c>
    </row>
    <row r="288" spans="1:8" ns3:dyDescent="0.2">
      <c r="A288" t="s">
        <v>77</v>
      </c>
      <c r="B288">
        <v>4.3406246416809305E-11</v>
      </c>
      <c r="D288" t="s">
        <v>24</v>
      </c>
      <c r="E288" t="s">
        <v>240</v>
      </c>
      <c r="F288" t="s">
        <v>73</v>
      </c>
      <c r="H288" t="s">
        <v>78</v>
      </c>
    </row>
    <row r="289" spans="1:8" ns3:dyDescent="0.2">
      <c r="A289" t="s">
        <v>79</v>
      </c>
      <c r="B289">
        <v>1.3655605122728206E-2</v>
      </c>
      <c r="D289" t="s">
        <v>24</v>
      </c>
      <c r="E289" t="s">
        <v>240</v>
      </c>
      <c r="F289" t="s">
        <v>73</v>
      </c>
      <c r="H289" t="s">
        <v>80</v>
      </c>
    </row>
    <row r="290" spans="1:8" ns3:dyDescent="0.2">
      <c r="A290" t="s">
        <v>81</v>
      </c>
      <c r="B290">
        <v>6.85818693385587E-5</v>
      </c>
      <c r="D290" t="s">
        <v>24</v>
      </c>
      <c r="E290" t="s">
        <v>240</v>
      </c>
      <c r="F290" t="s">
        <v>73</v>
      </c>
      <c r="H290" t="s">
        <v>82</v>
      </c>
    </row>
    <row r="291" spans="1:8" ns3:dyDescent="0.2">
      <c r="A291" t="s">
        <v>83</v>
      </c>
      <c r="B291">
        <v>2.170312320840465E-10</v>
      </c>
      <c r="D291" t="s">
        <v>24</v>
      </c>
      <c r="E291" t="s">
        <v>240</v>
      </c>
      <c r="F291" t="s">
        <v>73</v>
      </c>
      <c r="H291" t="s">
        <v>84</v>
      </c>
    </row>
    <row r="292" spans="1:8" ns3:dyDescent="0.2">
      <c r="A292" t="s">
        <v>85</v>
      </c>
      <c r="B292">
        <v>7.3790618908575815E-9</v>
      </c>
      <c r="D292" t="s">
        <v>24</v>
      </c>
      <c r="E292" t="s">
        <v>240</v>
      </c>
      <c r="F292" t="s">
        <v>73</v>
      </c>
      <c r="H292" t="s">
        <v>86</v>
      </c>
    </row>
    <row r="293" spans="1:8" ns3:dyDescent="0.2">
      <c r="A293" t="s">
        <v>87</v>
      </c>
      <c r="B293">
        <v>4.3406246416809305E-7</v>
      </c>
      <c r="D293" t="s">
        <v>24</v>
      </c>
      <c r="E293" t="s">
        <v>240</v>
      </c>
      <c r="F293" t="s">
        <v>73</v>
      </c>
      <c r="H293" t="s">
        <v>76</v>
      </c>
    </row>
    <row r="294" spans="1:8" ns3:dyDescent="0.2">
      <c r="A294" t="s">
        <v>88</v>
      </c>
      <c r="B294">
        <v>1.24E-5</v>
      </c>
      <c r="D294" t="s">
        <v>24</v>
      </c>
      <c r="E294" t="s">
        <v>275</v>
      </c>
      <c r="F294" t="s">
        <v>73</v>
      </c>
      <c r="H294" t="s">
        <v>89</v>
      </c>
    </row>
    <row r="295" spans="1:8" ns3:dyDescent="0.2">
      <c r="A295" t="s">
        <v>90</v>
      </c>
      <c r="B295">
        <v>4.7746871058490225E-13</v>
      </c>
      <c r="D295" t="s">
        <v>24</v>
      </c>
      <c r="E295" t="s">
        <v>240</v>
      </c>
      <c r="F295" t="s">
        <v>73</v>
      </c>
      <c r="H295" t="s">
        <v>91</v>
      </c>
    </row>
    <row r="296" spans="1:8" ns3:dyDescent="0.2">
      <c r="A296" t="s">
        <v>92</v>
      </c>
      <c r="B296">
        <v>8.6812492833618592E-14</v>
      </c>
      <c r="D296" t="s">
        <v>24</v>
      </c>
      <c r="E296" t="s">
        <v>240</v>
      </c>
      <c r="F296" t="s">
        <v>73</v>
      </c>
      <c r="H296" t="s">
        <v>93</v>
      </c>
    </row>
    <row r="297" spans="1:8" ns3:dyDescent="0.2">
      <c r="A297" t="s">
        <v>94</v>
      </c>
      <c r="B297">
        <v>5.6428120341852082E-7</v>
      </c>
      <c r="D297" t="s">
        <v>24</v>
      </c>
      <c r="E297" t="s">
        <v>240</v>
      </c>
      <c r="F297" t="s">
        <v>73</v>
      </c>
      <c r="H297" t="s">
        <v>95</v>
      </c>
    </row>
    <row r="298" spans="1:8" ns3:dyDescent="0.2">
      <c r="A298" t="s">
        <v>96</v>
      </c>
      <c r="B298">
        <v>2.2788279368824884E-5</v>
      </c>
      <c r="D298" t="s">
        <v>24</v>
      </c>
      <c r="E298" t="s">
        <v>240</v>
      </c>
      <c r="F298" t="s">
        <v>73</v>
      </c>
      <c r="H298" t="s">
        <v>97</v>
      </c>
    </row>
    <row r="299" spans="1:8" ns3:dyDescent="0.2">
      <c r="A299" t="s">
        <v>98</v>
      </c>
      <c r="B299">
        <v>3.0384372491766514E-10</v>
      </c>
      <c r="D299" t="s">
        <v>24</v>
      </c>
      <c r="E299" t="s">
        <v>240</v>
      </c>
      <c r="F299" t="s">
        <v>73</v>
      </c>
      <c r="H299" t="s">
        <v>99</v>
      </c>
    </row>
    <row r="300" spans="1:8" ns3:dyDescent="0.2">
      <c r="A300" t="s">
        <v>100</v>
      </c>
      <c r="B300">
        <v>2.3873435529245116E-4</v>
      </c>
      <c r="D300" t="s">
        <v>24</v>
      </c>
      <c r="E300" t="s">
        <v>240</v>
      </c>
      <c r="F300" t="s">
        <v>73</v>
      </c>
      <c r="H300" t="s">
        <v>101</v>
      </c>
    </row>
    <row r="301" spans="1:8" ns3:dyDescent="0.2">
      <c r="A301" t="s">
        <v>102</v>
      </c>
      <c r="B301">
        <v>5.338968309267544E-6</v>
      </c>
      <c r="D301" t="s">
        <v>24</v>
      </c>
      <c r="E301" t="s">
        <v>240</v>
      </c>
      <c r="F301" t="s">
        <v>73</v>
      </c>
      <c r="H301" t="s">
        <v>103</v>
      </c>
    </row>
    <row r="302" spans="1:8" ns3:dyDescent="0.2">
      <c r="A302" t="s">
        <v>104</v>
      </c>
      <c r="B302">
        <v>1.7938300292828283E-5</v>
      </c>
      <c r="D302" t="s">
        <v>24</v>
      </c>
      <c r="E302" t="s">
        <v>240</v>
      </c>
      <c r="F302" t="s">
        <v>73</v>
      </c>
      <c r="H302" t="s">
        <v>105</v>
      </c>
    </row>
    <row r="303" spans="1:8" ns3:dyDescent="0.2">
      <c r="A303" t="s">
        <v>106</v>
      </c>
      <c r="B303">
        <v>1.6764446836659861E-5</v>
      </c>
      <c r="D303" t="s">
        <v>24</v>
      </c>
      <c r="E303" t="s">
        <v>240</v>
      </c>
      <c r="F303" t="s">
        <v>73</v>
      </c>
      <c r="H303" t="s">
        <v>107</v>
      </c>
    </row>
    <row r="304" spans="1:8" ns3:dyDescent="0.2">
      <c r="A304" t="s">
        <v>108</v>
      </c>
      <c r="B304">
        <v>4.3406246416809305E-11</v>
      </c>
      <c r="D304" t="s">
        <v>24</v>
      </c>
      <c r="E304" t="s">
        <v>240</v>
      </c>
      <c r="F304" t="s">
        <v>73</v>
      </c>
      <c r="H304" t="s">
        <v>78</v>
      </c>
    </row>
    <row r="305" spans="1:8" ns3:dyDescent="0.2">
      <c r="A305" t="s">
        <v>109</v>
      </c>
      <c r="B305">
        <v>2.6043747850085579E-6</v>
      </c>
      <c r="D305" t="s">
        <v>24</v>
      </c>
      <c r="E305" t="s">
        <v>240</v>
      </c>
      <c r="F305" t="s">
        <v>73</v>
      </c>
      <c r="H305" t="s">
        <v>110</v>
      </c>
    </row>
    <row r="306" spans="1:8" ns3:dyDescent="0.2">
      <c r="A306" t="s">
        <v>111</v>
      </c>
      <c r="B306">
        <v>1.7362498566723723E-7</v>
      </c>
      <c r="D306" t="s">
        <v>24</v>
      </c>
      <c r="E306" t="s">
        <v>240</v>
      </c>
      <c r="F306" t="s">
        <v>73</v>
      </c>
      <c r="H306" t="s">
        <v>112</v>
      </c>
    </row>
    <row r="307" spans="1:8" ns3:dyDescent="0.2">
      <c r="A307" t="s">
        <v>230</v>
      </c>
      <c r="B307">
        <v>1.7362498566723723E-7</v>
      </c>
      <c r="D307" t="s">
        <v>24</v>
      </c>
      <c r="E307" t="s">
        <v>240</v>
      </c>
      <c r="F307" t="s">
        <v>73</v>
      </c>
      <c r="H307" t="s">
        <v>112</v>
      </c>
    </row>
    <row r="308" spans="1:8" ns3:dyDescent="0.2">
      <c r="A308" t="s">
        <v>113</v>
      </c>
      <c r="B308">
        <v>4.3406246416809297E-9</v>
      </c>
      <c r="D308" t="s">
        <v>24</v>
      </c>
      <c r="E308" t="s">
        <v>240</v>
      </c>
      <c r="F308" t="s">
        <v>73</v>
      </c>
      <c r="H308" t="s">
        <v>114</v>
      </c>
    </row>
    <row r="309" spans="1:8" ns3:dyDescent="0.2">
      <c r="A309" t="s">
        <v>59</v>
      </c>
      <c r="B309">
        <v>1</v>
      </c>
      <c r="C309" t="s">
        <v>136</v>
      </c>
      <c r="D309" t="s">
        <v>232</v>
      </c>
      <c r="F309" t="s">
        <v>36</v>
      </c>
      <c r="G309" t="s">
        <v>61</v>
      </c>
    </row>
    <row r="311" spans="1:8" ns3:dyDescent="0.2">
      <c r="A311" s="2" t="s">
        <v>0</v>
      </c>
      <c r="B311" s="2" t="s">
        <v>115</v>
      </c>
    </row>
    <row r="312" spans="1:8" ns3:dyDescent="0.2">
      <c r="A312" t="s">
        <v>2</v>
      </c>
      <c r="B312" t="s">
        <v>136</v>
      </c>
    </row>
    <row r="313" spans="1:8" ns3:dyDescent="0.2">
      <c r="A313" t="s">
        <v>4</v>
      </c>
      <c r="B313">
        <v>1</v>
      </c>
    </row>
    <row r="314" spans="1:8" ns3:dyDescent="0.2">
      <c r="A314" t="s">
        <v>5</v>
      </c>
      <c r="B314" t="s">
        <v>61</v>
      </c>
    </row>
    <row r="315" spans="1:8" ns3:dyDescent="0.2">
      <c r="A315" t="s">
        <v>7</v>
      </c>
      <c r="B315" t="s">
        <v>8</v>
      </c>
    </row>
    <row r="316" spans="1:8" ns3:dyDescent="0.2">
      <c r="A316" t="s">
        <v>9</v>
      </c>
      <c r="B316" t="s">
        <v>232</v>
      </c>
    </row>
    <row r="317" spans="1:8" ns3:dyDescent="0.2">
      <c r="A317" t="s">
        <v>15</v>
      </c>
    </row>
    <row r="318" spans="1:8" ns3:dyDescent="0.2">
      <c r="A318" s="2" t="s">
        <v>16</v>
      </c>
      <c r="B318" s="2" t="s">
        <v>17</v>
      </c>
      <c r="C318" s="2" t="s">
        <v>2</v>
      </c>
      <c r="D318" s="2" t="s">
        <v>9</v>
      </c>
      <c r="E318" s="2" t="s">
        <v>18</v>
      </c>
      <c r="F318" s="2" t="s">
        <v>7</v>
      </c>
      <c r="G318" s="2" t="s">
        <v>5</v>
      </c>
      <c r="H318" s="2" t="s">
        <v>14</v>
      </c>
    </row>
    <row r="319" spans="1:8" ns3:dyDescent="0.2">
      <c r="A319" t="s">
        <v>62</v>
      </c>
      <c r="B319">
        <v>6.7699999999999998E-4</v>
      </c>
      <c r="C319" t="s">
        <v>147</v>
      </c>
      <c r="D319" t="s">
        <v>24</v>
      </c>
      <c r="F319" t="s">
        <v>20</v>
      </c>
      <c r="G319" t="s">
        <v>63</v>
      </c>
      <c r="H319" t="s">
        <v>116</v>
      </c>
    </row>
    <row r="320" spans="1:8" ns3:dyDescent="0.2">
      <c r="A320" t="s">
        <v>132</v>
      </c>
      <c r="B320">
        <v>2.229998983728847E-2</v>
      </c>
      <c r="C320" t="s">
        <v>136</v>
      </c>
      <c r="D320" t="s">
        <v>118</v>
      </c>
      <c r="F320" t="s">
        <v>20</v>
      </c>
      <c r="G320" t="s">
        <v>133</v>
      </c>
      <c r="H320" t="s">
        <v>120</v>
      </c>
    </row>
    <row r="321" spans="1:8" ns3:dyDescent="0.2">
      <c r="A321" t="s">
        <v>37</v>
      </c>
      <c r="B321">
        <v>7.1100000000000003E-10</v>
      </c>
      <c r="C321" t="s">
        <v>3</v>
      </c>
      <c r="D321" t="s">
        <v>9</v>
      </c>
      <c r="F321" t="s">
        <v>20</v>
      </c>
      <c r="G321" t="inlineStr">
        <is>
          <t>locomotive electric, catenary</t>
        </is>
      </c>
      <c r="H321"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 "transport, frieght train, electricity - CN"</t>
        </is>
      </c>
    </row>
    <row r="322" spans="1:8" ns3:dyDescent="0.2">
      <c r="A322" t="s">
        <v>129</v>
      </c>
      <c r="B322">
        <v>7.1100000000000003E-10</v>
      </c>
      <c r="C322" t="s">
        <v>3</v>
      </c>
      <c r="D322" t="s">
        <v>9</v>
      </c>
      <c r="F322" t="s">
        <v>20</v>
      </c>
      <c r="G322" t="s">
        <v>67</v>
      </c>
      <c r="H322" t="s">
        <v>138</v>
      </c>
    </row>
    <row r="323" spans="1:8" ns3:dyDescent="0.2">
      <c r="A323" t="s">
        <v>56</v>
      </c>
      <c r="B323">
        <v>4.5900000000000001E-8</v>
      </c>
      <c r="C323" t="s">
        <v>3</v>
      </c>
      <c r="D323" t="s">
        <v>9</v>
      </c>
      <c r="F323" t="s">
        <v>20</v>
      </c>
      <c r="G323" t="s">
        <v>57</v>
      </c>
      <c r="H323" t="s">
        <v>138</v>
      </c>
    </row>
    <row r="324" spans="1:8" ns3:dyDescent="0.2">
      <c r="A324" t="s">
        <v>130</v>
      </c>
      <c r="B324">
        <v>4.5900000000000001E-8</v>
      </c>
      <c r="C324" t="s">
        <v>3</v>
      </c>
      <c r="D324" t="s">
        <v>9</v>
      </c>
      <c r="F324" t="s">
        <v>20</v>
      </c>
      <c r="G324" t="s">
        <v>68</v>
      </c>
      <c r="H324" t="s">
        <v>138</v>
      </c>
    </row>
    <row r="325" spans="1:8" ns3:dyDescent="0.2">
      <c r="A325" t="s">
        <v>69</v>
      </c>
      <c r="B325">
        <v>9.2999999999999997E-5</v>
      </c>
      <c r="C325" t="s">
        <v>3</v>
      </c>
      <c r="D325" t="s">
        <v>70</v>
      </c>
      <c r="F325" t="s">
        <v>20</v>
      </c>
      <c r="G325" t="s">
        <v>71</v>
      </c>
      <c r="H325" t="s">
        <v>138</v>
      </c>
    </row>
    <row r="326" spans="1:8" ns3:dyDescent="0.2">
      <c r="A326" t="s">
        <v>72</v>
      </c>
      <c r="B326">
        <v>1.3540000000000001E-8</v>
      </c>
      <c r="D326" t="s">
        <v>24</v>
      </c>
      <c r="E326" t="s">
        <v>240</v>
      </c>
      <c r="F326" t="s">
        <v>73</v>
      </c>
      <c r="H326" t="s">
        <v>74</v>
      </c>
    </row>
    <row r="327" spans="1:8" ns3:dyDescent="0.2">
      <c r="A327" t="s">
        <v>75</v>
      </c>
      <c r="B327">
        <v>6.7700000000000004E-8</v>
      </c>
      <c r="D327" t="s">
        <v>24</v>
      </c>
      <c r="E327" t="s">
        <v>240</v>
      </c>
      <c r="F327" t="s">
        <v>73</v>
      </c>
      <c r="H327" t="s">
        <v>76</v>
      </c>
    </row>
    <row r="328" spans="1:8" ns3:dyDescent="0.2">
      <c r="A328" t="s">
        <v>77</v>
      </c>
      <c r="B328">
        <v>6.7699999999999996E-12</v>
      </c>
      <c r="D328" t="s">
        <v>24</v>
      </c>
      <c r="E328" t="s">
        <v>240</v>
      </c>
      <c r="F328" t="s">
        <v>73</v>
      </c>
      <c r="H328" t="s">
        <v>78</v>
      </c>
    </row>
    <row r="329" spans="1:8" ns3:dyDescent="0.2">
      <c r="A329" t="s">
        <v>79</v>
      </c>
      <c r="B329">
        <v>2.1298419999999998E-3</v>
      </c>
      <c r="D329" t="s">
        <v>24</v>
      </c>
      <c r="E329" t="s">
        <v>240</v>
      </c>
      <c r="F329" t="s">
        <v>73</v>
      </c>
      <c r="H329" t="s">
        <v>80</v>
      </c>
    </row>
    <row r="330" spans="1:8" ns3:dyDescent="0.2">
      <c r="A330" t="s">
        <v>81</v>
      </c>
      <c r="B330">
        <v>1.06966E-5</v>
      </c>
      <c r="D330" t="s">
        <v>24</v>
      </c>
      <c r="E330" t="s">
        <v>240</v>
      </c>
      <c r="F330" t="s">
        <v>73</v>
      </c>
      <c r="H330" t="s">
        <v>82</v>
      </c>
    </row>
    <row r="331" spans="1:8" ns3:dyDescent="0.2">
      <c r="A331" t="s">
        <v>83</v>
      </c>
      <c r="B331">
        <v>3.3849999999999998E-11</v>
      </c>
      <c r="D331" t="s">
        <v>24</v>
      </c>
      <c r="E331" t="s">
        <v>240</v>
      </c>
      <c r="F331" t="s">
        <v>73</v>
      </c>
      <c r="H331" t="s">
        <v>84</v>
      </c>
    </row>
    <row r="332" spans="1:8" ns3:dyDescent="0.2">
      <c r="A332" t="s">
        <v>85</v>
      </c>
      <c r="B332">
        <v>1.1509E-9</v>
      </c>
      <c r="D332" t="s">
        <v>24</v>
      </c>
      <c r="E332" t="s">
        <v>240</v>
      </c>
      <c r="F332" t="s">
        <v>73</v>
      </c>
      <c r="H332" t="s">
        <v>86</v>
      </c>
    </row>
    <row r="333" spans="1:8" ns3:dyDescent="0.2">
      <c r="A333" t="s">
        <v>87</v>
      </c>
      <c r="B333">
        <v>6.7700000000000004E-8</v>
      </c>
      <c r="D333" t="s">
        <v>24</v>
      </c>
      <c r="E333" t="s">
        <v>240</v>
      </c>
      <c r="F333" t="s">
        <v>73</v>
      </c>
      <c r="H333" t="s">
        <v>76</v>
      </c>
    </row>
    <row r="334" spans="1:8" ns3:dyDescent="0.2">
      <c r="A334" t="s">
        <v>88</v>
      </c>
      <c r="B334">
        <v>1.24E-5</v>
      </c>
      <c r="D334" t="s">
        <v>24</v>
      </c>
      <c r="E334" t="s">
        <v>275</v>
      </c>
      <c r="F334" t="s">
        <v>73</v>
      </c>
      <c r="H334" t="s">
        <v>89</v>
      </c>
    </row>
    <row r="335" spans="1:8" ns3:dyDescent="0.2">
      <c r="A335" t="s">
        <v>90</v>
      </c>
      <c r="B335">
        <v>7.4469999999999997E-14</v>
      </c>
      <c r="D335" t="s">
        <v>24</v>
      </c>
      <c r="E335" t="s">
        <v>240</v>
      </c>
      <c r="F335" t="s">
        <v>73</v>
      </c>
      <c r="H335" t="s">
        <v>91</v>
      </c>
    </row>
    <row r="336" spans="1:8" ns3:dyDescent="0.2">
      <c r="A336" t="s">
        <v>92</v>
      </c>
      <c r="B336">
        <v>1.3539999999999998E-14</v>
      </c>
      <c r="D336" t="s">
        <v>24</v>
      </c>
      <c r="E336" t="s">
        <v>240</v>
      </c>
      <c r="F336" t="s">
        <v>73</v>
      </c>
      <c r="H336" t="s">
        <v>93</v>
      </c>
    </row>
    <row r="337" spans="1:8" ns3:dyDescent="0.2">
      <c r="A337" t="s">
        <v>94</v>
      </c>
      <c r="B337">
        <v>8.8009999999999992E-8</v>
      </c>
      <c r="D337" t="s">
        <v>24</v>
      </c>
      <c r="E337" t="s">
        <v>240</v>
      </c>
      <c r="F337" t="s">
        <v>73</v>
      </c>
      <c r="H337" t="s">
        <v>95</v>
      </c>
    </row>
    <row r="338" spans="1:8" ns3:dyDescent="0.2">
      <c r="A338" t="s">
        <v>96</v>
      </c>
      <c r="B338">
        <v>3.5542499999999999E-6</v>
      </c>
      <c r="D338" t="s">
        <v>24</v>
      </c>
      <c r="E338" t="s">
        <v>240</v>
      </c>
      <c r="F338" t="s">
        <v>73</v>
      </c>
      <c r="H338" t="s">
        <v>97</v>
      </c>
    </row>
    <row r="339" spans="1:8" ns3:dyDescent="0.2">
      <c r="A339" t="s">
        <v>98</v>
      </c>
      <c r="B339">
        <v>4.7390000000000004E-11</v>
      </c>
      <c r="D339" t="s">
        <v>24</v>
      </c>
      <c r="E339" t="s">
        <v>240</v>
      </c>
      <c r="F339" t="s">
        <v>73</v>
      </c>
      <c r="H339" t="s">
        <v>99</v>
      </c>
    </row>
    <row r="340" spans="1:8" ns3:dyDescent="0.2">
      <c r="A340" t="s">
        <v>100</v>
      </c>
      <c r="B340">
        <v>3.7234999999999998E-5</v>
      </c>
      <c r="D340" t="s">
        <v>24</v>
      </c>
      <c r="E340" t="s">
        <v>240</v>
      </c>
      <c r="F340" t="s">
        <v>73</v>
      </c>
      <c r="H340" t="s">
        <v>101</v>
      </c>
    </row>
    <row r="341" spans="1:8" ns3:dyDescent="0.2">
      <c r="A341" t="s">
        <v>102</v>
      </c>
      <c r="B341">
        <v>8.3270999999999994E-7</v>
      </c>
      <c r="D341" t="s">
        <v>24</v>
      </c>
      <c r="E341" t="s">
        <v>240</v>
      </c>
      <c r="F341" t="s">
        <v>73</v>
      </c>
      <c r="H341" t="s">
        <v>103</v>
      </c>
    </row>
    <row r="342" spans="1:8" ns3:dyDescent="0.2">
      <c r="A342" t="s">
        <v>104</v>
      </c>
      <c r="B342">
        <v>1.7737167300000001E-5</v>
      </c>
      <c r="D342" t="s">
        <v>24</v>
      </c>
      <c r="E342" t="s">
        <v>240</v>
      </c>
      <c r="F342" t="s">
        <v>73</v>
      </c>
      <c r="H342" t="s">
        <v>105</v>
      </c>
    </row>
    <row r="343" spans="1:8" ns3:dyDescent="0.2">
      <c r="A343" t="s">
        <v>106</v>
      </c>
      <c r="B343">
        <v>1.6372438999999999E-5</v>
      </c>
      <c r="D343" t="s">
        <v>24</v>
      </c>
      <c r="E343" t="s">
        <v>240</v>
      </c>
      <c r="F343" t="s">
        <v>73</v>
      </c>
      <c r="H343" t="s">
        <v>107</v>
      </c>
    </row>
    <row r="344" spans="1:8" ns3:dyDescent="0.2">
      <c r="A344" t="s">
        <v>108</v>
      </c>
      <c r="B344">
        <v>6.7699999999999996E-12</v>
      </c>
      <c r="D344" t="s">
        <v>24</v>
      </c>
      <c r="E344" t="s">
        <v>240</v>
      </c>
      <c r="F344" t="s">
        <v>73</v>
      </c>
      <c r="H344" t="s">
        <v>78</v>
      </c>
    </row>
    <row r="345" spans="1:8" ns3:dyDescent="0.2">
      <c r="A345" t="s">
        <v>109</v>
      </c>
      <c r="B345">
        <v>4.0619999999999997E-7</v>
      </c>
      <c r="D345" t="s">
        <v>24</v>
      </c>
      <c r="E345" t="s">
        <v>240</v>
      </c>
      <c r="F345" t="s">
        <v>73</v>
      </c>
      <c r="H345" t="s">
        <v>110</v>
      </c>
    </row>
    <row r="346" spans="1:8" ns3:dyDescent="0.2">
      <c r="A346" t="s">
        <v>231</v>
      </c>
      <c r="B346">
        <v>3.1399999999999999E-9</v>
      </c>
      <c r="D346" t="s">
        <v>24</v>
      </c>
      <c r="E346" t="s">
        <v>240</v>
      </c>
      <c r="F346" t="s">
        <v>73</v>
      </c>
      <c r="H346" t="s">
        <v>122</v>
      </c>
    </row>
    <row r="347" spans="1:8" ns3:dyDescent="0.2">
      <c r="A347" t="s">
        <v>111</v>
      </c>
      <c r="B347">
        <v>2.7080000000000002E-8</v>
      </c>
      <c r="D347" t="s">
        <v>24</v>
      </c>
      <c r="E347" t="s">
        <v>240</v>
      </c>
      <c r="F347" t="s">
        <v>73</v>
      </c>
      <c r="H347" t="s">
        <v>112</v>
      </c>
    </row>
    <row r="348" spans="1:8" ns3:dyDescent="0.2">
      <c r="A348" t="s">
        <v>230</v>
      </c>
      <c r="B348">
        <v>2.7080000000000002E-8</v>
      </c>
      <c r="D348" t="s">
        <v>24</v>
      </c>
      <c r="E348" t="s">
        <v>240</v>
      </c>
      <c r="F348" t="s">
        <v>73</v>
      </c>
      <c r="H348" t="s">
        <v>112</v>
      </c>
    </row>
    <row r="349" spans="1:8" ns3:dyDescent="0.2">
      <c r="A349" t="s">
        <v>113</v>
      </c>
      <c r="B349">
        <v>6.7699999999999994E-10</v>
      </c>
      <c r="D349" t="s">
        <v>24</v>
      </c>
      <c r="E349" t="s">
        <v>240</v>
      </c>
      <c r="F349" t="s">
        <v>73</v>
      </c>
      <c r="H349" t="s">
        <v>114</v>
      </c>
    </row>
    <row r="350" spans="1:8" ns3:dyDescent="0.2">
      <c r="A350" t="s">
        <v>115</v>
      </c>
      <c r="B350">
        <v>1</v>
      </c>
      <c r="C350" t="s">
        <v>136</v>
      </c>
      <c r="D350" t="s">
        <v>232</v>
      </c>
      <c r="F350" t="s">
        <v>36</v>
      </c>
      <c r="G350" t="s">
        <v>61</v>
      </c>
    </row>
    <row r="352" spans="1:8" ns3:dyDescent="0.2">
      <c r="A352" s="2" t="s">
        <v>0</v>
      </c>
      <c r="B352" s="2" t="s">
        <v>123</v>
      </c>
    </row>
    <row r="353" spans="1:8" ns3:dyDescent="0.2">
      <c r="A353" t="s">
        <v>2</v>
      </c>
      <c r="B353" t="s">
        <v>136</v>
      </c>
    </row>
    <row r="354" spans="1:8" ns3:dyDescent="0.2">
      <c r="A354" t="s">
        <v>4</v>
      </c>
      <c r="B354">
        <v>1</v>
      </c>
    </row>
    <row r="355" spans="1:8" ns3:dyDescent="0.2">
      <c r="A355" t="s">
        <v>5</v>
      </c>
      <c r="B355" t="s">
        <v>61</v>
      </c>
    </row>
    <row r="356" spans="1:8" ns3:dyDescent="0.2">
      <c r="A356" t="s">
        <v>7</v>
      </c>
      <c r="B356" t="s">
        <v>8</v>
      </c>
    </row>
    <row r="357" spans="1:8" ns3:dyDescent="0.2">
      <c r="A357" t="s">
        <v>9</v>
      </c>
      <c r="B357" t="s">
        <v>232</v>
      </c>
    </row>
    <row r="358" spans="1:8" ns3:dyDescent="0.2">
      <c r="A358" t="s">
        <v>15</v>
      </c>
    </row>
    <row r="359" spans="1:8" ns3:dyDescent="0.2">
      <c r="A359" s="2" t="s">
        <v>16</v>
      </c>
      <c r="B359" s="2" t="s">
        <v>17</v>
      </c>
      <c r="C359" s="2" t="s">
        <v>2</v>
      </c>
      <c r="D359" s="2" t="s">
        <v>9</v>
      </c>
      <c r="E359" s="2" t="s">
        <v>18</v>
      </c>
      <c r="F359" s="2" t="s">
        <v>7</v>
      </c>
      <c r="G359" s="2" t="s">
        <v>5</v>
      </c>
      <c r="H359" s="2" t="s">
        <v>14</v>
      </c>
    </row>
    <row r="360" spans="1:8" ns3:dyDescent="0.2">
      <c r="A360" t="s">
        <v>62</v>
      </c>
      <c r="B360">
        <v>6.7699999999999998E-4</v>
      </c>
      <c r="C360" t="s">
        <v>147</v>
      </c>
      <c r="D360" t="s">
        <v>24</v>
      </c>
      <c r="F360" t="s">
        <v>20</v>
      </c>
      <c r="G360" t="s">
        <v>63</v>
      </c>
      <c r="H360" t="s">
        <v>116</v>
      </c>
    </row>
    <row r="361" spans="1:8" ns3:dyDescent="0.2">
      <c r="A361" t="s">
        <v>124</v>
      </c>
      <c r="B361">
        <v>1.2946873668539121E-3</v>
      </c>
      <c r="C361" t="s">
        <v>3</v>
      </c>
      <c r="D361" t="s">
        <v>24</v>
      </c>
      <c r="F361" t="s">
        <v>20</v>
      </c>
      <c r="G361" t="s">
        <v>125</v>
      </c>
      <c r="H361" t="s">
        <v>120</v>
      </c>
    </row>
    <row r="362" spans="1:8" ns3:dyDescent="0.2">
      <c r="A362" t="s">
        <v>45</v>
      </c>
      <c r="B362">
        <v>7.1100000000000003E-10</v>
      </c>
      <c r="C362" t="s">
        <v>3</v>
      </c>
      <c r="D362" t="s">
        <v>9</v>
      </c>
      <c r="F362" t="s">
        <v>20</v>
      </c>
      <c r="G362" t="inlineStr">
        <is>
          <t>locomotive fuel cell, hydrogen</t>
        </is>
      </c>
      <c r="H362"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 "transport, frieght train, diesel - CN", as the hydrogen locomotive has similar output power as the diesel-electric train, and it is assumed that diesel trains can used for retrofitting HFC-systems</t>
        </is>
      </c>
    </row>
    <row r="363" spans="1:8" ns3:dyDescent="0.2">
      <c r="A363" t="s">
        <v>129</v>
      </c>
      <c r="B363">
        <v>7.1100000000000003E-10</v>
      </c>
      <c r="C363" t="s">
        <v>3</v>
      </c>
      <c r="D363" t="s">
        <v>9</v>
      </c>
      <c r="F363" t="s">
        <v>20</v>
      </c>
      <c r="G363" t="s">
        <v>67</v>
      </c>
      <c r="H363" t="s">
        <v>139</v>
      </c>
    </row>
    <row r="364" spans="1:8" ns3:dyDescent="0.2">
      <c r="A364" t="s">
        <v>56</v>
      </c>
      <c r="B364">
        <v>4.5900000000000001E-8</v>
      </c>
      <c r="C364" t="s">
        <v>3</v>
      </c>
      <c r="D364" t="s">
        <v>9</v>
      </c>
      <c r="F364" t="s">
        <v>20</v>
      </c>
      <c r="G364" t="s">
        <v>57</v>
      </c>
      <c r="H364" t="s">
        <v>139</v>
      </c>
    </row>
    <row r="365" spans="1:8" ns3:dyDescent="0.2">
      <c r="A365" t="s">
        <v>130</v>
      </c>
      <c r="B365">
        <v>4.5900000000000001E-8</v>
      </c>
      <c r="C365" t="s">
        <v>3</v>
      </c>
      <c r="D365" t="s">
        <v>9</v>
      </c>
      <c r="F365" t="s">
        <v>20</v>
      </c>
      <c r="G365" t="s">
        <v>68</v>
      </c>
      <c r="H365" t="s">
        <v>139</v>
      </c>
    </row>
    <row r="366" spans="1:8" ns3:dyDescent="0.2">
      <c r="A366" t="s">
        <v>69</v>
      </c>
      <c r="B366">
        <v>9.2999999999999997E-5</v>
      </c>
      <c r="C366" t="s">
        <v>3</v>
      </c>
      <c r="D366" t="s">
        <v>70</v>
      </c>
      <c r="F366" t="s">
        <v>20</v>
      </c>
      <c r="G366" t="s">
        <v>71</v>
      </c>
      <c r="H366" t="s">
        <v>139</v>
      </c>
    </row>
    <row r="367" spans="1:8" ns3:dyDescent="0.2">
      <c r="A367" t="s">
        <v>72</v>
      </c>
      <c r="B367">
        <v>1.3540000000000001E-8</v>
      </c>
      <c r="D367" t="s">
        <v>24</v>
      </c>
      <c r="E367" t="s">
        <v>240</v>
      </c>
      <c r="F367" t="s">
        <v>73</v>
      </c>
      <c r="H367" t="s">
        <v>74</v>
      </c>
    </row>
    <row r="368" spans="1:8" ns3:dyDescent="0.2">
      <c r="A368" t="s">
        <v>75</v>
      </c>
      <c r="B368">
        <v>6.7700000000000004E-8</v>
      </c>
      <c r="D368" t="s">
        <v>24</v>
      </c>
      <c r="E368" t="s">
        <v>240</v>
      </c>
      <c r="F368" t="s">
        <v>73</v>
      </c>
      <c r="H368" t="s">
        <v>76</v>
      </c>
    </row>
    <row r="369" spans="1:8" ns3:dyDescent="0.2">
      <c r="A369" t="s">
        <v>77</v>
      </c>
      <c r="B369">
        <v>6.7699999999999996E-12</v>
      </c>
      <c r="D369" t="s">
        <v>24</v>
      </c>
      <c r="E369" t="s">
        <v>240</v>
      </c>
      <c r="F369" t="s">
        <v>73</v>
      </c>
      <c r="H369" t="s">
        <v>78</v>
      </c>
    </row>
    <row r="370" spans="1:8" ns3:dyDescent="0.2">
      <c r="A370" t="s">
        <v>79</v>
      </c>
      <c r="B370">
        <v>2.1298419999999998E-3</v>
      </c>
      <c r="D370" t="s">
        <v>24</v>
      </c>
      <c r="E370" t="s">
        <v>240</v>
      </c>
      <c r="F370" t="s">
        <v>73</v>
      </c>
      <c r="H370" t="s">
        <v>80</v>
      </c>
    </row>
    <row r="371" spans="1:8" ns3:dyDescent="0.2">
      <c r="A371" t="s">
        <v>81</v>
      </c>
      <c r="B371">
        <v>1.06966E-5</v>
      </c>
      <c r="D371" t="s">
        <v>24</v>
      </c>
      <c r="E371" t="s">
        <v>240</v>
      </c>
      <c r="F371" t="s">
        <v>73</v>
      </c>
      <c r="H371" t="s">
        <v>82</v>
      </c>
    </row>
    <row r="372" spans="1:8" ns3:dyDescent="0.2">
      <c r="A372" t="s">
        <v>83</v>
      </c>
      <c r="B372">
        <v>3.3849999999999998E-11</v>
      </c>
      <c r="D372" t="s">
        <v>24</v>
      </c>
      <c r="E372" t="s">
        <v>240</v>
      </c>
      <c r="F372" t="s">
        <v>73</v>
      </c>
      <c r="H372" t="s">
        <v>84</v>
      </c>
    </row>
    <row r="373" spans="1:8" ns3:dyDescent="0.2">
      <c r="A373" t="s">
        <v>85</v>
      </c>
      <c r="B373">
        <v>1.1509E-9</v>
      </c>
      <c r="D373" t="s">
        <v>24</v>
      </c>
      <c r="E373" t="s">
        <v>240</v>
      </c>
      <c r="F373" t="s">
        <v>73</v>
      </c>
      <c r="H373" t="s">
        <v>86</v>
      </c>
    </row>
    <row r="374" spans="1:8" ns3:dyDescent="0.2">
      <c r="A374" t="s">
        <v>87</v>
      </c>
      <c r="B374">
        <v>6.7700000000000004E-8</v>
      </c>
      <c r="D374" t="s">
        <v>24</v>
      </c>
      <c r="E374" t="s">
        <v>240</v>
      </c>
      <c r="F374" t="s">
        <v>73</v>
      </c>
      <c r="H374" t="s">
        <v>76</v>
      </c>
    </row>
    <row r="375" spans="1:8" ns3:dyDescent="0.2">
      <c r="A375" t="s">
        <v>88</v>
      </c>
      <c r="B375">
        <v>0</v>
      </c>
      <c r="D375" t="s">
        <v>24</v>
      </c>
      <c r="E375" t="s">
        <v>275</v>
      </c>
      <c r="F375" t="s">
        <v>73</v>
      </c>
      <c r="H375" t="s">
        <v>89</v>
      </c>
    </row>
    <row r="376" spans="1:8" ns3:dyDescent="0.2">
      <c r="A376" t="s">
        <v>90</v>
      </c>
      <c r="B376">
        <v>7.4469999999999997E-14</v>
      </c>
      <c r="D376" t="s">
        <v>24</v>
      </c>
      <c r="E376" t="s">
        <v>240</v>
      </c>
      <c r="F376" t="s">
        <v>73</v>
      </c>
      <c r="H376" t="s">
        <v>91</v>
      </c>
    </row>
    <row r="377" spans="1:8" ns3:dyDescent="0.2">
      <c r="A377" t="s">
        <v>92</v>
      </c>
      <c r="B377">
        <v>1.3539999999999998E-14</v>
      </c>
      <c r="D377" t="s">
        <v>24</v>
      </c>
      <c r="E377" t="s">
        <v>240</v>
      </c>
      <c r="F377" t="s">
        <v>73</v>
      </c>
      <c r="H377" t="s">
        <v>93</v>
      </c>
    </row>
    <row r="378" spans="1:8" ns3:dyDescent="0.2">
      <c r="A378" t="s">
        <v>94</v>
      </c>
      <c r="B378">
        <v>8.8009999999999992E-8</v>
      </c>
      <c r="D378" t="s">
        <v>24</v>
      </c>
      <c r="E378" t="s">
        <v>240</v>
      </c>
      <c r="F378" t="s">
        <v>73</v>
      </c>
      <c r="H378" t="s">
        <v>95</v>
      </c>
    </row>
    <row r="379" spans="1:8" ns3:dyDescent="0.2">
      <c r="A379" t="s">
        <v>96</v>
      </c>
      <c r="B379">
        <v>3.5542499999999999E-6</v>
      </c>
      <c r="D379" t="s">
        <v>24</v>
      </c>
      <c r="E379" t="s">
        <v>240</v>
      </c>
      <c r="F379" t="s">
        <v>73</v>
      </c>
      <c r="H379" t="s">
        <v>97</v>
      </c>
    </row>
    <row r="380" spans="1:8" ns3:dyDescent="0.2">
      <c r="A380" t="s">
        <v>98</v>
      </c>
      <c r="B380">
        <v>4.7390000000000004E-11</v>
      </c>
      <c r="D380" t="s">
        <v>24</v>
      </c>
      <c r="E380" t="s">
        <v>240</v>
      </c>
      <c r="F380" t="s">
        <v>73</v>
      </c>
      <c r="H380" t="s">
        <v>99</v>
      </c>
    </row>
    <row r="381" spans="1:8" ns3:dyDescent="0.2">
      <c r="A381" t="s">
        <v>100</v>
      </c>
      <c r="B381">
        <v>3.7234999999999998E-5</v>
      </c>
      <c r="D381" t="s">
        <v>24</v>
      </c>
      <c r="E381" t="s">
        <v>240</v>
      </c>
      <c r="F381" t="s">
        <v>73</v>
      </c>
      <c r="H381" t="s">
        <v>101</v>
      </c>
    </row>
    <row r="382" spans="1:8" ns3:dyDescent="0.2">
      <c r="A382" t="s">
        <v>102</v>
      </c>
      <c r="B382">
        <v>8.3270999999999994E-7</v>
      </c>
      <c r="D382" t="s">
        <v>24</v>
      </c>
      <c r="E382" t="s">
        <v>240</v>
      </c>
      <c r="F382" t="s">
        <v>73</v>
      </c>
      <c r="H382" t="s">
        <v>103</v>
      </c>
    </row>
    <row r="383" spans="1:8" ns3:dyDescent="0.2">
      <c r="A383" t="s">
        <v>104</v>
      </c>
      <c r="B383">
        <v>1.7737167300000001E-5</v>
      </c>
      <c r="D383" t="s">
        <v>24</v>
      </c>
      <c r="E383" t="s">
        <v>240</v>
      </c>
      <c r="F383" t="s">
        <v>73</v>
      </c>
      <c r="H383" t="s">
        <v>105</v>
      </c>
    </row>
    <row r="384" spans="1:8" ns3:dyDescent="0.2">
      <c r="A384" t="s">
        <v>106</v>
      </c>
      <c r="B384">
        <v>1.6372438999999999E-5</v>
      </c>
      <c r="D384" t="s">
        <v>24</v>
      </c>
      <c r="E384" t="s">
        <v>240</v>
      </c>
      <c r="F384" t="s">
        <v>73</v>
      </c>
      <c r="H384" t="s">
        <v>107</v>
      </c>
    </row>
    <row r="385" spans="1:8" ns3:dyDescent="0.2">
      <c r="A385" t="s">
        <v>108</v>
      </c>
      <c r="B385">
        <v>6.7699999999999996E-12</v>
      </c>
      <c r="D385" t="s">
        <v>24</v>
      </c>
      <c r="E385" t="s">
        <v>240</v>
      </c>
      <c r="F385" t="s">
        <v>73</v>
      </c>
      <c r="H385" t="s">
        <v>78</v>
      </c>
    </row>
    <row r="386" spans="1:8" ns3:dyDescent="0.2">
      <c r="A386" t="s">
        <v>109</v>
      </c>
      <c r="B386">
        <v>4.0619999999999997E-7</v>
      </c>
      <c r="D386" t="s">
        <v>24</v>
      </c>
      <c r="E386" t="s">
        <v>240</v>
      </c>
      <c r="F386" t="s">
        <v>73</v>
      </c>
      <c r="H386" t="s">
        <v>110</v>
      </c>
    </row>
    <row r="387" spans="1:8" ns3:dyDescent="0.2">
      <c r="A387" t="s">
        <v>111</v>
      </c>
      <c r="B387">
        <v>2.7080000000000002E-8</v>
      </c>
      <c r="D387" t="s">
        <v>24</v>
      </c>
      <c r="E387" t="s">
        <v>240</v>
      </c>
      <c r="F387" t="s">
        <v>73</v>
      </c>
      <c r="H387" t="s">
        <v>112</v>
      </c>
    </row>
    <row r="388" spans="1:8" ns3:dyDescent="0.2">
      <c r="A388" t="s">
        <v>230</v>
      </c>
      <c r="B388">
        <v>2.7080000000000002E-8</v>
      </c>
      <c r="D388" t="s">
        <v>24</v>
      </c>
      <c r="E388" t="s">
        <v>240</v>
      </c>
      <c r="F388" t="s">
        <v>73</v>
      </c>
      <c r="H388" t="s">
        <v>112</v>
      </c>
    </row>
    <row r="389" spans="1:8" ns3:dyDescent="0.2">
      <c r="A389" t="s">
        <v>113</v>
      </c>
      <c r="B389">
        <v>6.7699999999999994E-10</v>
      </c>
      <c r="D389" t="s">
        <v>24</v>
      </c>
      <c r="E389" t="s">
        <v>240</v>
      </c>
      <c r="F389" t="s">
        <v>73</v>
      </c>
      <c r="H389" t="s">
        <v>114</v>
      </c>
    </row>
    <row r="390" spans="1:8" ns3:dyDescent="0.2">
      <c r="A390" t="s">
        <v>123</v>
      </c>
      <c r="B390">
        <v>1</v>
      </c>
      <c r="C390" t="s">
        <v>136</v>
      </c>
      <c r="D390" t="s">
        <v>232</v>
      </c>
      <c r="F390" t="s">
        <v>36</v>
      </c>
      <c r="G390" t="s">
        <v>61</v>
      </c>
    </row>
    <row r="392" spans="1:8" ns3:dyDescent="0.2">
      <c r="A392" s="2" t="s">
        <v>0</v>
      </c>
      <c r="B392" s="2" t="s">
        <v>59</v>
      </c>
    </row>
    <row r="393" spans="1:8" ns3:dyDescent="0.2">
      <c r="A393" t="s">
        <v>2</v>
      </c>
      <c r="B393" t="s">
        <v>140</v>
      </c>
    </row>
    <row r="394" spans="1:8" ns3:dyDescent="0.2">
      <c r="A394" t="s">
        <v>4</v>
      </c>
      <c r="B394">
        <v>1</v>
      </c>
    </row>
    <row r="395" spans="1:8" ns3:dyDescent="0.2">
      <c r="A395" t="s">
        <v>5</v>
      </c>
      <c r="B395" t="s">
        <v>61</v>
      </c>
    </row>
    <row r="396" spans="1:8" ns3:dyDescent="0.2">
      <c r="A396" t="s">
        <v>7</v>
      </c>
      <c r="B396" t="s">
        <v>8</v>
      </c>
    </row>
    <row r="397" spans="1:8" ns3:dyDescent="0.2">
      <c r="A397" t="s">
        <v>9</v>
      </c>
      <c r="B397" t="s">
        <v>232</v>
      </c>
    </row>
    <row r="398" spans="1:8" ns3:dyDescent="0.2">
      <c r="A398" t="s">
        <v>15</v>
      </c>
    </row>
    <row r="399" spans="1:8" ns3:dyDescent="0.2">
      <c r="A399" s="2" t="s">
        <v>16</v>
      </c>
      <c r="B399" s="2" t="s">
        <v>17</v>
      </c>
      <c r="C399" s="2" t="s">
        <v>2</v>
      </c>
      <c r="D399" s="2" t="s">
        <v>9</v>
      </c>
      <c r="E399" s="2" t="s">
        <v>18</v>
      </c>
      <c r="F399" s="2" t="s">
        <v>7</v>
      </c>
      <c r="G399" s="2" t="s">
        <v>5</v>
      </c>
      <c r="H399" s="2" t="s">
        <v>14</v>
      </c>
    </row>
    <row r="400" spans="1:8" ns3:dyDescent="0.2">
      <c r="A400" t="s">
        <v>62</v>
      </c>
      <c r="B400">
        <v>1.0561820351792083E-2</v>
      </c>
      <c r="C400" t="s">
        <v>140</v>
      </c>
      <c r="D400" t="s">
        <v>24</v>
      </c>
      <c r="F400" t="s">
        <v>20</v>
      </c>
      <c r="G400" t="s">
        <v>63</v>
      </c>
      <c r="H400" t="s">
        <v>64</v>
      </c>
    </row>
    <row r="401" spans="1:8" ns3:dyDescent="0.2">
      <c r="A401" t="s">
        <v>1</v>
      </c>
      <c r="B401">
        <v>1.2321999999999999E-9</v>
      </c>
      <c r="C401" t="s">
        <v>3</v>
      </c>
      <c r="D401" t="s">
        <v>9</v>
      </c>
      <c r="F401" t="s">
        <v>20</v>
      </c>
      <c r="G401" t="inlineStr">
        <is>
          <t>locomotive diesel-electric</t>
        </is>
      </c>
      <c r="H401"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ZA"</t>
        </is>
      </c>
    </row>
    <row r="402" spans="1:8" ns3:dyDescent="0.2">
      <c r="A402" t="s">
        <v>129</v>
      </c>
      <c r="B402">
        <v>1.2321999999999999E-9</v>
      </c>
      <c r="C402" t="s">
        <v>3</v>
      </c>
      <c r="D402" t="s">
        <v>9</v>
      </c>
      <c r="F402" t="s">
        <v>20</v>
      </c>
      <c r="G402" t="s">
        <v>67</v>
      </c>
      <c r="H402" t="s">
        <v>141</v>
      </c>
    </row>
    <row r="403" spans="1:8" ns3:dyDescent="0.2">
      <c r="A403" t="s">
        <v>56</v>
      </c>
      <c r="B403">
        <v>8.4190999999999996E-9</v>
      </c>
      <c r="C403" t="s">
        <v>3</v>
      </c>
      <c r="D403" t="s">
        <v>9</v>
      </c>
      <c r="F403" t="s">
        <v>20</v>
      </c>
      <c r="G403" t="s">
        <v>57</v>
      </c>
      <c r="H403" t="s">
        <v>141</v>
      </c>
    </row>
    <row r="404" spans="1:8" ns3:dyDescent="0.2">
      <c r="A404" t="s">
        <v>130</v>
      </c>
      <c r="B404">
        <v>8.4190999999999996E-9</v>
      </c>
      <c r="C404" t="s">
        <v>3</v>
      </c>
      <c r="D404" t="s">
        <v>9</v>
      </c>
      <c r="F404" t="s">
        <v>20</v>
      </c>
      <c r="G404" t="s">
        <v>68</v>
      </c>
      <c r="H404" t="s">
        <v>141</v>
      </c>
    </row>
    <row r="405" spans="1:8" ns3:dyDescent="0.2">
      <c r="A405" t="s">
        <v>69</v>
      </c>
      <c r="B405">
        <v>9.6793000000000007E-5</v>
      </c>
      <c r="C405" t="s">
        <v>3</v>
      </c>
      <c r="D405" t="s">
        <v>70</v>
      </c>
      <c r="F405" t="s">
        <v>20</v>
      </c>
      <c r="G405" t="s">
        <v>71</v>
      </c>
      <c r="H405" t="s">
        <v>141</v>
      </c>
    </row>
    <row r="406" spans="1:8" ns3:dyDescent="0.2">
      <c r="A406" t="s">
        <v>72</v>
      </c>
      <c r="B406">
        <v>1.7878396002478271E-7</v>
      </c>
      <c r="D406" t="s">
        <v>24</v>
      </c>
      <c r="E406" t="s">
        <v>240</v>
      </c>
      <c r="F406" t="s">
        <v>73</v>
      </c>
      <c r="H406" t="s">
        <v>74</v>
      </c>
    </row>
    <row r="407" spans="1:8" ns3:dyDescent="0.2">
      <c r="A407" t="s">
        <v>75</v>
      </c>
      <c r="B407">
        <v>8.9391980012391347E-7</v>
      </c>
      <c r="D407" t="s">
        <v>24</v>
      </c>
      <c r="E407" t="s">
        <v>240</v>
      </c>
      <c r="F407" t="s">
        <v>73</v>
      </c>
      <c r="H407" t="s">
        <v>76</v>
      </c>
    </row>
    <row r="408" spans="1:8" ns3:dyDescent="0.2">
      <c r="A408" t="s">
        <v>77</v>
      </c>
      <c r="B408">
        <v>8.939198001239134E-11</v>
      </c>
      <c r="D408" t="s">
        <v>24</v>
      </c>
      <c r="E408" t="s">
        <v>240</v>
      </c>
      <c r="F408" t="s">
        <v>73</v>
      </c>
      <c r="H408" t="s">
        <v>78</v>
      </c>
    </row>
    <row r="409" spans="1:8" ns3:dyDescent="0.2">
      <c r="A409" t="s">
        <v>79</v>
      </c>
      <c r="B409">
        <v>2.8122716911898316E-2</v>
      </c>
      <c r="D409" t="s">
        <v>24</v>
      </c>
      <c r="E409" t="s">
        <v>240</v>
      </c>
      <c r="F409" t="s">
        <v>73</v>
      </c>
      <c r="H409" t="s">
        <v>80</v>
      </c>
    </row>
    <row r="410" spans="1:8" ns3:dyDescent="0.2">
      <c r="A410" t="s">
        <v>81</v>
      </c>
      <c r="B410">
        <v>1.4123932841957835E-4</v>
      </c>
      <c r="D410" t="s">
        <v>24</v>
      </c>
      <c r="E410" t="s">
        <v>240</v>
      </c>
      <c r="F410" t="s">
        <v>73</v>
      </c>
      <c r="H410" t="s">
        <v>82</v>
      </c>
    </row>
    <row r="411" spans="1:8" ns3:dyDescent="0.2">
      <c r="A411" t="s">
        <v>83</v>
      </c>
      <c r="B411">
        <v>4.469599000619567E-10</v>
      </c>
      <c r="D411" t="s">
        <v>24</v>
      </c>
      <c r="E411" t="s">
        <v>240</v>
      </c>
      <c r="F411" t="s">
        <v>73</v>
      </c>
      <c r="H411" t="s">
        <v>84</v>
      </c>
    </row>
    <row r="412" spans="1:8" ns3:dyDescent="0.2">
      <c r="A412" t="s">
        <v>85</v>
      </c>
      <c r="B412">
        <v>1.5196636602106528E-8</v>
      </c>
      <c r="D412" t="s">
        <v>24</v>
      </c>
      <c r="E412" t="s">
        <v>240</v>
      </c>
      <c r="F412" t="s">
        <v>73</v>
      </c>
      <c r="H412" t="s">
        <v>86</v>
      </c>
    </row>
    <row r="413" spans="1:8" ns3:dyDescent="0.2">
      <c r="A413" t="s">
        <v>87</v>
      </c>
      <c r="B413">
        <v>8.9391980012391347E-7</v>
      </c>
      <c r="D413" t="s">
        <v>24</v>
      </c>
      <c r="E413" t="s">
        <v>240</v>
      </c>
      <c r="F413" t="s">
        <v>73</v>
      </c>
      <c r="H413" t="s">
        <v>76</v>
      </c>
    </row>
    <row r="414" spans="1:8" ns3:dyDescent="0.2">
      <c r="A414" t="s">
        <v>88</v>
      </c>
      <c r="B414">
        <v>1.24E-5</v>
      </c>
      <c r="D414" t="s">
        <v>24</v>
      </c>
      <c r="E414" t="s">
        <v>275</v>
      </c>
      <c r="F414" t="s">
        <v>73</v>
      </c>
      <c r="H414" t="s">
        <v>89</v>
      </c>
    </row>
    <row r="415" spans="1:8" ns3:dyDescent="0.2">
      <c r="A415" t="s">
        <v>90</v>
      </c>
      <c r="B415">
        <v>9.833117801363047E-13</v>
      </c>
      <c r="D415" t="s">
        <v>24</v>
      </c>
      <c r="E415" t="s">
        <v>240</v>
      </c>
      <c r="F415" t="s">
        <v>73</v>
      </c>
      <c r="H415" t="s">
        <v>91</v>
      </c>
    </row>
    <row r="416" spans="1:8" ns3:dyDescent="0.2">
      <c r="A416" t="s">
        <v>92</v>
      </c>
      <c r="B416">
        <v>1.7878396002478267E-13</v>
      </c>
      <c r="D416" t="s">
        <v>24</v>
      </c>
      <c r="E416" t="s">
        <v>240</v>
      </c>
      <c r="F416" t="s">
        <v>73</v>
      </c>
      <c r="H416" t="s">
        <v>93</v>
      </c>
    </row>
    <row r="417" spans="1:8" ns3:dyDescent="0.2">
      <c r="A417" t="s">
        <v>94</v>
      </c>
      <c r="B417">
        <v>1.1620957401610873E-6</v>
      </c>
      <c r="D417" t="s">
        <v>24</v>
      </c>
      <c r="E417" t="s">
        <v>240</v>
      </c>
      <c r="F417" t="s">
        <v>73</v>
      </c>
      <c r="H417" t="s">
        <v>95</v>
      </c>
    </row>
    <row r="418" spans="1:8" ns3:dyDescent="0.2">
      <c r="A418" t="s">
        <v>96</v>
      </c>
      <c r="B418">
        <v>4.693078950650546E-5</v>
      </c>
      <c r="D418" t="s">
        <v>24</v>
      </c>
      <c r="E418" t="s">
        <v>240</v>
      </c>
      <c r="F418" t="s">
        <v>73</v>
      </c>
      <c r="H418" t="s">
        <v>97</v>
      </c>
    </row>
    <row r="419" spans="1:8" ns3:dyDescent="0.2">
      <c r="A419" t="s">
        <v>98</v>
      </c>
      <c r="B419">
        <v>6.2574386008673948E-10</v>
      </c>
      <c r="D419" t="s">
        <v>24</v>
      </c>
      <c r="E419" t="s">
        <v>240</v>
      </c>
      <c r="F419" t="s">
        <v>73</v>
      </c>
      <c r="H419" t="s">
        <v>99</v>
      </c>
    </row>
    <row r="420" spans="1:8" ns3:dyDescent="0.2">
      <c r="A420" t="s">
        <v>100</v>
      </c>
      <c r="B420">
        <v>4.9165589006815245E-4</v>
      </c>
      <c r="D420" t="s">
        <v>24</v>
      </c>
      <c r="E420" t="s">
        <v>240</v>
      </c>
      <c r="F420" t="s">
        <v>73</v>
      </c>
      <c r="H420" t="s">
        <v>101</v>
      </c>
    </row>
    <row r="421" spans="1:8" ns3:dyDescent="0.2">
      <c r="A421" t="s">
        <v>102</v>
      </c>
      <c r="B421">
        <v>1.0995213541524135E-5</v>
      </c>
      <c r="D421" t="s">
        <v>24</v>
      </c>
      <c r="E421" t="s">
        <v>240</v>
      </c>
      <c r="F421" t="s">
        <v>73</v>
      </c>
      <c r="H421" t="s">
        <v>103</v>
      </c>
    </row>
    <row r="422" spans="1:8" ns3:dyDescent="0.2">
      <c r="A422" t="s">
        <v>104</v>
      </c>
      <c r="B422">
        <v>1.8190761970268027E-5</v>
      </c>
      <c r="D422" t="s">
        <v>24</v>
      </c>
      <c r="E422" t="s">
        <v>240</v>
      </c>
      <c r="F422" t="s">
        <v>73</v>
      </c>
      <c r="H422" t="s">
        <v>105</v>
      </c>
    </row>
    <row r="423" spans="1:8" ns3:dyDescent="0.2">
      <c r="A423" t="s">
        <v>106</v>
      </c>
      <c r="B423">
        <v>1.7256494186132587E-5</v>
      </c>
      <c r="D423" t="s">
        <v>24</v>
      </c>
      <c r="E423" t="s">
        <v>240</v>
      </c>
      <c r="F423" t="s">
        <v>73</v>
      </c>
      <c r="H423" t="s">
        <v>107</v>
      </c>
    </row>
    <row r="424" spans="1:8" ns3:dyDescent="0.2">
      <c r="A424" t="s">
        <v>108</v>
      </c>
      <c r="B424">
        <v>8.939198001239134E-11</v>
      </c>
      <c r="D424" t="s">
        <v>24</v>
      </c>
      <c r="E424" t="s">
        <v>240</v>
      </c>
      <c r="F424" t="s">
        <v>73</v>
      </c>
      <c r="H424" t="s">
        <v>78</v>
      </c>
    </row>
    <row r="425" spans="1:8" ns3:dyDescent="0.2">
      <c r="A425" t="s">
        <v>109</v>
      </c>
      <c r="B425">
        <v>5.3635188007434798E-6</v>
      </c>
      <c r="D425" t="s">
        <v>24</v>
      </c>
      <c r="E425" t="s">
        <v>240</v>
      </c>
      <c r="F425" t="s">
        <v>73</v>
      </c>
      <c r="H425" t="s">
        <v>110</v>
      </c>
    </row>
    <row r="426" spans="1:8" ns3:dyDescent="0.2">
      <c r="A426" t="s">
        <v>111</v>
      </c>
      <c r="B426">
        <v>3.5756792004956542E-7</v>
      </c>
      <c r="D426" t="s">
        <v>24</v>
      </c>
      <c r="E426" t="s">
        <v>240</v>
      </c>
      <c r="F426" t="s">
        <v>73</v>
      </c>
      <c r="H426" t="s">
        <v>112</v>
      </c>
    </row>
    <row r="427" spans="1:8" ns3:dyDescent="0.2">
      <c r="A427" t="s">
        <v>230</v>
      </c>
      <c r="B427">
        <v>3.5756792004956542E-7</v>
      </c>
      <c r="D427" t="s">
        <v>24</v>
      </c>
      <c r="E427" t="s">
        <v>240</v>
      </c>
      <c r="F427" t="s">
        <v>73</v>
      </c>
      <c r="H427" t="s">
        <v>112</v>
      </c>
    </row>
    <row r="428" spans="1:8" ns3:dyDescent="0.2">
      <c r="A428" t="s">
        <v>113</v>
      </c>
      <c r="B428">
        <v>8.9391980012391348E-9</v>
      </c>
      <c r="D428" t="s">
        <v>24</v>
      </c>
      <c r="E428" t="s">
        <v>240</v>
      </c>
      <c r="F428" t="s">
        <v>73</v>
      </c>
      <c r="H428" t="s">
        <v>114</v>
      </c>
    </row>
    <row r="429" spans="1:8" ns3:dyDescent="0.2">
      <c r="A429" t="s">
        <v>59</v>
      </c>
      <c r="B429">
        <v>1</v>
      </c>
      <c r="C429" t="s">
        <v>140</v>
      </c>
      <c r="D429" t="s">
        <v>232</v>
      </c>
      <c r="F429" t="s">
        <v>36</v>
      </c>
      <c r="G429" t="s">
        <v>61</v>
      </c>
    </row>
    <row r="431" spans="1:8" ns3:dyDescent="0.2">
      <c r="A431" s="2" t="s">
        <v>0</v>
      </c>
      <c r="B431" s="2" t="s">
        <v>115</v>
      </c>
    </row>
    <row r="432" spans="1:8" ns3:dyDescent="0.2">
      <c r="A432" t="s">
        <v>2</v>
      </c>
      <c r="B432" t="s">
        <v>140</v>
      </c>
    </row>
    <row r="433" spans="1:8" ns3:dyDescent="0.2">
      <c r="A433" t="s">
        <v>4</v>
      </c>
      <c r="B433">
        <v>1</v>
      </c>
    </row>
    <row r="434" spans="1:8" ns3:dyDescent="0.2">
      <c r="A434" t="s">
        <v>5</v>
      </c>
      <c r="B434" t="s">
        <v>61</v>
      </c>
    </row>
    <row r="435" spans="1:8" ns3:dyDescent="0.2">
      <c r="A435" t="s">
        <v>7</v>
      </c>
      <c r="B435" t="s">
        <v>8</v>
      </c>
    </row>
    <row r="436" spans="1:8" ns3:dyDescent="0.2">
      <c r="A436" t="s">
        <v>9</v>
      </c>
      <c r="B436" t="s">
        <v>232</v>
      </c>
    </row>
    <row r="437" spans="1:8" ns3:dyDescent="0.2">
      <c r="A437" t="s">
        <v>15</v>
      </c>
    </row>
    <row r="438" spans="1:8" ns3:dyDescent="0.2">
      <c r="A438" s="2" t="s">
        <v>16</v>
      </c>
      <c r="B438" s="2" t="s">
        <v>17</v>
      </c>
      <c r="C438" s="2" t="s">
        <v>2</v>
      </c>
      <c r="D438" s="2" t="s">
        <v>9</v>
      </c>
      <c r="E438" s="2" t="s">
        <v>18</v>
      </c>
      <c r="F438" s="2" t="s">
        <v>7</v>
      </c>
      <c r="G438" s="2" t="s">
        <v>5</v>
      </c>
      <c r="H438" s="2" t="s">
        <v>14</v>
      </c>
    </row>
    <row r="439" spans="1:8" ns3:dyDescent="0.2">
      <c r="A439" t="s">
        <v>62</v>
      </c>
      <c r="B439">
        <v>1.7115000000000001E-4</v>
      </c>
      <c r="C439" t="s">
        <v>140</v>
      </c>
      <c r="D439" t="s">
        <v>24</v>
      </c>
      <c r="F439" t="s">
        <v>20</v>
      </c>
      <c r="G439" t="s">
        <v>63</v>
      </c>
      <c r="H439" t="s">
        <v>116</v>
      </c>
    </row>
    <row r="440" spans="1:8" ns3:dyDescent="0.2">
      <c r="A440" t="s">
        <v>142</v>
      </c>
      <c r="B440">
        <v>1.6749957094776662E-2</v>
      </c>
      <c r="C440" t="s">
        <v>140</v>
      </c>
      <c r="D440" t="s">
        <v>118</v>
      </c>
      <c r="F440" t="s">
        <v>20</v>
      </c>
      <c r="G440" t="s">
        <v>119</v>
      </c>
      <c r="H440" t="s">
        <v>131</v>
      </c>
    </row>
    <row r="441" spans="1:8" ns3:dyDescent="0.2">
      <c r="A441" t="s">
        <v>143</v>
      </c>
      <c r="B441">
        <v>1.6749957094776662E-2</v>
      </c>
      <c r="C441" t="s">
        <v>140</v>
      </c>
      <c r="D441" t="s">
        <v>118</v>
      </c>
      <c r="F441" t="s">
        <v>20</v>
      </c>
      <c r="G441" t="s">
        <v>133</v>
      </c>
      <c r="H441" t="s">
        <v>131</v>
      </c>
    </row>
    <row r="442" spans="1:8" ns3:dyDescent="0.2">
      <c r="A442" t="s">
        <v>37</v>
      </c>
      <c r="B442">
        <v>1.2321999999999999E-9</v>
      </c>
      <c r="C442" t="s">
        <v>3</v>
      </c>
      <c r="D442" t="s">
        <v>9</v>
      </c>
      <c r="F442" t="s">
        <v>20</v>
      </c>
      <c r="G442" t="inlineStr">
        <is>
          <t>locomotive electric, catenary</t>
        </is>
      </c>
      <c r="H442"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electricity - ZA"</t>
        </is>
      </c>
    </row>
    <row r="443" spans="1:8" ns3:dyDescent="0.2">
      <c r="A443" t="s">
        <v>129</v>
      </c>
      <c r="B443">
        <v>1.2321999999999999E-9</v>
      </c>
      <c r="C443" t="s">
        <v>3</v>
      </c>
      <c r="D443" t="s">
        <v>9</v>
      </c>
      <c r="F443" t="s">
        <v>20</v>
      </c>
      <c r="G443" t="s">
        <v>67</v>
      </c>
      <c r="H443" t="s">
        <v>144</v>
      </c>
    </row>
    <row r="444" spans="1:8" ns3:dyDescent="0.2">
      <c r="A444" t="s">
        <v>56</v>
      </c>
      <c r="B444">
        <v>8.4190999999999996E-9</v>
      </c>
      <c r="C444" t="s">
        <v>3</v>
      </c>
      <c r="D444" t="s">
        <v>9</v>
      </c>
      <c r="F444" t="s">
        <v>20</v>
      </c>
      <c r="G444" t="s">
        <v>57</v>
      </c>
      <c r="H444" t="s">
        <v>144</v>
      </c>
    </row>
    <row r="445" spans="1:8" ns3:dyDescent="0.2">
      <c r="A445" t="s">
        <v>130</v>
      </c>
      <c r="B445">
        <v>8.4190999999999996E-9</v>
      </c>
      <c r="C445" t="s">
        <v>3</v>
      </c>
      <c r="D445" t="s">
        <v>9</v>
      </c>
      <c r="F445" t="s">
        <v>20</v>
      </c>
      <c r="G445" t="s">
        <v>68</v>
      </c>
      <c r="H445" t="s">
        <v>144</v>
      </c>
    </row>
    <row r="446" spans="1:8" ns3:dyDescent="0.2">
      <c r="A446" t="s">
        <v>69</v>
      </c>
      <c r="B446">
        <v>9.6793000000000007E-5</v>
      </c>
      <c r="C446" t="s">
        <v>3</v>
      </c>
      <c r="D446" t="s">
        <v>70</v>
      </c>
      <c r="F446" t="s">
        <v>20</v>
      </c>
      <c r="G446" t="s">
        <v>71</v>
      </c>
      <c r="H446" t="s">
        <v>144</v>
      </c>
    </row>
    <row r="447" spans="1:8" ns3:dyDescent="0.2">
      <c r="A447" t="s">
        <v>72</v>
      </c>
      <c r="B447">
        <v>3.4230000000000007E-9</v>
      </c>
      <c r="D447" t="s">
        <v>24</v>
      </c>
      <c r="E447" t="s">
        <v>240</v>
      </c>
      <c r="F447" t="s">
        <v>73</v>
      </c>
      <c r="H447" t="s">
        <v>74</v>
      </c>
    </row>
    <row r="448" spans="1:8" ns3:dyDescent="0.2">
      <c r="A448" t="s">
        <v>75</v>
      </c>
      <c r="B448">
        <v>1.7115000000000001E-8</v>
      </c>
      <c r="D448" t="s">
        <v>24</v>
      </c>
      <c r="E448" t="s">
        <v>240</v>
      </c>
      <c r="F448" t="s">
        <v>73</v>
      </c>
      <c r="H448" t="s">
        <v>76</v>
      </c>
    </row>
    <row r="449" spans="1:8" ns3:dyDescent="0.2">
      <c r="A449" t="s">
        <v>77</v>
      </c>
      <c r="B449">
        <v>1.7115000000000001E-12</v>
      </c>
      <c r="D449" t="s">
        <v>24</v>
      </c>
      <c r="E449" t="s">
        <v>240</v>
      </c>
      <c r="F449" t="s">
        <v>73</v>
      </c>
      <c r="H449" t="s">
        <v>78</v>
      </c>
    </row>
    <row r="450" spans="1:8" ns3:dyDescent="0.2">
      <c r="A450" t="s">
        <v>79</v>
      </c>
      <c r="B450">
        <v>5.3843789999999999E-4</v>
      </c>
      <c r="D450" t="s">
        <v>24</v>
      </c>
      <c r="E450" t="s">
        <v>240</v>
      </c>
      <c r="F450" t="s">
        <v>73</v>
      </c>
      <c r="H450" t="s">
        <v>80</v>
      </c>
    </row>
    <row r="451" spans="1:8" ns3:dyDescent="0.2">
      <c r="A451" t="s">
        <v>81</v>
      </c>
      <c r="B451">
        <v>2.7041700000000003E-6</v>
      </c>
      <c r="D451" t="s">
        <v>24</v>
      </c>
      <c r="E451" t="s">
        <v>240</v>
      </c>
      <c r="F451" t="s">
        <v>73</v>
      </c>
      <c r="H451" t="s">
        <v>82</v>
      </c>
    </row>
    <row r="452" spans="1:8" ns3:dyDescent="0.2">
      <c r="A452" t="s">
        <v>83</v>
      </c>
      <c r="B452">
        <v>8.5575000000000002E-12</v>
      </c>
      <c r="D452" t="s">
        <v>24</v>
      </c>
      <c r="E452" t="s">
        <v>240</v>
      </c>
      <c r="F452" t="s">
        <v>73</v>
      </c>
      <c r="H452" t="s">
        <v>84</v>
      </c>
    </row>
    <row r="453" spans="1:8" ns3:dyDescent="0.2">
      <c r="A453" t="s">
        <v>85</v>
      </c>
      <c r="B453">
        <v>2.90955E-10</v>
      </c>
      <c r="D453" t="s">
        <v>24</v>
      </c>
      <c r="E453" t="s">
        <v>240</v>
      </c>
      <c r="F453" t="s">
        <v>73</v>
      </c>
      <c r="H453" t="s">
        <v>86</v>
      </c>
    </row>
    <row r="454" spans="1:8" ns3:dyDescent="0.2">
      <c r="A454" t="s">
        <v>87</v>
      </c>
      <c r="B454">
        <v>1.7115000000000001E-8</v>
      </c>
      <c r="D454" t="s">
        <v>24</v>
      </c>
      <c r="E454" t="s">
        <v>240</v>
      </c>
      <c r="F454" t="s">
        <v>73</v>
      </c>
      <c r="H454" t="s">
        <v>76</v>
      </c>
    </row>
    <row r="455" spans="1:8" ns3:dyDescent="0.2">
      <c r="A455" t="s">
        <v>88</v>
      </c>
      <c r="B455">
        <v>1.24E-5</v>
      </c>
      <c r="D455" t="s">
        <v>24</v>
      </c>
      <c r="E455" t="s">
        <v>275</v>
      </c>
      <c r="F455" t="s">
        <v>73</v>
      </c>
      <c r="H455" t="s">
        <v>89</v>
      </c>
    </row>
    <row r="456" spans="1:8" ns3:dyDescent="0.2">
      <c r="A456" t="s">
        <v>90</v>
      </c>
      <c r="B456">
        <v>1.8826499999999999E-14</v>
      </c>
      <c r="D456" t="s">
        <v>24</v>
      </c>
      <c r="E456" t="s">
        <v>240</v>
      </c>
      <c r="F456" t="s">
        <v>73</v>
      </c>
      <c r="H456" t="s">
        <v>91</v>
      </c>
    </row>
    <row r="457" spans="1:8" ns3:dyDescent="0.2">
      <c r="A457" t="s">
        <v>92</v>
      </c>
      <c r="B457">
        <v>3.4230000000000002E-15</v>
      </c>
      <c r="D457" t="s">
        <v>24</v>
      </c>
      <c r="E457" t="s">
        <v>240</v>
      </c>
      <c r="F457" t="s">
        <v>73</v>
      </c>
      <c r="H457" t="s">
        <v>93</v>
      </c>
    </row>
    <row r="458" spans="1:8" ns3:dyDescent="0.2">
      <c r="A458" t="s">
        <v>94</v>
      </c>
      <c r="B458">
        <v>2.22495E-8</v>
      </c>
      <c r="D458" t="s">
        <v>24</v>
      </c>
      <c r="E458" t="s">
        <v>240</v>
      </c>
      <c r="F458" t="s">
        <v>73</v>
      </c>
      <c r="H458" t="s">
        <v>95</v>
      </c>
    </row>
    <row r="459" spans="1:8" ns3:dyDescent="0.2">
      <c r="A459" t="s">
        <v>96</v>
      </c>
      <c r="B459">
        <v>8.9853750000000014E-7</v>
      </c>
      <c r="D459" t="s">
        <v>24</v>
      </c>
      <c r="E459" t="s">
        <v>240</v>
      </c>
      <c r="F459" t="s">
        <v>73</v>
      </c>
      <c r="H459" t="s">
        <v>97</v>
      </c>
    </row>
    <row r="460" spans="1:8" ns3:dyDescent="0.2">
      <c r="A460" t="s">
        <v>98</v>
      </c>
      <c r="B460">
        <v>1.1980500000000001E-11</v>
      </c>
      <c r="D460" t="s">
        <v>24</v>
      </c>
      <c r="E460" t="s">
        <v>240</v>
      </c>
      <c r="F460" t="s">
        <v>73</v>
      </c>
      <c r="H460" t="s">
        <v>99</v>
      </c>
    </row>
    <row r="461" spans="1:8" ns3:dyDescent="0.2">
      <c r="A461" t="s">
        <v>100</v>
      </c>
      <c r="B461">
        <v>9.41325E-6</v>
      </c>
      <c r="D461" t="s">
        <v>24</v>
      </c>
      <c r="E461" t="s">
        <v>240</v>
      </c>
      <c r="F461" t="s">
        <v>73</v>
      </c>
      <c r="H461" t="s">
        <v>101</v>
      </c>
    </row>
    <row r="462" spans="1:8" ns3:dyDescent="0.2">
      <c r="A462" t="s">
        <v>102</v>
      </c>
      <c r="B462">
        <v>2.1051450000000002E-7</v>
      </c>
      <c r="D462" t="s">
        <v>24</v>
      </c>
      <c r="E462" t="s">
        <v>240</v>
      </c>
      <c r="F462" t="s">
        <v>73</v>
      </c>
      <c r="H462" t="s">
        <v>103</v>
      </c>
    </row>
    <row r="463" spans="1:8" ns3:dyDescent="0.2">
      <c r="A463" t="s">
        <v>104</v>
      </c>
      <c r="B463">
        <v>1.7709396134999999E-5</v>
      </c>
      <c r="D463" t="s">
        <v>24</v>
      </c>
      <c r="E463" t="s">
        <v>240</v>
      </c>
      <c r="F463" t="s">
        <v>73</v>
      </c>
      <c r="H463" t="s">
        <v>105</v>
      </c>
    </row>
    <row r="464" spans="1:8" ns3:dyDescent="0.2">
      <c r="A464" t="s">
        <v>106</v>
      </c>
      <c r="B464">
        <v>1.6318313050000001E-5</v>
      </c>
      <c r="D464" t="s">
        <v>24</v>
      </c>
      <c r="E464" t="s">
        <v>240</v>
      </c>
      <c r="F464" t="s">
        <v>73</v>
      </c>
      <c r="H464" t="s">
        <v>107</v>
      </c>
    </row>
    <row r="465" spans="1:8" ns3:dyDescent="0.2">
      <c r="A465" t="s">
        <v>108</v>
      </c>
      <c r="B465">
        <v>1.7115000000000001E-12</v>
      </c>
      <c r="D465" t="s">
        <v>24</v>
      </c>
      <c r="E465" t="s">
        <v>240</v>
      </c>
      <c r="F465" t="s">
        <v>73</v>
      </c>
      <c r="H465" t="s">
        <v>78</v>
      </c>
    </row>
    <row r="466" spans="1:8" ns3:dyDescent="0.2">
      <c r="A466" t="s">
        <v>109</v>
      </c>
      <c r="B466">
        <v>1.0269E-7</v>
      </c>
      <c r="D466" t="s">
        <v>24</v>
      </c>
      <c r="E466" t="s">
        <v>240</v>
      </c>
      <c r="F466" t="s">
        <v>73</v>
      </c>
      <c r="H466" t="s">
        <v>110</v>
      </c>
    </row>
    <row r="467" spans="1:8" ns3:dyDescent="0.2">
      <c r="A467" t="s">
        <v>231</v>
      </c>
      <c r="B467">
        <v>3.1399999999999999E-9</v>
      </c>
      <c r="D467" t="s">
        <v>24</v>
      </c>
      <c r="E467" t="s">
        <v>240</v>
      </c>
      <c r="F467" t="s">
        <v>73</v>
      </c>
      <c r="H467" t="s">
        <v>122</v>
      </c>
    </row>
    <row r="468" spans="1:8" ns3:dyDescent="0.2">
      <c r="A468" t="s">
        <v>111</v>
      </c>
      <c r="B468">
        <v>6.8460000000000014E-9</v>
      </c>
      <c r="D468" t="s">
        <v>24</v>
      </c>
      <c r="E468" t="s">
        <v>240</v>
      </c>
      <c r="F468" t="s">
        <v>73</v>
      </c>
      <c r="H468" t="s">
        <v>112</v>
      </c>
    </row>
    <row r="469" spans="1:8" ns3:dyDescent="0.2">
      <c r="A469" t="s">
        <v>230</v>
      </c>
      <c r="B469">
        <v>6.8460000000000014E-9</v>
      </c>
      <c r="D469" t="s">
        <v>24</v>
      </c>
      <c r="E469" t="s">
        <v>240</v>
      </c>
      <c r="F469" t="s">
        <v>73</v>
      </c>
      <c r="H469" t="s">
        <v>112</v>
      </c>
    </row>
    <row r="470" spans="1:8" ns3:dyDescent="0.2">
      <c r="A470" t="s">
        <v>113</v>
      </c>
      <c r="B470">
        <v>1.7115E-10</v>
      </c>
      <c r="D470" t="s">
        <v>24</v>
      </c>
      <c r="E470" t="s">
        <v>240</v>
      </c>
      <c r="F470" t="s">
        <v>73</v>
      </c>
      <c r="H470" t="s">
        <v>114</v>
      </c>
    </row>
    <row r="471" spans="1:8" ns3:dyDescent="0.2">
      <c r="A471" t="s">
        <v>115</v>
      </c>
      <c r="B471">
        <v>1</v>
      </c>
      <c r="C471" t="s">
        <v>140</v>
      </c>
      <c r="D471" t="s">
        <v>232</v>
      </c>
      <c r="F471" t="s">
        <v>36</v>
      </c>
      <c r="G471" t="s">
        <v>61</v>
      </c>
    </row>
    <row r="473" spans="1:8" ns3:dyDescent="0.2">
      <c r="A473" s="2" t="s">
        <v>0</v>
      </c>
      <c r="B473" s="2" t="s">
        <v>123</v>
      </c>
    </row>
    <row r="474" spans="1:8" ns3:dyDescent="0.2">
      <c r="A474" t="s">
        <v>2</v>
      </c>
      <c r="B474" t="s">
        <v>140</v>
      </c>
    </row>
    <row r="475" spans="1:8" ns3:dyDescent="0.2">
      <c r="A475" t="s">
        <v>4</v>
      </c>
      <c r="B475">
        <v>1</v>
      </c>
    </row>
    <row r="476" spans="1:8" ns3:dyDescent="0.2">
      <c r="A476" t="s">
        <v>5</v>
      </c>
      <c r="B476" t="s">
        <v>61</v>
      </c>
    </row>
    <row r="477" spans="1:8" ns3:dyDescent="0.2">
      <c r="A477" t="s">
        <v>7</v>
      </c>
      <c r="B477" t="s">
        <v>8</v>
      </c>
    </row>
    <row r="478" spans="1:8" ns3:dyDescent="0.2">
      <c r="A478" t="s">
        <v>9</v>
      </c>
      <c r="B478" t="s">
        <v>232</v>
      </c>
    </row>
    <row r="479" spans="1:8" ns3:dyDescent="0.2">
      <c r="A479" t="s">
        <v>15</v>
      </c>
    </row>
    <row r="480" spans="1:8" ns3:dyDescent="0.2">
      <c r="A480" s="2" t="s">
        <v>16</v>
      </c>
      <c r="B480" s="2" t="s">
        <v>17</v>
      </c>
      <c r="C480" s="2" t="s">
        <v>2</v>
      </c>
      <c r="D480" s="2" t="s">
        <v>9</v>
      </c>
      <c r="E480" s="2" t="s">
        <v>18</v>
      </c>
      <c r="F480" s="2" t="s">
        <v>7</v>
      </c>
      <c r="G480" s="2" t="s">
        <v>5</v>
      </c>
      <c r="H480" s="2" t="s">
        <v>14</v>
      </c>
    </row>
    <row r="481" spans="1:8" ns3:dyDescent="0.2">
      <c r="A481" t="s">
        <v>62</v>
      </c>
      <c r="B481">
        <v>1.7115000000000001E-4</v>
      </c>
      <c r="C481" t="s">
        <v>140</v>
      </c>
      <c r="D481" t="s">
        <v>24</v>
      </c>
      <c r="F481" t="s">
        <v>20</v>
      </c>
      <c r="G481" t="s">
        <v>63</v>
      </c>
      <c r="H481" t="s">
        <v>116</v>
      </c>
    </row>
    <row r="482" spans="1:8" ns3:dyDescent="0.2">
      <c r="A482" t="s">
        <v>124</v>
      </c>
      <c r="B482">
        <v>1.9925464431043878E-3</v>
      </c>
      <c r="C482" t="s">
        <v>3</v>
      </c>
      <c r="D482" t="s">
        <v>24</v>
      </c>
      <c r="F482" t="s">
        <v>20</v>
      </c>
      <c r="G482" t="s">
        <v>125</v>
      </c>
      <c r="H482" t="s">
        <v>120</v>
      </c>
    </row>
    <row r="483" spans="1:8" ns3:dyDescent="0.2">
      <c r="A483" t="s">
        <v>45</v>
      </c>
      <c r="B483">
        <v>1.2321999999999999E-9</v>
      </c>
      <c r="C483" t="s">
        <v>3</v>
      </c>
      <c r="D483" t="s">
        <v>9</v>
      </c>
      <c r="F483" t="s">
        <v>20</v>
      </c>
      <c r="G483" t="inlineStr">
        <is>
          <t>locomotive fuel cell, hydrogen</t>
        </is>
      </c>
      <c r="H483"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ZA", as the hydrogen locomotive has similar output power as the diesel-electric train, and it is assumed that diesel trains can used for retrofitting HFC-systems</t>
        </is>
      </c>
    </row>
    <row r="484" spans="1:8" ns3:dyDescent="0.2">
      <c r="A484" t="s">
        <v>129</v>
      </c>
      <c r="B484">
        <v>1.2321999999999999E-9</v>
      </c>
      <c r="C484" t="s">
        <v>3</v>
      </c>
      <c r="D484" t="s">
        <v>9</v>
      </c>
      <c r="F484" t="s">
        <v>20</v>
      </c>
      <c r="G484" t="s">
        <v>67</v>
      </c>
      <c r="H484" t="s">
        <v>145</v>
      </c>
    </row>
    <row r="485" spans="1:8" ns3:dyDescent="0.2">
      <c r="A485" t="s">
        <v>56</v>
      </c>
      <c r="B485">
        <v>8.4190999999999996E-9</v>
      </c>
      <c r="C485" t="s">
        <v>3</v>
      </c>
      <c r="D485" t="s">
        <v>9</v>
      </c>
      <c r="F485" t="s">
        <v>20</v>
      </c>
      <c r="G485" t="s">
        <v>57</v>
      </c>
      <c r="H485" t="s">
        <v>145</v>
      </c>
    </row>
    <row r="486" spans="1:8" ns3:dyDescent="0.2">
      <c r="A486" t="s">
        <v>130</v>
      </c>
      <c r="B486">
        <v>8.4190999999999996E-9</v>
      </c>
      <c r="C486" t="s">
        <v>3</v>
      </c>
      <c r="D486" t="s">
        <v>9</v>
      </c>
      <c r="F486" t="s">
        <v>20</v>
      </c>
      <c r="G486" t="s">
        <v>68</v>
      </c>
      <c r="H486" t="s">
        <v>145</v>
      </c>
    </row>
    <row r="487" spans="1:8" ns3:dyDescent="0.2">
      <c r="A487" t="s">
        <v>69</v>
      </c>
      <c r="B487">
        <v>9.6793000000000007E-5</v>
      </c>
      <c r="C487" t="s">
        <v>3</v>
      </c>
      <c r="D487" t="s">
        <v>70</v>
      </c>
      <c r="F487" t="s">
        <v>20</v>
      </c>
      <c r="G487" t="s">
        <v>71</v>
      </c>
      <c r="H487" t="s">
        <v>145</v>
      </c>
    </row>
    <row r="488" spans="1:8" ns3:dyDescent="0.2">
      <c r="A488" t="s">
        <v>72</v>
      </c>
      <c r="B488">
        <v>3.4230000000000007E-9</v>
      </c>
      <c r="D488" t="s">
        <v>24</v>
      </c>
      <c r="E488" t="s">
        <v>240</v>
      </c>
      <c r="F488" t="s">
        <v>73</v>
      </c>
      <c r="H488" t="s">
        <v>74</v>
      </c>
    </row>
    <row r="489" spans="1:8" ns3:dyDescent="0.2">
      <c r="A489" t="s">
        <v>75</v>
      </c>
      <c r="B489">
        <v>1.7115000000000001E-8</v>
      </c>
      <c r="D489" t="s">
        <v>24</v>
      </c>
      <c r="E489" t="s">
        <v>240</v>
      </c>
      <c r="F489" t="s">
        <v>73</v>
      </c>
      <c r="H489" t="s">
        <v>76</v>
      </c>
    </row>
    <row r="490" spans="1:8" ns3:dyDescent="0.2">
      <c r="A490" t="s">
        <v>77</v>
      </c>
      <c r="B490">
        <v>1.7115000000000001E-12</v>
      </c>
      <c r="D490" t="s">
        <v>24</v>
      </c>
      <c r="E490" t="s">
        <v>240</v>
      </c>
      <c r="F490" t="s">
        <v>73</v>
      </c>
      <c r="H490" t="s">
        <v>78</v>
      </c>
    </row>
    <row r="491" spans="1:8" ns3:dyDescent="0.2">
      <c r="A491" t="s">
        <v>79</v>
      </c>
      <c r="B491">
        <v>5.3843789999999999E-4</v>
      </c>
      <c r="D491" t="s">
        <v>24</v>
      </c>
      <c r="E491" t="s">
        <v>240</v>
      </c>
      <c r="F491" t="s">
        <v>73</v>
      </c>
      <c r="H491" t="s">
        <v>80</v>
      </c>
    </row>
    <row r="492" spans="1:8" ns3:dyDescent="0.2">
      <c r="A492" t="s">
        <v>81</v>
      </c>
      <c r="B492">
        <v>2.7041700000000003E-6</v>
      </c>
      <c r="D492" t="s">
        <v>24</v>
      </c>
      <c r="E492" t="s">
        <v>240</v>
      </c>
      <c r="F492" t="s">
        <v>73</v>
      </c>
      <c r="H492" t="s">
        <v>82</v>
      </c>
    </row>
    <row r="493" spans="1:8" ns3:dyDescent="0.2">
      <c r="A493" t="s">
        <v>83</v>
      </c>
      <c r="B493">
        <v>8.5575000000000002E-12</v>
      </c>
      <c r="D493" t="s">
        <v>24</v>
      </c>
      <c r="E493" t="s">
        <v>240</v>
      </c>
      <c r="F493" t="s">
        <v>73</v>
      </c>
      <c r="H493" t="s">
        <v>84</v>
      </c>
    </row>
    <row r="494" spans="1:8" ns3:dyDescent="0.2">
      <c r="A494" t="s">
        <v>85</v>
      </c>
      <c r="B494">
        <v>2.90955E-10</v>
      </c>
      <c r="D494" t="s">
        <v>24</v>
      </c>
      <c r="E494" t="s">
        <v>240</v>
      </c>
      <c r="F494" t="s">
        <v>73</v>
      </c>
      <c r="H494" t="s">
        <v>86</v>
      </c>
    </row>
    <row r="495" spans="1:8" ns3:dyDescent="0.2">
      <c r="A495" t="s">
        <v>87</v>
      </c>
      <c r="B495">
        <v>1.7115000000000001E-8</v>
      </c>
      <c r="D495" t="s">
        <v>24</v>
      </c>
      <c r="E495" t="s">
        <v>240</v>
      </c>
      <c r="F495" t="s">
        <v>73</v>
      </c>
      <c r="H495" t="s">
        <v>76</v>
      </c>
    </row>
    <row r="496" spans="1:8" ns3:dyDescent="0.2">
      <c r="A496" t="s">
        <v>88</v>
      </c>
      <c r="B496">
        <v>0</v>
      </c>
      <c r="D496" t="s">
        <v>24</v>
      </c>
      <c r="E496" t="s">
        <v>275</v>
      </c>
      <c r="F496" t="s">
        <v>73</v>
      </c>
      <c r="H496" t="s">
        <v>89</v>
      </c>
    </row>
    <row r="497" spans="1:8" ns3:dyDescent="0.2">
      <c r="A497" t="s">
        <v>90</v>
      </c>
      <c r="B497">
        <v>1.8826499999999999E-14</v>
      </c>
      <c r="D497" t="s">
        <v>24</v>
      </c>
      <c r="E497" t="s">
        <v>240</v>
      </c>
      <c r="F497" t="s">
        <v>73</v>
      </c>
      <c r="H497" t="s">
        <v>91</v>
      </c>
    </row>
    <row r="498" spans="1:8" ns3:dyDescent="0.2">
      <c r="A498" t="s">
        <v>92</v>
      </c>
      <c r="B498">
        <v>3.4230000000000002E-15</v>
      </c>
      <c r="D498" t="s">
        <v>24</v>
      </c>
      <c r="E498" t="s">
        <v>240</v>
      </c>
      <c r="F498" t="s">
        <v>73</v>
      </c>
      <c r="H498" t="s">
        <v>93</v>
      </c>
    </row>
    <row r="499" spans="1:8" ns3:dyDescent="0.2">
      <c r="A499" t="s">
        <v>94</v>
      </c>
      <c r="B499">
        <v>2.22495E-8</v>
      </c>
      <c r="D499" t="s">
        <v>24</v>
      </c>
      <c r="E499" t="s">
        <v>240</v>
      </c>
      <c r="F499" t="s">
        <v>73</v>
      </c>
      <c r="H499" t="s">
        <v>95</v>
      </c>
    </row>
    <row r="500" spans="1:8" ns3:dyDescent="0.2">
      <c r="A500" t="s">
        <v>96</v>
      </c>
      <c r="B500">
        <v>8.9853750000000014E-7</v>
      </c>
      <c r="D500" t="s">
        <v>24</v>
      </c>
      <c r="E500" t="s">
        <v>240</v>
      </c>
      <c r="F500" t="s">
        <v>73</v>
      </c>
      <c r="H500" t="s">
        <v>97</v>
      </c>
    </row>
    <row r="501" spans="1:8" ns3:dyDescent="0.2">
      <c r="A501" t="s">
        <v>98</v>
      </c>
      <c r="B501">
        <v>1.1980500000000001E-11</v>
      </c>
      <c r="D501" t="s">
        <v>24</v>
      </c>
      <c r="E501" t="s">
        <v>240</v>
      </c>
      <c r="F501" t="s">
        <v>73</v>
      </c>
      <c r="H501" t="s">
        <v>99</v>
      </c>
    </row>
    <row r="502" spans="1:8" ns3:dyDescent="0.2">
      <c r="A502" t="s">
        <v>100</v>
      </c>
      <c r="B502">
        <v>9.41325E-6</v>
      </c>
      <c r="D502" t="s">
        <v>24</v>
      </c>
      <c r="E502" t="s">
        <v>240</v>
      </c>
      <c r="F502" t="s">
        <v>73</v>
      </c>
      <c r="H502" t="s">
        <v>101</v>
      </c>
    </row>
    <row r="503" spans="1:8" ns3:dyDescent="0.2">
      <c r="A503" t="s">
        <v>102</v>
      </c>
      <c r="B503">
        <v>2.1051450000000002E-7</v>
      </c>
      <c r="D503" t="s">
        <v>24</v>
      </c>
      <c r="E503" t="s">
        <v>240</v>
      </c>
      <c r="F503" t="s">
        <v>73</v>
      </c>
      <c r="H503" t="s">
        <v>103</v>
      </c>
    </row>
    <row r="504" spans="1:8" ns3:dyDescent="0.2">
      <c r="A504" t="s">
        <v>104</v>
      </c>
      <c r="B504">
        <v>1.7709396134999999E-5</v>
      </c>
      <c r="D504" t="s">
        <v>24</v>
      </c>
      <c r="E504" t="s">
        <v>240</v>
      </c>
      <c r="F504" t="s">
        <v>73</v>
      </c>
      <c r="H504" t="s">
        <v>105</v>
      </c>
    </row>
    <row r="505" spans="1:8" ns3:dyDescent="0.2">
      <c r="A505" t="s">
        <v>106</v>
      </c>
      <c r="B505">
        <v>1.6318313050000001E-5</v>
      </c>
      <c r="D505" t="s">
        <v>24</v>
      </c>
      <c r="E505" t="s">
        <v>240</v>
      </c>
      <c r="F505" t="s">
        <v>73</v>
      </c>
      <c r="H505" t="s">
        <v>107</v>
      </c>
    </row>
    <row r="506" spans="1:8" ns3:dyDescent="0.2">
      <c r="A506" t="s">
        <v>108</v>
      </c>
      <c r="B506">
        <v>1.7115000000000001E-12</v>
      </c>
      <c r="D506" t="s">
        <v>24</v>
      </c>
      <c r="E506" t="s">
        <v>240</v>
      </c>
      <c r="F506" t="s">
        <v>73</v>
      </c>
      <c r="H506" t="s">
        <v>78</v>
      </c>
    </row>
    <row r="507" spans="1:8" ns3:dyDescent="0.2">
      <c r="A507" t="s">
        <v>109</v>
      </c>
      <c r="B507">
        <v>1.0269E-7</v>
      </c>
      <c r="D507" t="s">
        <v>24</v>
      </c>
      <c r="E507" t="s">
        <v>240</v>
      </c>
      <c r="F507" t="s">
        <v>73</v>
      </c>
      <c r="H507" t="s">
        <v>110</v>
      </c>
    </row>
    <row r="508" spans="1:8" ns3:dyDescent="0.2">
      <c r="A508" t="s">
        <v>111</v>
      </c>
      <c r="B508">
        <v>6.8460000000000014E-9</v>
      </c>
      <c r="D508" t="s">
        <v>24</v>
      </c>
      <c r="E508" t="s">
        <v>240</v>
      </c>
      <c r="F508" t="s">
        <v>73</v>
      </c>
      <c r="H508" t="s">
        <v>112</v>
      </c>
    </row>
    <row r="509" spans="1:8" ns3:dyDescent="0.2">
      <c r="A509" t="s">
        <v>230</v>
      </c>
      <c r="B509">
        <v>6.8460000000000014E-9</v>
      </c>
      <c r="D509" t="s">
        <v>24</v>
      </c>
      <c r="E509" t="s">
        <v>240</v>
      </c>
      <c r="F509" t="s">
        <v>73</v>
      </c>
      <c r="H509" t="s">
        <v>112</v>
      </c>
    </row>
    <row r="510" spans="1:8" ns3:dyDescent="0.2">
      <c r="A510" t="s">
        <v>113</v>
      </c>
      <c r="B510">
        <v>1.7115E-10</v>
      </c>
      <c r="D510" t="s">
        <v>24</v>
      </c>
      <c r="E510" t="s">
        <v>240</v>
      </c>
      <c r="F510" t="s">
        <v>73</v>
      </c>
      <c r="H510" t="s">
        <v>114</v>
      </c>
    </row>
    <row r="511" spans="1:8" ns3:dyDescent="0.2">
      <c r="A511" t="s">
        <v>123</v>
      </c>
      <c r="B511">
        <v>1</v>
      </c>
      <c r="C511" t="s">
        <v>140</v>
      </c>
      <c r="D511" t="s">
        <v>232</v>
      </c>
      <c r="F511" t="s">
        <v>36</v>
      </c>
      <c r="G511" t="s">
        <v>61</v>
      </c>
    </row>
    <row r="513" spans="1:8" ns3:dyDescent="0.2">
      <c r="A513" s="2" t="s">
        <v>0</v>
      </c>
      <c r="B513" s="2" t="s">
        <v>59</v>
      </c>
    </row>
    <row r="514" spans="1:8" ns3:dyDescent="0.2">
      <c r="A514" t="s">
        <v>2</v>
      </c>
      <c r="B514" t="s">
        <v>146</v>
      </c>
    </row>
    <row r="515" spans="1:8" ns3:dyDescent="0.2">
      <c r="A515" t="s">
        <v>4</v>
      </c>
      <c r="B515">
        <v>1</v>
      </c>
    </row>
    <row r="516" spans="1:8" ns3:dyDescent="0.2">
      <c r="A516" t="s">
        <v>5</v>
      </c>
      <c r="B516" t="s">
        <v>61</v>
      </c>
    </row>
    <row r="517" spans="1:8" ns3:dyDescent="0.2">
      <c r="A517" t="s">
        <v>7</v>
      </c>
      <c r="B517" t="s">
        <v>8</v>
      </c>
    </row>
    <row r="518" spans="1:8" ns3:dyDescent="0.2">
      <c r="A518" t="s">
        <v>9</v>
      </c>
      <c r="B518" t="s">
        <v>232</v>
      </c>
    </row>
    <row r="519" spans="1:8" ns3:dyDescent="0.2">
      <c r="A519" t="s">
        <v>15</v>
      </c>
    </row>
    <row r="520" spans="1:8" ns3:dyDescent="0.2">
      <c r="A520" s="2" t="s">
        <v>16</v>
      </c>
      <c r="B520" s="2" t="s">
        <v>17</v>
      </c>
      <c r="C520" s="2" t="s">
        <v>2</v>
      </c>
      <c r="D520" s="2" t="s">
        <v>9</v>
      </c>
      <c r="E520" s="2" t="s">
        <v>18</v>
      </c>
      <c r="F520" s="2" t="s">
        <v>7</v>
      </c>
      <c r="G520" s="2" t="s">
        <v>5</v>
      </c>
      <c r="H520" s="2" t="s">
        <v>14</v>
      </c>
    </row>
    <row r="521" spans="1:8" ns3:dyDescent="0.2">
      <c r="A521" t="s">
        <v>62</v>
      </c>
      <c r="B521">
        <v>7.0159936707807138E-3</v>
      </c>
      <c r="C521" t="s">
        <v>147</v>
      </c>
      <c r="D521" t="s">
        <v>24</v>
      </c>
      <c r="F521" t="s">
        <v>20</v>
      </c>
      <c r="G521" t="s">
        <v>63</v>
      </c>
      <c r="H521" t="s">
        <v>148</v>
      </c>
    </row>
    <row r="522" spans="1:8" ns3:dyDescent="0.2">
      <c r="A522" t="s">
        <v>1</v>
      </c>
      <c r="B522">
        <v>7.1100000000000003E-10</v>
      </c>
      <c r="C522" t="s">
        <v>3</v>
      </c>
      <c r="D522" t="s">
        <v>9</v>
      </c>
      <c r="F522" t="s">
        <v>20</v>
      </c>
      <c r="G522" t="inlineStr">
        <is>
          <t>locomotive diesel-electric</t>
        </is>
      </c>
      <c r="H522"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US"</t>
        </is>
      </c>
    </row>
    <row r="523" spans="1:8" ns3:dyDescent="0.2">
      <c r="A523" t="s">
        <v>129</v>
      </c>
      <c r="B523">
        <v>7.1100000000000003E-10</v>
      </c>
      <c r="C523" t="s">
        <v>3</v>
      </c>
      <c r="D523" t="s">
        <v>9</v>
      </c>
      <c r="F523" t="s">
        <v>20</v>
      </c>
      <c r="G523" t="s">
        <v>67</v>
      </c>
      <c r="H523" t="s">
        <v>149</v>
      </c>
    </row>
    <row r="524" spans="1:8" ns3:dyDescent="0.2">
      <c r="A524" t="s">
        <v>56</v>
      </c>
      <c r="B524">
        <v>4.5900000000000001E-8</v>
      </c>
      <c r="C524" t="s">
        <v>3</v>
      </c>
      <c r="D524" t="s">
        <v>9</v>
      </c>
      <c r="F524" t="s">
        <v>20</v>
      </c>
      <c r="G524" t="s">
        <v>57</v>
      </c>
      <c r="H524" t="s">
        <v>149</v>
      </c>
    </row>
    <row r="525" spans="1:8" ns3:dyDescent="0.2">
      <c r="A525" t="s">
        <v>130</v>
      </c>
      <c r="B525">
        <v>4.5900000000000001E-8</v>
      </c>
      <c r="C525" t="s">
        <v>3</v>
      </c>
      <c r="D525" t="s">
        <v>9</v>
      </c>
      <c r="F525" t="s">
        <v>20</v>
      </c>
      <c r="G525" t="s">
        <v>68</v>
      </c>
      <c r="H525" t="s">
        <v>149</v>
      </c>
    </row>
    <row r="526" spans="1:8" ns3:dyDescent="0.2">
      <c r="A526" t="s">
        <v>69</v>
      </c>
      <c r="B526">
        <v>9.2999999999999997E-5</v>
      </c>
      <c r="C526" t="s">
        <v>3</v>
      </c>
      <c r="D526" t="s">
        <v>70</v>
      </c>
      <c r="F526" t="s">
        <v>20</v>
      </c>
      <c r="G526" t="s">
        <v>71</v>
      </c>
      <c r="H526" t="s">
        <v>149</v>
      </c>
    </row>
    <row r="527" spans="1:8" ns3:dyDescent="0.2">
      <c r="A527" t="s">
        <v>72</v>
      </c>
      <c r="B527">
        <v>1.2599647124963641E-7</v>
      </c>
      <c r="D527" t="s">
        <v>24</v>
      </c>
      <c r="E527" t="s">
        <v>240</v>
      </c>
      <c r="F527" t="s">
        <v>73</v>
      </c>
      <c r="H527" t="s">
        <v>74</v>
      </c>
    </row>
    <row r="528" spans="1:8" ns3:dyDescent="0.2">
      <c r="A528" t="s">
        <v>75</v>
      </c>
      <c r="B528">
        <v>6.2998235624818209E-7</v>
      </c>
      <c r="D528" t="s">
        <v>24</v>
      </c>
      <c r="E528" t="s">
        <v>240</v>
      </c>
      <c r="F528" t="s">
        <v>73</v>
      </c>
      <c r="H528" t="s">
        <v>76</v>
      </c>
    </row>
    <row r="529" spans="1:8" ns3:dyDescent="0.2">
      <c r="A529" t="s">
        <v>77</v>
      </c>
      <c r="B529">
        <v>6.2998235624818202E-11</v>
      </c>
      <c r="D529" t="s">
        <v>24</v>
      </c>
      <c r="E529" t="s">
        <v>240</v>
      </c>
      <c r="F529" t="s">
        <v>73</v>
      </c>
      <c r="H529" t="s">
        <v>78</v>
      </c>
    </row>
    <row r="530" spans="1:8" ns3:dyDescent="0.2">
      <c r="A530" t="s">
        <v>79</v>
      </c>
      <c r="B530">
        <v>1.9819244927567807E-2</v>
      </c>
      <c r="D530" t="s">
        <v>24</v>
      </c>
      <c r="E530" t="s">
        <v>240</v>
      </c>
      <c r="F530" t="s">
        <v>73</v>
      </c>
      <c r="H530" t="s">
        <v>80</v>
      </c>
    </row>
    <row r="531" spans="1:8" ns3:dyDescent="0.2">
      <c r="A531" t="s">
        <v>81</v>
      </c>
      <c r="B531">
        <v>9.9537212287212771E-5</v>
      </c>
      <c r="D531" t="s">
        <v>24</v>
      </c>
      <c r="E531" t="s">
        <v>240</v>
      </c>
      <c r="F531" t="s">
        <v>73</v>
      </c>
      <c r="H531" t="s">
        <v>82</v>
      </c>
    </row>
    <row r="532" spans="1:8" ns3:dyDescent="0.2">
      <c r="A532" t="s">
        <v>83</v>
      </c>
      <c r="B532">
        <v>3.1499117812409101E-10</v>
      </c>
      <c r="D532" t="s">
        <v>24</v>
      </c>
      <c r="E532" t="s">
        <v>240</v>
      </c>
      <c r="F532" t="s">
        <v>73</v>
      </c>
      <c r="H532" t="s">
        <v>84</v>
      </c>
    </row>
    <row r="533" spans="1:8" ns3:dyDescent="0.2">
      <c r="A533" t="s">
        <v>85</v>
      </c>
      <c r="B533">
        <v>1.0709700056219095E-8</v>
      </c>
      <c r="D533" t="s">
        <v>24</v>
      </c>
      <c r="E533" t="s">
        <v>240</v>
      </c>
      <c r="F533" t="s">
        <v>73</v>
      </c>
      <c r="H533" t="s">
        <v>86</v>
      </c>
    </row>
    <row r="534" spans="1:8" ns3:dyDescent="0.2">
      <c r="A534" t="s">
        <v>87</v>
      </c>
      <c r="B534">
        <v>6.2998235624818209E-7</v>
      </c>
      <c r="D534" t="s">
        <v>24</v>
      </c>
      <c r="E534" t="s">
        <v>240</v>
      </c>
      <c r="F534" t="s">
        <v>73</v>
      </c>
      <c r="H534" t="s">
        <v>76</v>
      </c>
    </row>
    <row r="535" spans="1:8" ns3:dyDescent="0.2">
      <c r="A535" t="s">
        <v>88</v>
      </c>
      <c r="B535">
        <v>1.24E-5</v>
      </c>
      <c r="D535" t="s">
        <v>24</v>
      </c>
      <c r="E535" t="s">
        <v>275</v>
      </c>
      <c r="F535" t="s">
        <v>73</v>
      </c>
      <c r="H535" t="s">
        <v>89</v>
      </c>
    </row>
    <row r="536" spans="1:8" ns3:dyDescent="0.2">
      <c r="A536" t="s">
        <v>90</v>
      </c>
      <c r="B536">
        <v>6.9298059187300015E-13</v>
      </c>
      <c r="D536" t="s">
        <v>24</v>
      </c>
      <c r="E536" t="s">
        <v>240</v>
      </c>
      <c r="F536" t="s">
        <v>73</v>
      </c>
      <c r="H536" t="s">
        <v>91</v>
      </c>
    </row>
    <row r="537" spans="1:8" ns3:dyDescent="0.2">
      <c r="A537" t="s">
        <v>92</v>
      </c>
      <c r="B537">
        <v>1.2599647124963639E-13</v>
      </c>
      <c r="D537" t="s">
        <v>24</v>
      </c>
      <c r="E537" t="s">
        <v>240</v>
      </c>
      <c r="F537" t="s">
        <v>73</v>
      </c>
      <c r="H537" t="s">
        <v>93</v>
      </c>
    </row>
    <row r="538" spans="1:8" ns3:dyDescent="0.2">
      <c r="A538" t="s">
        <v>94</v>
      </c>
      <c r="B538">
        <v>8.1897706312263653E-7</v>
      </c>
      <c r="D538" t="s">
        <v>24</v>
      </c>
      <c r="E538" t="s">
        <v>240</v>
      </c>
      <c r="F538" t="s">
        <v>73</v>
      </c>
      <c r="H538" t="s">
        <v>95</v>
      </c>
    </row>
    <row r="539" spans="1:8" ns3:dyDescent="0.2">
      <c r="A539" t="s">
        <v>96</v>
      </c>
      <c r="B539">
        <v>3.3074073703029555E-5</v>
      </c>
      <c r="D539" t="s">
        <v>24</v>
      </c>
      <c r="E539" t="s">
        <v>240</v>
      </c>
      <c r="F539" t="s">
        <v>73</v>
      </c>
      <c r="H539" t="s">
        <v>97</v>
      </c>
    </row>
    <row r="540" spans="1:8" ns3:dyDescent="0.2">
      <c r="A540" t="s">
        <v>98</v>
      </c>
      <c r="B540">
        <v>4.4098764937372746E-10</v>
      </c>
      <c r="D540" t="s">
        <v>24</v>
      </c>
      <c r="E540" t="s">
        <v>240</v>
      </c>
      <c r="F540" t="s">
        <v>73</v>
      </c>
      <c r="H540" t="s">
        <v>99</v>
      </c>
    </row>
    <row r="541" spans="1:8" ns3:dyDescent="0.2">
      <c r="A541" t="s">
        <v>100</v>
      </c>
      <c r="B541">
        <v>3.464902959365001E-4</v>
      </c>
      <c r="D541" t="s">
        <v>24</v>
      </c>
      <c r="E541" t="s">
        <v>240</v>
      </c>
      <c r="F541" t="s">
        <v>73</v>
      </c>
      <c r="H541" t="s">
        <v>101</v>
      </c>
    </row>
    <row r="542" spans="1:8" ns3:dyDescent="0.2">
      <c r="A542" t="s">
        <v>102</v>
      </c>
      <c r="B542">
        <v>7.7487829818526388E-6</v>
      </c>
      <c r="D542" t="s">
        <v>24</v>
      </c>
      <c r="E542" t="s">
        <v>240</v>
      </c>
      <c r="F542" t="s">
        <v>73</v>
      </c>
      <c r="H542" t="s">
        <v>103</v>
      </c>
    </row>
    <row r="543" spans="1:8" ns3:dyDescent="0.2">
      <c r="A543" t="s">
        <v>104</v>
      </c>
      <c r="B543">
        <v>1.804586031358025E-5</v>
      </c>
      <c r="D543" t="s">
        <v>24</v>
      </c>
      <c r="E543" t="s">
        <v>240</v>
      </c>
      <c r="F543" t="s">
        <v>73</v>
      </c>
      <c r="H543" t="s">
        <v>105</v>
      </c>
    </row>
    <row r="544" spans="1:8" ns3:dyDescent="0.2">
      <c r="A544" t="s">
        <v>106</v>
      </c>
      <c r="B544">
        <v>1.6974081121185555E-5</v>
      </c>
      <c r="D544" t="s">
        <v>24</v>
      </c>
      <c r="E544" t="s">
        <v>240</v>
      </c>
      <c r="F544" t="s">
        <v>73</v>
      </c>
      <c r="H544" t="s">
        <v>107</v>
      </c>
    </row>
    <row r="545" spans="1:8" ns3:dyDescent="0.2">
      <c r="A545" t="s">
        <v>108</v>
      </c>
      <c r="B545">
        <v>6.2998235624818202E-11</v>
      </c>
      <c r="D545" t="s">
        <v>24</v>
      </c>
      <c r="E545" t="s">
        <v>240</v>
      </c>
      <c r="F545" t="s">
        <v>73</v>
      </c>
      <c r="H545" t="s">
        <v>78</v>
      </c>
    </row>
    <row r="546" spans="1:8" ns3:dyDescent="0.2">
      <c r="A546" t="s">
        <v>109</v>
      </c>
      <c r="B546">
        <v>3.7798941374890919E-6</v>
      </c>
      <c r="D546" t="s">
        <v>24</v>
      </c>
      <c r="E546" t="s">
        <v>240</v>
      </c>
      <c r="F546" t="s">
        <v>73</v>
      </c>
      <c r="H546" t="s">
        <v>110</v>
      </c>
    </row>
    <row r="547" spans="1:8" ns3:dyDescent="0.2">
      <c r="A547" t="s">
        <v>111</v>
      </c>
      <c r="B547">
        <v>2.5199294249927282E-7</v>
      </c>
      <c r="D547" t="s">
        <v>24</v>
      </c>
      <c r="E547" t="s">
        <v>240</v>
      </c>
      <c r="F547" t="s">
        <v>73</v>
      </c>
      <c r="H547" t="s">
        <v>112</v>
      </c>
    </row>
    <row r="548" spans="1:8" ns3:dyDescent="0.2">
      <c r="A548" t="s">
        <v>230</v>
      </c>
      <c r="B548">
        <v>2.5199294249927282E-7</v>
      </c>
      <c r="D548" t="s">
        <v>24</v>
      </c>
      <c r="E548" t="s">
        <v>240</v>
      </c>
      <c r="F548" t="s">
        <v>73</v>
      </c>
      <c r="H548" t="s">
        <v>112</v>
      </c>
    </row>
    <row r="549" spans="1:8" ns3:dyDescent="0.2">
      <c r="A549" t="s">
        <v>113</v>
      </c>
      <c r="B549">
        <v>6.2998235624818198E-9</v>
      </c>
      <c r="D549" t="s">
        <v>24</v>
      </c>
      <c r="E549" t="s">
        <v>240</v>
      </c>
      <c r="F549" t="s">
        <v>73</v>
      </c>
      <c r="H549" t="s">
        <v>114</v>
      </c>
    </row>
    <row r="550" spans="1:8" ns3:dyDescent="0.2">
      <c r="A550" t="s">
        <v>59</v>
      </c>
      <c r="B550">
        <v>1</v>
      </c>
      <c r="C550" t="s">
        <v>146</v>
      </c>
      <c r="D550" t="s">
        <v>232</v>
      </c>
      <c r="F550" t="s">
        <v>36</v>
      </c>
      <c r="G550" t="s">
        <v>61</v>
      </c>
    </row>
    <row r="552" spans="1:8" ns3:dyDescent="0.2">
      <c r="A552" s="2" t="s">
        <v>0</v>
      </c>
      <c r="B552" s="2" t="s">
        <v>115</v>
      </c>
    </row>
    <row r="553" spans="1:8" ns3:dyDescent="0.2">
      <c r="A553" t="s">
        <v>2</v>
      </c>
      <c r="B553" t="s">
        <v>146</v>
      </c>
    </row>
    <row r="554" spans="1:8" ns3:dyDescent="0.2">
      <c r="A554" t="s">
        <v>4</v>
      </c>
      <c r="B554">
        <v>1</v>
      </c>
    </row>
    <row r="555" spans="1:8" ns3:dyDescent="0.2">
      <c r="A555" t="s">
        <v>5</v>
      </c>
      <c r="B555" t="s">
        <v>61</v>
      </c>
    </row>
    <row r="556" spans="1:8" ns3:dyDescent="0.2">
      <c r="A556" t="s">
        <v>7</v>
      </c>
      <c r="B556" t="s">
        <v>8</v>
      </c>
    </row>
    <row r="557" spans="1:8" ns3:dyDescent="0.2">
      <c r="A557" t="s">
        <v>9</v>
      </c>
      <c r="B557" t="s">
        <v>232</v>
      </c>
    </row>
    <row r="558" spans="1:8" ns3:dyDescent="0.2">
      <c r="A558" t="s">
        <v>15</v>
      </c>
    </row>
    <row r="559" spans="1:8" ns3:dyDescent="0.2">
      <c r="A559" s="2" t="s">
        <v>16</v>
      </c>
      <c r="B559" s="2" t="s">
        <v>17</v>
      </c>
      <c r="C559" s="2" t="s">
        <v>2</v>
      </c>
      <c r="D559" s="2" t="s">
        <v>9</v>
      </c>
      <c r="E559" s="2" t="s">
        <v>18</v>
      </c>
      <c r="F559" s="2" t="s">
        <v>7</v>
      </c>
      <c r="G559" s="2" t="s">
        <v>5</v>
      </c>
      <c r="H559" s="2" t="s">
        <v>14</v>
      </c>
    </row>
    <row r="560" spans="1:8" ns3:dyDescent="0.2">
      <c r="A560" t="s">
        <v>62</v>
      </c>
      <c r="B560">
        <v>6.7699999999999998E-4</v>
      </c>
      <c r="C560" t="s">
        <v>147</v>
      </c>
      <c r="D560" t="s">
        <v>24</v>
      </c>
      <c r="F560" t="s">
        <v>20</v>
      </c>
      <c r="G560" t="s">
        <v>63</v>
      </c>
      <c r="H560" t="s">
        <v>116</v>
      </c>
    </row>
    <row r="561" spans="1:8" ns3:dyDescent="0.2">
      <c r="A561" t="s">
        <v>117</v>
      </c>
      <c r="B561">
        <v>1.0363264911850798E-2</v>
      </c>
      <c r="C561" t="s">
        <v>146</v>
      </c>
      <c r="D561" t="s">
        <v>118</v>
      </c>
      <c r="F561" t="s">
        <v>20</v>
      </c>
      <c r="G561" t="s">
        <v>119</v>
      </c>
      <c r="H561" t="s">
        <v>150</v>
      </c>
    </row>
    <row r="562" spans="1:8" ns3:dyDescent="0.2">
      <c r="A562" t="s">
        <v>132</v>
      </c>
      <c r="B562">
        <v>1.0363264911850798E-2</v>
      </c>
      <c r="C562" t="s">
        <v>146</v>
      </c>
      <c r="D562" t="s">
        <v>118</v>
      </c>
      <c r="F562" t="s">
        <v>20</v>
      </c>
      <c r="G562" t="s">
        <v>133</v>
      </c>
      <c r="H562" t="s">
        <v>151</v>
      </c>
    </row>
    <row r="563" spans="1:8" ns3:dyDescent="0.2">
      <c r="A563" t="s">
        <v>37</v>
      </c>
      <c r="B563">
        <v>7.1100000000000003E-10</v>
      </c>
      <c r="C563" t="s">
        <v>3</v>
      </c>
      <c r="D563" t="s">
        <v>9</v>
      </c>
      <c r="F563" t="s">
        <v>20</v>
      </c>
      <c r="G563" t="inlineStr">
        <is>
          <t>locomotive electric, catenary</t>
        </is>
      </c>
      <c r="H563"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US"</t>
        </is>
      </c>
    </row>
    <row r="564" spans="1:8" ns3:dyDescent="0.2">
      <c r="A564" t="s">
        <v>129</v>
      </c>
      <c r="B564">
        <v>7.1100000000000003E-10</v>
      </c>
      <c r="C564" t="s">
        <v>3</v>
      </c>
      <c r="D564" t="s">
        <v>9</v>
      </c>
      <c r="F564" t="s">
        <v>20</v>
      </c>
      <c r="G564" t="s">
        <v>67</v>
      </c>
      <c r="H564" t="s">
        <v>149</v>
      </c>
    </row>
    <row r="565" spans="1:8" ns3:dyDescent="0.2">
      <c r="A565" t="s">
        <v>56</v>
      </c>
      <c r="B565">
        <v>4.5900000000000001E-8</v>
      </c>
      <c r="C565" t="s">
        <v>3</v>
      </c>
      <c r="D565" t="s">
        <v>9</v>
      </c>
      <c r="F565" t="s">
        <v>20</v>
      </c>
      <c r="G565" t="s">
        <v>57</v>
      </c>
      <c r="H565" t="s">
        <v>149</v>
      </c>
    </row>
    <row r="566" spans="1:8" ns3:dyDescent="0.2">
      <c r="A566" t="s">
        <v>130</v>
      </c>
      <c r="B566">
        <v>4.5900000000000001E-8</v>
      </c>
      <c r="C566" t="s">
        <v>3</v>
      </c>
      <c r="D566" t="s">
        <v>9</v>
      </c>
      <c r="F566" t="s">
        <v>20</v>
      </c>
      <c r="G566" t="s">
        <v>68</v>
      </c>
      <c r="H566" t="s">
        <v>149</v>
      </c>
    </row>
    <row r="567" spans="1:8" ns3:dyDescent="0.2">
      <c r="A567" t="s">
        <v>69</v>
      </c>
      <c r="B567">
        <v>9.2999999999999997E-5</v>
      </c>
      <c r="C567" t="s">
        <v>3</v>
      </c>
      <c r="D567" t="s">
        <v>70</v>
      </c>
      <c r="F567" t="s">
        <v>20</v>
      </c>
      <c r="G567" t="s">
        <v>71</v>
      </c>
      <c r="H567" t="s">
        <v>149</v>
      </c>
    </row>
    <row r="568" spans="1:8" ns3:dyDescent="0.2">
      <c r="A568" t="s">
        <v>72</v>
      </c>
      <c r="B568">
        <v>1.3540000000000001E-8</v>
      </c>
      <c r="D568" t="s">
        <v>24</v>
      </c>
      <c r="E568" t="s">
        <v>240</v>
      </c>
      <c r="F568" t="s">
        <v>73</v>
      </c>
      <c r="H568" t="s">
        <v>74</v>
      </c>
    </row>
    <row r="569" spans="1:8" ns3:dyDescent="0.2">
      <c r="A569" t="s">
        <v>75</v>
      </c>
      <c r="B569">
        <v>6.7700000000000004E-8</v>
      </c>
      <c r="D569" t="s">
        <v>24</v>
      </c>
      <c r="E569" t="s">
        <v>240</v>
      </c>
      <c r="F569" t="s">
        <v>73</v>
      </c>
      <c r="H569" t="s">
        <v>76</v>
      </c>
    </row>
    <row r="570" spans="1:8" ns3:dyDescent="0.2">
      <c r="A570" t="s">
        <v>77</v>
      </c>
      <c r="B570">
        <v>6.7699999999999996E-12</v>
      </c>
      <c r="D570" t="s">
        <v>24</v>
      </c>
      <c r="E570" t="s">
        <v>240</v>
      </c>
      <c r="F570" t="s">
        <v>73</v>
      </c>
      <c r="H570" t="s">
        <v>78</v>
      </c>
    </row>
    <row r="571" spans="1:8" ns3:dyDescent="0.2">
      <c r="A571" t="s">
        <v>79</v>
      </c>
      <c r="B571">
        <v>2.1298419999999998E-3</v>
      </c>
      <c r="D571" t="s">
        <v>24</v>
      </c>
      <c r="E571" t="s">
        <v>240</v>
      </c>
      <c r="F571" t="s">
        <v>73</v>
      </c>
      <c r="H571" t="s">
        <v>80</v>
      </c>
    </row>
    <row r="572" spans="1:8" ns3:dyDescent="0.2">
      <c r="A572" t="s">
        <v>81</v>
      </c>
      <c r="B572">
        <v>1.06966E-5</v>
      </c>
      <c r="D572" t="s">
        <v>24</v>
      </c>
      <c r="E572" t="s">
        <v>240</v>
      </c>
      <c r="F572" t="s">
        <v>73</v>
      </c>
      <c r="H572" t="s">
        <v>82</v>
      </c>
    </row>
    <row r="573" spans="1:8" ns3:dyDescent="0.2">
      <c r="A573" t="s">
        <v>83</v>
      </c>
      <c r="B573">
        <v>3.3849999999999998E-11</v>
      </c>
      <c r="D573" t="s">
        <v>24</v>
      </c>
      <c r="E573" t="s">
        <v>240</v>
      </c>
      <c r="F573" t="s">
        <v>73</v>
      </c>
      <c r="H573" t="s">
        <v>84</v>
      </c>
    </row>
    <row r="574" spans="1:8" ns3:dyDescent="0.2">
      <c r="A574" t="s">
        <v>85</v>
      </c>
      <c r="B574">
        <v>1.1509E-9</v>
      </c>
      <c r="D574" t="s">
        <v>24</v>
      </c>
      <c r="E574" t="s">
        <v>240</v>
      </c>
      <c r="F574" t="s">
        <v>73</v>
      </c>
      <c r="H574" t="s">
        <v>86</v>
      </c>
    </row>
    <row r="575" spans="1:8" ns3:dyDescent="0.2">
      <c r="A575" t="s">
        <v>87</v>
      </c>
      <c r="B575">
        <v>6.7700000000000004E-8</v>
      </c>
      <c r="D575" t="s">
        <v>24</v>
      </c>
      <c r="E575" t="s">
        <v>240</v>
      </c>
      <c r="F575" t="s">
        <v>73</v>
      </c>
      <c r="H575" t="s">
        <v>76</v>
      </c>
    </row>
    <row r="576" spans="1:8" ns3:dyDescent="0.2">
      <c r="A576" t="s">
        <v>88</v>
      </c>
      <c r="B576">
        <v>1.24E-5</v>
      </c>
      <c r="D576" t="s">
        <v>24</v>
      </c>
      <c r="E576" t="s">
        <v>275</v>
      </c>
      <c r="F576" t="s">
        <v>73</v>
      </c>
      <c r="H576" t="s">
        <v>89</v>
      </c>
    </row>
    <row r="577" spans="1:8" ns3:dyDescent="0.2">
      <c r="A577" t="s">
        <v>90</v>
      </c>
      <c r="B577">
        <v>7.4469999999999997E-14</v>
      </c>
      <c r="D577" t="s">
        <v>24</v>
      </c>
      <c r="E577" t="s">
        <v>240</v>
      </c>
      <c r="F577" t="s">
        <v>73</v>
      </c>
      <c r="H577" t="s">
        <v>91</v>
      </c>
    </row>
    <row r="578" spans="1:8" ns3:dyDescent="0.2">
      <c r="A578" t="s">
        <v>92</v>
      </c>
      <c r="B578">
        <v>1.3539999999999998E-14</v>
      </c>
      <c r="D578" t="s">
        <v>24</v>
      </c>
      <c r="E578" t="s">
        <v>240</v>
      </c>
      <c r="F578" t="s">
        <v>73</v>
      </c>
      <c r="H578" t="s">
        <v>93</v>
      </c>
    </row>
    <row r="579" spans="1:8" ns3:dyDescent="0.2">
      <c r="A579" t="s">
        <v>94</v>
      </c>
      <c r="B579">
        <v>8.8009999999999992E-8</v>
      </c>
      <c r="D579" t="s">
        <v>24</v>
      </c>
      <c r="E579" t="s">
        <v>240</v>
      </c>
      <c r="F579" t="s">
        <v>73</v>
      </c>
      <c r="H579" t="s">
        <v>95</v>
      </c>
    </row>
    <row r="580" spans="1:8" ns3:dyDescent="0.2">
      <c r="A580" t="s">
        <v>96</v>
      </c>
      <c r="B580">
        <v>3.5542499999999999E-6</v>
      </c>
      <c r="D580" t="s">
        <v>24</v>
      </c>
      <c r="E580" t="s">
        <v>240</v>
      </c>
      <c r="F580" t="s">
        <v>73</v>
      </c>
      <c r="H580" t="s">
        <v>97</v>
      </c>
    </row>
    <row r="581" spans="1:8" ns3:dyDescent="0.2">
      <c r="A581" t="s">
        <v>98</v>
      </c>
      <c r="B581">
        <v>4.7390000000000004E-11</v>
      </c>
      <c r="D581" t="s">
        <v>24</v>
      </c>
      <c r="E581" t="s">
        <v>240</v>
      </c>
      <c r="F581" t="s">
        <v>73</v>
      </c>
      <c r="H581" t="s">
        <v>99</v>
      </c>
    </row>
    <row r="582" spans="1:8" ns3:dyDescent="0.2">
      <c r="A582" t="s">
        <v>100</v>
      </c>
      <c r="B582">
        <v>3.7234999999999998E-5</v>
      </c>
      <c r="D582" t="s">
        <v>24</v>
      </c>
      <c r="E582" t="s">
        <v>240</v>
      </c>
      <c r="F582" t="s">
        <v>73</v>
      </c>
      <c r="H582" t="s">
        <v>101</v>
      </c>
    </row>
    <row r="583" spans="1:8" ns3:dyDescent="0.2">
      <c r="A583" t="s">
        <v>102</v>
      </c>
      <c r="B583">
        <v>8.3270999999999994E-7</v>
      </c>
      <c r="D583" t="s">
        <v>24</v>
      </c>
      <c r="E583" t="s">
        <v>240</v>
      </c>
      <c r="F583" t="s">
        <v>73</v>
      </c>
      <c r="H583" t="s">
        <v>103</v>
      </c>
    </row>
    <row r="584" spans="1:8" ns3:dyDescent="0.2">
      <c r="A584" t="s">
        <v>104</v>
      </c>
      <c r="B584">
        <v>1.7737167300000001E-5</v>
      </c>
      <c r="D584" t="s">
        <v>24</v>
      </c>
      <c r="E584" t="s">
        <v>240</v>
      </c>
      <c r="F584" t="s">
        <v>73</v>
      </c>
      <c r="H584" t="s">
        <v>105</v>
      </c>
    </row>
    <row r="585" spans="1:8" ns3:dyDescent="0.2">
      <c r="A585" t="s">
        <v>106</v>
      </c>
      <c r="B585">
        <v>1.6372438999999999E-5</v>
      </c>
      <c r="D585" t="s">
        <v>24</v>
      </c>
      <c r="E585" t="s">
        <v>240</v>
      </c>
      <c r="F585" t="s">
        <v>73</v>
      </c>
      <c r="H585" t="s">
        <v>107</v>
      </c>
    </row>
    <row r="586" spans="1:8" ns3:dyDescent="0.2">
      <c r="A586" t="s">
        <v>108</v>
      </c>
      <c r="B586">
        <v>6.7699999999999996E-12</v>
      </c>
      <c r="D586" t="s">
        <v>24</v>
      </c>
      <c r="E586" t="s">
        <v>240</v>
      </c>
      <c r="F586" t="s">
        <v>73</v>
      </c>
      <c r="H586" t="s">
        <v>78</v>
      </c>
    </row>
    <row r="587" spans="1:8" ns3:dyDescent="0.2">
      <c r="A587" t="s">
        <v>109</v>
      </c>
      <c r="B587">
        <v>4.0619999999999997E-7</v>
      </c>
      <c r="D587" t="s">
        <v>24</v>
      </c>
      <c r="E587" t="s">
        <v>240</v>
      </c>
      <c r="F587" t="s">
        <v>73</v>
      </c>
      <c r="H587" t="s">
        <v>110</v>
      </c>
    </row>
    <row r="588" spans="1:8" ns3:dyDescent="0.2">
      <c r="A588" t="s">
        <v>231</v>
      </c>
      <c r="B588">
        <v>3.1399999999999999E-9</v>
      </c>
      <c r="D588" t="s">
        <v>24</v>
      </c>
      <c r="E588" t="s">
        <v>240</v>
      </c>
      <c r="F588" t="s">
        <v>73</v>
      </c>
      <c r="H588" t="s">
        <v>122</v>
      </c>
    </row>
    <row r="589" spans="1:8" ns3:dyDescent="0.2">
      <c r="A589" t="s">
        <v>111</v>
      </c>
      <c r="B589">
        <v>2.7080000000000002E-8</v>
      </c>
      <c r="D589" t="s">
        <v>24</v>
      </c>
      <c r="E589" t="s">
        <v>240</v>
      </c>
      <c r="F589" t="s">
        <v>73</v>
      </c>
      <c r="H589" t="s">
        <v>112</v>
      </c>
    </row>
    <row r="590" spans="1:8" ns3:dyDescent="0.2">
      <c r="A590" t="s">
        <v>230</v>
      </c>
      <c r="B590">
        <v>2.7080000000000002E-8</v>
      </c>
      <c r="D590" t="s">
        <v>24</v>
      </c>
      <c r="E590" t="s">
        <v>240</v>
      </c>
      <c r="F590" t="s">
        <v>73</v>
      </c>
      <c r="H590" t="s">
        <v>112</v>
      </c>
    </row>
    <row r="591" spans="1:8" ns3:dyDescent="0.2">
      <c r="A591" t="s">
        <v>113</v>
      </c>
      <c r="B591">
        <v>6.7699999999999994E-10</v>
      </c>
      <c r="D591" t="s">
        <v>24</v>
      </c>
      <c r="E591" t="s">
        <v>240</v>
      </c>
      <c r="F591" t="s">
        <v>73</v>
      </c>
      <c r="H591" t="s">
        <v>114</v>
      </c>
    </row>
    <row r="592" spans="1:8" ns3:dyDescent="0.2">
      <c r="A592" t="s">
        <v>115</v>
      </c>
      <c r="B592">
        <v>1</v>
      </c>
      <c r="C592" t="s">
        <v>146</v>
      </c>
      <c r="D592" t="s">
        <v>232</v>
      </c>
      <c r="F592" t="s">
        <v>36</v>
      </c>
      <c r="G592" t="s">
        <v>61</v>
      </c>
    </row>
    <row r="594" spans="1:8" ns3:dyDescent="0.2">
      <c r="A594" s="2" t="s">
        <v>0</v>
      </c>
      <c r="B594" s="2" t="s">
        <v>123</v>
      </c>
    </row>
    <row r="595" spans="1:8" ns3:dyDescent="0.2">
      <c r="A595" t="s">
        <v>2</v>
      </c>
      <c r="B595" t="s">
        <v>146</v>
      </c>
    </row>
    <row r="596" spans="1:8" ns3:dyDescent="0.2">
      <c r="A596" t="s">
        <v>4</v>
      </c>
      <c r="B596">
        <v>1</v>
      </c>
    </row>
    <row r="597" spans="1:8" ns3:dyDescent="0.2">
      <c r="A597" t="s">
        <v>5</v>
      </c>
      <c r="B597" t="s">
        <v>61</v>
      </c>
    </row>
    <row r="598" spans="1:8" ns3:dyDescent="0.2">
      <c r="A598" t="s">
        <v>7</v>
      </c>
      <c r="B598" t="s">
        <v>8</v>
      </c>
    </row>
    <row r="599" spans="1:8" ns3:dyDescent="0.2">
      <c r="A599" t="s">
        <v>9</v>
      </c>
      <c r="B599" t="s">
        <v>232</v>
      </c>
    </row>
    <row r="600" spans="1:8" ns3:dyDescent="0.2">
      <c r="A600" t="s">
        <v>15</v>
      </c>
    </row>
    <row r="601" spans="1:8" ns3:dyDescent="0.2">
      <c r="A601" s="2" t="s">
        <v>16</v>
      </c>
      <c r="B601" s="2" t="s">
        <v>17</v>
      </c>
      <c r="C601" s="2" t="s">
        <v>2</v>
      </c>
      <c r="D601" s="2" t="s">
        <v>9</v>
      </c>
      <c r="E601" s="2" t="s">
        <v>18</v>
      </c>
      <c r="F601" s="2" t="s">
        <v>7</v>
      </c>
      <c r="G601" s="2" t="s">
        <v>5</v>
      </c>
      <c r="H601" s="2" t="s">
        <v>14</v>
      </c>
    </row>
    <row r="602" spans="1:8" ns3:dyDescent="0.2">
      <c r="A602" t="s">
        <v>62</v>
      </c>
      <c r="B602">
        <v>6.7699999999999998E-4</v>
      </c>
      <c r="C602" t="s">
        <v>147</v>
      </c>
      <c r="D602" t="s">
        <v>24</v>
      </c>
      <c r="F602" t="s">
        <v>20</v>
      </c>
      <c r="G602" t="s">
        <v>63</v>
      </c>
      <c r="H602" t="s">
        <v>116</v>
      </c>
    </row>
    <row r="603" spans="1:8" ns3:dyDescent="0.2">
      <c r="A603" t="s">
        <v>124</v>
      </c>
      <c r="B603">
        <v>3.1076792304095663E-3</v>
      </c>
      <c r="C603" t="s">
        <v>3</v>
      </c>
      <c r="D603" t="s">
        <v>24</v>
      </c>
      <c r="F603" t="s">
        <v>20</v>
      </c>
      <c r="G603" t="s">
        <v>125</v>
      </c>
      <c r="H603" t="s">
        <v>120</v>
      </c>
    </row>
    <row r="604" spans="1:8" ns3:dyDescent="0.2">
      <c r="A604" t="s">
        <v>45</v>
      </c>
      <c r="B604">
        <v>7.1100000000000003E-10</v>
      </c>
      <c r="C604" t="s">
        <v>3</v>
      </c>
      <c r="D604" t="s">
        <v>9</v>
      </c>
      <c r="F604" t="s">
        <v>20</v>
      </c>
      <c r="G604" t="inlineStr">
        <is>
          <t>locomotive fuel cell, hydrogen</t>
        </is>
      </c>
      <c r="H604"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US" as the hydrogen locomotive has similar output power as the diesel-electric train, and it is assumed that diesel trains can used for retrofitting HFC-systems</t>
        </is>
      </c>
    </row>
    <row r="605" spans="1:8" ns3:dyDescent="0.2">
      <c r="A605" t="s">
        <v>129</v>
      </c>
      <c r="B605">
        <v>7.1100000000000003E-10</v>
      </c>
      <c r="C605" t="s">
        <v>3</v>
      </c>
      <c r="D605" t="s">
        <v>9</v>
      </c>
      <c r="F605" t="s">
        <v>20</v>
      </c>
      <c r="G605" t="s">
        <v>67</v>
      </c>
      <c r="H605" t="s">
        <v>152</v>
      </c>
    </row>
    <row r="606" spans="1:8" ns3:dyDescent="0.2">
      <c r="A606" t="s">
        <v>56</v>
      </c>
      <c r="B606">
        <v>4.5900000000000001E-8</v>
      </c>
      <c r="C606" t="s">
        <v>3</v>
      </c>
      <c r="D606" t="s">
        <v>9</v>
      </c>
      <c r="F606" t="s">
        <v>20</v>
      </c>
      <c r="G606" t="s">
        <v>57</v>
      </c>
      <c r="H606" t="s">
        <v>152</v>
      </c>
    </row>
    <row r="607" spans="1:8" ns3:dyDescent="0.2">
      <c r="A607" t="s">
        <v>130</v>
      </c>
      <c r="B607">
        <v>4.5900000000000001E-8</v>
      </c>
      <c r="C607" t="s">
        <v>3</v>
      </c>
      <c r="D607" t="s">
        <v>9</v>
      </c>
      <c r="F607" t="s">
        <v>20</v>
      </c>
      <c r="G607" t="s">
        <v>68</v>
      </c>
      <c r="H607" t="s">
        <v>152</v>
      </c>
    </row>
    <row r="608" spans="1:8" ns3:dyDescent="0.2">
      <c r="A608" t="s">
        <v>69</v>
      </c>
      <c r="B608">
        <v>9.2999999999999997E-5</v>
      </c>
      <c r="C608" t="s">
        <v>3</v>
      </c>
      <c r="D608" t="s">
        <v>70</v>
      </c>
      <c r="F608" t="s">
        <v>20</v>
      </c>
      <c r="G608" t="s">
        <v>71</v>
      </c>
      <c r="H608" t="s">
        <v>152</v>
      </c>
    </row>
    <row r="609" spans="1:8" ns3:dyDescent="0.2">
      <c r="A609" t="s">
        <v>72</v>
      </c>
      <c r="B609">
        <v>1.3540000000000001E-8</v>
      </c>
      <c r="D609" t="s">
        <v>24</v>
      </c>
      <c r="E609" t="s">
        <v>240</v>
      </c>
      <c r="F609" t="s">
        <v>73</v>
      </c>
      <c r="H609" t="s">
        <v>74</v>
      </c>
    </row>
    <row r="610" spans="1:8" ns3:dyDescent="0.2">
      <c r="A610" t="s">
        <v>75</v>
      </c>
      <c r="B610">
        <v>6.7700000000000004E-8</v>
      </c>
      <c r="D610" t="s">
        <v>24</v>
      </c>
      <c r="E610" t="s">
        <v>240</v>
      </c>
      <c r="F610" t="s">
        <v>73</v>
      </c>
      <c r="H610" t="s">
        <v>76</v>
      </c>
    </row>
    <row r="611" spans="1:8" ns3:dyDescent="0.2">
      <c r="A611" t="s">
        <v>77</v>
      </c>
      <c r="B611">
        <v>6.7699999999999996E-12</v>
      </c>
      <c r="D611" t="s">
        <v>24</v>
      </c>
      <c r="E611" t="s">
        <v>240</v>
      </c>
      <c r="F611" t="s">
        <v>73</v>
      </c>
      <c r="H611" t="s">
        <v>78</v>
      </c>
    </row>
    <row r="612" spans="1:8" ns3:dyDescent="0.2">
      <c r="A612" t="s">
        <v>79</v>
      </c>
      <c r="B612">
        <v>2.1298419999999998E-3</v>
      </c>
      <c r="D612" t="s">
        <v>24</v>
      </c>
      <c r="E612" t="s">
        <v>240</v>
      </c>
      <c r="F612" t="s">
        <v>73</v>
      </c>
      <c r="H612" t="s">
        <v>80</v>
      </c>
    </row>
    <row r="613" spans="1:8" ns3:dyDescent="0.2">
      <c r="A613" t="s">
        <v>81</v>
      </c>
      <c r="B613">
        <v>1.06966E-5</v>
      </c>
      <c r="D613" t="s">
        <v>24</v>
      </c>
      <c r="E613" t="s">
        <v>240</v>
      </c>
      <c r="F613" t="s">
        <v>73</v>
      </c>
      <c r="H613" t="s">
        <v>82</v>
      </c>
    </row>
    <row r="614" spans="1:8" ns3:dyDescent="0.2">
      <c r="A614" t="s">
        <v>83</v>
      </c>
      <c r="B614">
        <v>3.3849999999999998E-11</v>
      </c>
      <c r="D614" t="s">
        <v>24</v>
      </c>
      <c r="E614" t="s">
        <v>240</v>
      </c>
      <c r="F614" t="s">
        <v>73</v>
      </c>
      <c r="H614" t="s">
        <v>84</v>
      </c>
    </row>
    <row r="615" spans="1:8" ns3:dyDescent="0.2">
      <c r="A615" t="s">
        <v>85</v>
      </c>
      <c r="B615">
        <v>1.1509E-9</v>
      </c>
      <c r="D615" t="s">
        <v>24</v>
      </c>
      <c r="E615" t="s">
        <v>240</v>
      </c>
      <c r="F615" t="s">
        <v>73</v>
      </c>
      <c r="H615" t="s">
        <v>86</v>
      </c>
    </row>
    <row r="616" spans="1:8" ns3:dyDescent="0.2">
      <c r="A616" t="s">
        <v>87</v>
      </c>
      <c r="B616">
        <v>6.7700000000000004E-8</v>
      </c>
      <c r="D616" t="s">
        <v>24</v>
      </c>
      <c r="E616" t="s">
        <v>240</v>
      </c>
      <c r="F616" t="s">
        <v>73</v>
      </c>
      <c r="H616" t="s">
        <v>76</v>
      </c>
    </row>
    <row r="617" spans="1:8" ns3:dyDescent="0.2">
      <c r="A617" t="s">
        <v>88</v>
      </c>
      <c r="B617">
        <v>0</v>
      </c>
      <c r="D617" t="s">
        <v>24</v>
      </c>
      <c r="E617" t="s">
        <v>275</v>
      </c>
      <c r="F617" t="s">
        <v>73</v>
      </c>
      <c r="H617" t="s">
        <v>89</v>
      </c>
    </row>
    <row r="618" spans="1:8" ns3:dyDescent="0.2">
      <c r="A618" t="s">
        <v>90</v>
      </c>
      <c r="B618">
        <v>7.4469999999999997E-14</v>
      </c>
      <c r="D618" t="s">
        <v>24</v>
      </c>
      <c r="E618" t="s">
        <v>240</v>
      </c>
      <c r="F618" t="s">
        <v>73</v>
      </c>
      <c r="H618" t="s">
        <v>91</v>
      </c>
    </row>
    <row r="619" spans="1:8" ns3:dyDescent="0.2">
      <c r="A619" t="s">
        <v>92</v>
      </c>
      <c r="B619">
        <v>1.3539999999999998E-14</v>
      </c>
      <c r="D619" t="s">
        <v>24</v>
      </c>
      <c r="E619" t="s">
        <v>240</v>
      </c>
      <c r="F619" t="s">
        <v>73</v>
      </c>
      <c r="H619" t="s">
        <v>93</v>
      </c>
    </row>
    <row r="620" spans="1:8" ns3:dyDescent="0.2">
      <c r="A620" t="s">
        <v>94</v>
      </c>
      <c r="B620">
        <v>8.8009999999999992E-8</v>
      </c>
      <c r="D620" t="s">
        <v>24</v>
      </c>
      <c r="E620" t="s">
        <v>240</v>
      </c>
      <c r="F620" t="s">
        <v>73</v>
      </c>
      <c r="H620" t="s">
        <v>95</v>
      </c>
    </row>
    <row r="621" spans="1:8" ns3:dyDescent="0.2">
      <c r="A621" t="s">
        <v>96</v>
      </c>
      <c r="B621">
        <v>3.5542499999999999E-6</v>
      </c>
      <c r="D621" t="s">
        <v>24</v>
      </c>
      <c r="E621" t="s">
        <v>240</v>
      </c>
      <c r="F621" t="s">
        <v>73</v>
      </c>
      <c r="H621" t="s">
        <v>97</v>
      </c>
    </row>
    <row r="622" spans="1:8" ns3:dyDescent="0.2">
      <c r="A622" t="s">
        <v>98</v>
      </c>
      <c r="B622">
        <v>4.7390000000000004E-11</v>
      </c>
      <c r="D622" t="s">
        <v>24</v>
      </c>
      <c r="E622" t="s">
        <v>240</v>
      </c>
      <c r="F622" t="s">
        <v>73</v>
      </c>
      <c r="H622" t="s">
        <v>99</v>
      </c>
    </row>
    <row r="623" spans="1:8" ns3:dyDescent="0.2">
      <c r="A623" t="s">
        <v>100</v>
      </c>
      <c r="B623">
        <v>3.7234999999999998E-5</v>
      </c>
      <c r="D623" t="s">
        <v>24</v>
      </c>
      <c r="E623" t="s">
        <v>240</v>
      </c>
      <c r="F623" t="s">
        <v>73</v>
      </c>
      <c r="H623" t="s">
        <v>101</v>
      </c>
    </row>
    <row r="624" spans="1:8" ns3:dyDescent="0.2">
      <c r="A624" t="s">
        <v>102</v>
      </c>
      <c r="B624">
        <v>8.3270999999999994E-7</v>
      </c>
      <c r="D624" t="s">
        <v>24</v>
      </c>
      <c r="E624" t="s">
        <v>240</v>
      </c>
      <c r="F624" t="s">
        <v>73</v>
      </c>
      <c r="H624" t="s">
        <v>103</v>
      </c>
    </row>
    <row r="625" spans="1:8" ns3:dyDescent="0.2">
      <c r="A625" t="s">
        <v>104</v>
      </c>
      <c r="B625">
        <v>1.7737167300000001E-5</v>
      </c>
      <c r="D625" t="s">
        <v>24</v>
      </c>
      <c r="E625" t="s">
        <v>240</v>
      </c>
      <c r="F625" t="s">
        <v>73</v>
      </c>
      <c r="H625" t="s">
        <v>105</v>
      </c>
    </row>
    <row r="626" spans="1:8" ns3:dyDescent="0.2">
      <c r="A626" t="s">
        <v>106</v>
      </c>
      <c r="B626">
        <v>1.6372438999999999E-5</v>
      </c>
      <c r="D626" t="s">
        <v>24</v>
      </c>
      <c r="E626" t="s">
        <v>240</v>
      </c>
      <c r="F626" t="s">
        <v>73</v>
      </c>
      <c r="H626" t="s">
        <v>107</v>
      </c>
    </row>
    <row r="627" spans="1:8" ns3:dyDescent="0.2">
      <c r="A627" t="s">
        <v>108</v>
      </c>
      <c r="B627">
        <v>6.7699999999999996E-12</v>
      </c>
      <c r="D627" t="s">
        <v>24</v>
      </c>
      <c r="E627" t="s">
        <v>240</v>
      </c>
      <c r="F627" t="s">
        <v>73</v>
      </c>
      <c r="H627" t="s">
        <v>78</v>
      </c>
    </row>
    <row r="628" spans="1:8" ns3:dyDescent="0.2">
      <c r="A628" t="s">
        <v>109</v>
      </c>
      <c r="B628">
        <v>4.0619999999999997E-7</v>
      </c>
      <c r="D628" t="s">
        <v>24</v>
      </c>
      <c r="E628" t="s">
        <v>240</v>
      </c>
      <c r="F628" t="s">
        <v>73</v>
      </c>
      <c r="H628" t="s">
        <v>110</v>
      </c>
    </row>
    <row r="629" spans="1:8" ns3:dyDescent="0.2">
      <c r="A629" t="s">
        <v>111</v>
      </c>
      <c r="B629">
        <v>2.7080000000000002E-8</v>
      </c>
      <c r="D629" t="s">
        <v>24</v>
      </c>
      <c r="E629" t="s">
        <v>240</v>
      </c>
      <c r="F629" t="s">
        <v>73</v>
      </c>
      <c r="H629" t="s">
        <v>112</v>
      </c>
    </row>
    <row r="630" spans="1:8" ns3:dyDescent="0.2">
      <c r="A630" t="s">
        <v>230</v>
      </c>
      <c r="B630">
        <v>2.7080000000000002E-8</v>
      </c>
      <c r="D630" t="s">
        <v>24</v>
      </c>
      <c r="E630" t="s">
        <v>240</v>
      </c>
      <c r="F630" t="s">
        <v>73</v>
      </c>
      <c r="H630" t="s">
        <v>112</v>
      </c>
    </row>
    <row r="631" spans="1:8" ns3:dyDescent="0.2">
      <c r="A631" t="s">
        <v>113</v>
      </c>
      <c r="B631">
        <v>6.7699999999999994E-10</v>
      </c>
      <c r="D631" t="s">
        <v>24</v>
      </c>
      <c r="E631" t="s">
        <v>240</v>
      </c>
      <c r="F631" t="s">
        <v>73</v>
      </c>
      <c r="H631" t="s">
        <v>114</v>
      </c>
    </row>
    <row r="632" spans="1:8" ns3:dyDescent="0.2">
      <c r="A632" t="s">
        <v>123</v>
      </c>
      <c r="B632">
        <v>1</v>
      </c>
      <c r="C632" t="s">
        <v>146</v>
      </c>
      <c r="D632" t="s">
        <v>232</v>
      </c>
      <c r="F632" t="s">
        <v>36</v>
      </c>
      <c r="G632" t="s">
        <v>61</v>
      </c>
    </row>
    <row r="634" spans="1:8" ns3:dyDescent="0.2">
      <c r="A634" s="2" t="s">
        <v>0</v>
      </c>
      <c r="B634" s="2" t="s">
        <v>59</v>
      </c>
    </row>
    <row r="635" spans="1:8" ns3:dyDescent="0.2">
      <c r="A635" t="s">
        <v>2</v>
      </c>
      <c r="B635" t="s">
        <v>147</v>
      </c>
    </row>
    <row r="636" spans="1:8" ns3:dyDescent="0.2">
      <c r="A636" t="s">
        <v>4</v>
      </c>
      <c r="B636">
        <v>1</v>
      </c>
    </row>
    <row r="637" spans="1:8" ns3:dyDescent="0.2">
      <c r="A637" t="s">
        <v>5</v>
      </c>
      <c r="B637" t="s">
        <v>61</v>
      </c>
    </row>
    <row r="638" spans="1:8" ns3:dyDescent="0.2">
      <c r="A638" t="s">
        <v>7</v>
      </c>
      <c r="B638" t="s">
        <v>8</v>
      </c>
    </row>
    <row r="639" spans="1:8" ns3:dyDescent="0.2">
      <c r="A639" t="s">
        <v>9</v>
      </c>
      <c r="B639" t="s">
        <v>232</v>
      </c>
    </row>
    <row r="640" spans="1:8" ns3:dyDescent="0.2">
      <c r="A640" t="s">
        <v>15</v>
      </c>
    </row>
    <row r="641" spans="1:8" ns3:dyDescent="0.2">
      <c r="A641" s="2" t="s">
        <v>16</v>
      </c>
      <c r="B641" s="2" t="s">
        <v>17</v>
      </c>
      <c r="C641" s="2" t="s">
        <v>2</v>
      </c>
      <c r="D641" s="2" t="s">
        <v>9</v>
      </c>
      <c r="E641" s="2" t="s">
        <v>18</v>
      </c>
      <c r="F641" s="2" t="s">
        <v>7</v>
      </c>
      <c r="G641" s="2" t="s">
        <v>5</v>
      </c>
      <c r="H641" s="2" t="s">
        <v>14</v>
      </c>
    </row>
    <row r="642" spans="1:8" ns3:dyDescent="0.2">
      <c r="A642" t="s">
        <v>233</v>
      </c>
      <c r="B642">
        <v>8.4192230586016235E-3</v>
      </c>
      <c r="C642" t="s">
        <v>3</v>
      </c>
      <c r="D642" t="s">
        <v>24</v>
      </c>
      <c r="F642" t="s">
        <v>20</v>
      </c>
      <c r="G642" t="s">
        <v>63</v>
      </c>
      <c r="H642" t="s">
        <v>64</v>
      </c>
    </row>
    <row r="643" spans="1:8" ns3:dyDescent="0.2">
      <c r="A643" t="s">
        <v>1</v>
      </c>
      <c r="B643">
        <v>7.1100000000000003E-10</v>
      </c>
      <c r="C643" t="s">
        <v>3</v>
      </c>
      <c r="D643" t="s">
        <v>9</v>
      </c>
      <c r="F643" t="s">
        <v>20</v>
      </c>
      <c r="G643" t="inlineStr">
        <is>
          <t>locomotive diesel-electric</t>
        </is>
      </c>
      <c r="H643"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RoW"</t>
        </is>
      </c>
    </row>
    <row r="644" spans="1:8" ns3:dyDescent="0.2">
      <c r="A644" t="s">
        <v>129</v>
      </c>
      <c r="B644">
        <v>7.1100000000000003E-10</v>
      </c>
      <c r="C644" t="s">
        <v>3</v>
      </c>
      <c r="D644" t="s">
        <v>9</v>
      </c>
      <c r="F644" t="s">
        <v>20</v>
      </c>
      <c r="G644" t="s">
        <v>67</v>
      </c>
      <c r="H644" t="s">
        <v>153</v>
      </c>
    </row>
    <row r="645" spans="1:8" ns3:dyDescent="0.2">
      <c r="A645" t="s">
        <v>56</v>
      </c>
      <c r="B645">
        <v>4.5900000000000001E-8</v>
      </c>
      <c r="C645" t="s">
        <v>3</v>
      </c>
      <c r="D645" t="s">
        <v>9</v>
      </c>
      <c r="F645" t="s">
        <v>20</v>
      </c>
      <c r="G645" t="s">
        <v>57</v>
      </c>
      <c r="H645" t="s">
        <v>153</v>
      </c>
    </row>
    <row r="646" spans="1:8" ns3:dyDescent="0.2">
      <c r="A646" t="s">
        <v>130</v>
      </c>
      <c r="B646">
        <v>4.5900000000000001E-8</v>
      </c>
      <c r="C646" t="s">
        <v>3</v>
      </c>
      <c r="D646" t="s">
        <v>9</v>
      </c>
      <c r="F646" t="s">
        <v>20</v>
      </c>
      <c r="G646" t="s">
        <v>68</v>
      </c>
      <c r="H646" t="s">
        <v>153</v>
      </c>
    </row>
    <row r="647" spans="1:8" ns3:dyDescent="0.2">
      <c r="A647" t="s">
        <v>69</v>
      </c>
      <c r="B647">
        <v>9.2999999999999997E-5</v>
      </c>
      <c r="C647" t="s">
        <v>3</v>
      </c>
      <c r="D647" t="s">
        <v>70</v>
      </c>
      <c r="F647" t="s">
        <v>20</v>
      </c>
      <c r="G647" t="s">
        <v>71</v>
      </c>
      <c r="H647" t="s">
        <v>153</v>
      </c>
    </row>
    <row r="648" spans="1:8" ns3:dyDescent="0.2">
      <c r="A648" t="s">
        <v>72</v>
      </c>
      <c r="B648">
        <v>1.3735036348295867E-7</v>
      </c>
      <c r="D648" t="s">
        <v>24</v>
      </c>
      <c r="E648" t="s">
        <v>240</v>
      </c>
      <c r="F648" t="s">
        <v>73</v>
      </c>
      <c r="H648" t="s">
        <v>74</v>
      </c>
    </row>
    <row r="649" spans="1:8" ns3:dyDescent="0.2">
      <c r="A649" t="s">
        <v>75</v>
      </c>
      <c r="B649">
        <v>6.8675181741479336E-7</v>
      </c>
      <c r="D649" t="s">
        <v>24</v>
      </c>
      <c r="E649" t="s">
        <v>240</v>
      </c>
      <c r="F649" t="s">
        <v>73</v>
      </c>
      <c r="H649" t="s">
        <v>76</v>
      </c>
    </row>
    <row r="650" spans="1:8" ns3:dyDescent="0.2">
      <c r="A650" t="s">
        <v>77</v>
      </c>
      <c r="B650">
        <v>6.867518174147933E-11</v>
      </c>
      <c r="D650" t="s">
        <v>24</v>
      </c>
      <c r="E650" t="s">
        <v>240</v>
      </c>
      <c r="F650" t="s">
        <v>73</v>
      </c>
      <c r="H650" t="s">
        <v>78</v>
      </c>
    </row>
    <row r="651" spans="1:8" ns3:dyDescent="0.2">
      <c r="A651" t="s">
        <v>79</v>
      </c>
      <c r="B651">
        <v>2.1605212175869398E-2</v>
      </c>
      <c r="D651" t="s">
        <v>24</v>
      </c>
      <c r="E651" t="s">
        <v>240</v>
      </c>
      <c r="F651" t="s">
        <v>73</v>
      </c>
      <c r="H651" t="s">
        <v>80</v>
      </c>
    </row>
    <row r="652" spans="1:8" ns3:dyDescent="0.2">
      <c r="A652" t="s">
        <v>81</v>
      </c>
      <c r="B652">
        <v>1.0850678715153736E-4</v>
      </c>
      <c r="D652" t="s">
        <v>24</v>
      </c>
      <c r="E652" t="s">
        <v>240</v>
      </c>
      <c r="F652" t="s">
        <v>73</v>
      </c>
      <c r="H652" t="s">
        <v>82</v>
      </c>
    </row>
    <row r="653" spans="1:8" ns3:dyDescent="0.2">
      <c r="A653" t="s">
        <v>83</v>
      </c>
      <c r="B653">
        <v>3.4337590870739664E-10</v>
      </c>
      <c r="D653" t="s">
        <v>24</v>
      </c>
      <c r="E653" t="s">
        <v>240</v>
      </c>
      <c r="F653" t="s">
        <v>73</v>
      </c>
      <c r="H653" t="s">
        <v>84</v>
      </c>
    </row>
    <row r="654" spans="1:8" ns3:dyDescent="0.2">
      <c r="A654" t="s">
        <v>85</v>
      </c>
      <c r="B654">
        <v>1.1674780896051486E-8</v>
      </c>
      <c r="D654" t="s">
        <v>24</v>
      </c>
      <c r="E654" t="s">
        <v>240</v>
      </c>
      <c r="F654" t="s">
        <v>73</v>
      </c>
      <c r="H654" t="s">
        <v>86</v>
      </c>
    </row>
    <row r="655" spans="1:8" ns3:dyDescent="0.2">
      <c r="A655" t="s">
        <v>87</v>
      </c>
      <c r="B655">
        <v>6.8675181741479336E-7</v>
      </c>
      <c r="D655" t="s">
        <v>24</v>
      </c>
      <c r="E655" t="s">
        <v>240</v>
      </c>
      <c r="F655" t="s">
        <v>73</v>
      </c>
      <c r="H655" t="s">
        <v>76</v>
      </c>
    </row>
    <row r="656" spans="1:8" ns3:dyDescent="0.2">
      <c r="A656" t="s">
        <v>88</v>
      </c>
      <c r="B656">
        <v>1.24E-5</v>
      </c>
      <c r="D656" t="s">
        <v>24</v>
      </c>
      <c r="E656" t="s">
        <v>275</v>
      </c>
      <c r="F656" t="s">
        <v>73</v>
      </c>
      <c r="H656" t="s">
        <v>89</v>
      </c>
    </row>
    <row r="657" spans="1:8" ns3:dyDescent="0.2">
      <c r="A657" t="s">
        <v>90</v>
      </c>
      <c r="B657">
        <v>7.5542699915627267E-13</v>
      </c>
      <c r="D657" t="s">
        <v>24</v>
      </c>
      <c r="E657" t="s">
        <v>240</v>
      </c>
      <c r="F657" t="s">
        <v>73</v>
      </c>
      <c r="H657" t="s">
        <v>91</v>
      </c>
    </row>
    <row r="658" spans="1:8" ns3:dyDescent="0.2">
      <c r="A658" t="s">
        <v>92</v>
      </c>
      <c r="B658">
        <v>1.3735036348295865E-13</v>
      </c>
      <c r="D658" t="s">
        <v>24</v>
      </c>
      <c r="E658" t="s">
        <v>240</v>
      </c>
      <c r="F658" t="s">
        <v>73</v>
      </c>
      <c r="H658" t="s">
        <v>93</v>
      </c>
    </row>
    <row r="659" spans="1:8" ns3:dyDescent="0.2">
      <c r="A659" t="s">
        <v>94</v>
      </c>
      <c r="B659">
        <v>8.927773626392313E-7</v>
      </c>
      <c r="D659" t="s">
        <v>24</v>
      </c>
      <c r="E659" t="s">
        <v>240</v>
      </c>
      <c r="F659" t="s">
        <v>73</v>
      </c>
      <c r="H659" t="s">
        <v>95</v>
      </c>
    </row>
    <row r="660" spans="1:8" ns3:dyDescent="0.2">
      <c r="A660" t="s">
        <v>96</v>
      </c>
      <c r="B660">
        <v>3.6054470414276655E-5</v>
      </c>
      <c r="D660" t="s">
        <v>24</v>
      </c>
      <c r="E660" t="s">
        <v>240</v>
      </c>
      <c r="F660" t="s">
        <v>73</v>
      </c>
      <c r="H660" t="s">
        <v>97</v>
      </c>
    </row>
    <row r="661" spans="1:8" ns3:dyDescent="0.2">
      <c r="A661" t="s">
        <v>98</v>
      </c>
      <c r="B661">
        <v>4.8072627219035543E-10</v>
      </c>
      <c r="D661" t="s">
        <v>24</v>
      </c>
      <c r="E661" t="s">
        <v>240</v>
      </c>
      <c r="F661" t="s">
        <v>73</v>
      </c>
      <c r="H661" t="s">
        <v>99</v>
      </c>
    </row>
    <row r="662" spans="1:8" ns3:dyDescent="0.2">
      <c r="A662" t="s">
        <v>100</v>
      </c>
      <c r="B662">
        <v>3.7771349957813635E-4</v>
      </c>
      <c r="D662" t="s">
        <v>24</v>
      </c>
      <c r="E662" t="s">
        <v>240</v>
      </c>
      <c r="F662" t="s">
        <v>73</v>
      </c>
      <c r="H662" t="s">
        <v>101</v>
      </c>
    </row>
    <row r="663" spans="1:8" ns3:dyDescent="0.2">
      <c r="A663" t="s">
        <v>102</v>
      </c>
      <c r="B663">
        <v>8.4470473542019574E-6</v>
      </c>
      <c r="D663" t="s">
        <v>24</v>
      </c>
      <c r="E663" t="s">
        <v>240</v>
      </c>
      <c r="F663" t="s">
        <v>73</v>
      </c>
      <c r="H663" t="s">
        <v>103</v>
      </c>
    </row>
    <row r="664" spans="1:8" ns3:dyDescent="0.2">
      <c r="A664" t="s">
        <v>104</v>
      </c>
      <c r="B664">
        <v>1.8077026747760721E-5</v>
      </c>
      <c r="D664" t="s">
        <v>24</v>
      </c>
      <c r="E664" t="s">
        <v>240</v>
      </c>
      <c r="F664" t="s">
        <v>73</v>
      </c>
      <c r="H664" t="s">
        <v>105</v>
      </c>
    </row>
    <row r="665" spans="1:8" ns3:dyDescent="0.2">
      <c r="A665" t="s">
        <v>106</v>
      </c>
      <c r="B665">
        <v>1.7034824444633829E-5</v>
      </c>
      <c r="D665" t="s">
        <v>24</v>
      </c>
      <c r="E665" t="s">
        <v>240</v>
      </c>
      <c r="F665" t="s">
        <v>73</v>
      </c>
      <c r="H665" t="s">
        <v>107</v>
      </c>
    </row>
    <row r="666" spans="1:8" ns3:dyDescent="0.2">
      <c r="A666" t="s">
        <v>108</v>
      </c>
      <c r="B666">
        <v>6.867518174147933E-11</v>
      </c>
      <c r="D666" t="s">
        <v>24</v>
      </c>
      <c r="E666" t="s">
        <v>240</v>
      </c>
      <c r="F666" t="s">
        <v>73</v>
      </c>
      <c r="H666" t="s">
        <v>78</v>
      </c>
    </row>
    <row r="667" spans="1:8" ns3:dyDescent="0.2">
      <c r="A667" t="s">
        <v>109</v>
      </c>
      <c r="B667">
        <v>4.1205109044887595E-6</v>
      </c>
      <c r="D667" t="s">
        <v>24</v>
      </c>
      <c r="E667" t="s">
        <v>240</v>
      </c>
      <c r="F667" t="s">
        <v>73</v>
      </c>
      <c r="H667" t="s">
        <v>110</v>
      </c>
    </row>
    <row r="668" spans="1:8" ns3:dyDescent="0.2">
      <c r="A668" t="s">
        <v>111</v>
      </c>
      <c r="B668">
        <v>2.7470072696591733E-7</v>
      </c>
      <c r="D668" t="s">
        <v>24</v>
      </c>
      <c r="E668" t="s">
        <v>240</v>
      </c>
      <c r="F668" t="s">
        <v>73</v>
      </c>
      <c r="H668" t="s">
        <v>112</v>
      </c>
    </row>
    <row r="669" spans="1:8" ns3:dyDescent="0.2">
      <c r="A669" t="s">
        <v>230</v>
      </c>
      <c r="B669">
        <v>2.7470072696591733E-7</v>
      </c>
      <c r="D669" t="s">
        <v>24</v>
      </c>
      <c r="E669" t="s">
        <v>240</v>
      </c>
      <c r="F669" t="s">
        <v>73</v>
      </c>
      <c r="H669" t="s">
        <v>112</v>
      </c>
    </row>
    <row r="670" spans="1:8" ns3:dyDescent="0.2">
      <c r="A670" t="s">
        <v>113</v>
      </c>
      <c r="B670">
        <v>6.8675181741479334E-9</v>
      </c>
      <c r="D670" t="s">
        <v>24</v>
      </c>
      <c r="E670" t="s">
        <v>240</v>
      </c>
      <c r="F670" t="s">
        <v>73</v>
      </c>
      <c r="H670" t="s">
        <v>114</v>
      </c>
    </row>
    <row r="671" spans="1:8" ns3:dyDescent="0.2">
      <c r="A671" t="s">
        <v>59</v>
      </c>
      <c r="B671">
        <v>1</v>
      </c>
      <c r="C671" t="s">
        <v>147</v>
      </c>
      <c r="D671" t="s">
        <v>232</v>
      </c>
      <c r="F671" t="s">
        <v>36</v>
      </c>
      <c r="G671" t="s">
        <v>61</v>
      </c>
    </row>
    <row r="673" spans="1:8" ns3:dyDescent="0.2">
      <c r="A673" s="2" t="s">
        <v>0</v>
      </c>
      <c r="B673" s="2" t="s">
        <v>115</v>
      </c>
    </row>
    <row r="674" spans="1:8" ns3:dyDescent="0.2">
      <c r="A674" t="s">
        <v>2</v>
      </c>
      <c r="B674" t="s">
        <v>147</v>
      </c>
    </row>
    <row r="675" spans="1:8" ns3:dyDescent="0.2">
      <c r="A675" t="s">
        <v>4</v>
      </c>
      <c r="B675">
        <v>1</v>
      </c>
    </row>
    <row r="676" spans="1:8" ns3:dyDescent="0.2">
      <c r="A676" t="s">
        <v>5</v>
      </c>
      <c r="B676" t="s">
        <v>61</v>
      </c>
    </row>
    <row r="677" spans="1:8" ns3:dyDescent="0.2">
      <c r="A677" t="s">
        <v>7</v>
      </c>
      <c r="B677" t="s">
        <v>8</v>
      </c>
    </row>
    <row r="678" spans="1:8" ns3:dyDescent="0.2">
      <c r="A678" t="s">
        <v>9</v>
      </c>
      <c r="B678" t="s">
        <v>232</v>
      </c>
    </row>
    <row r="679" spans="1:8" ns3:dyDescent="0.2">
      <c r="A679" t="s">
        <v>15</v>
      </c>
    </row>
    <row r="680" spans="1:8" ns3:dyDescent="0.2">
      <c r="A680" s="2" t="s">
        <v>16</v>
      </c>
      <c r="B680" s="2" t="s">
        <v>17</v>
      </c>
      <c r="C680" s="2" t="s">
        <v>2</v>
      </c>
      <c r="D680" s="2" t="s">
        <v>9</v>
      </c>
      <c r="E680" s="2" t="s">
        <v>18</v>
      </c>
      <c r="F680" s="2" t="s">
        <v>7</v>
      </c>
      <c r="G680" s="2" t="s">
        <v>5</v>
      </c>
      <c r="H680" s="2" t="s">
        <v>14</v>
      </c>
    </row>
    <row r="681" spans="1:8" ns3:dyDescent="0.2">
      <c r="A681" t="s">
        <v>233</v>
      </c>
      <c r="B681">
        <v>6.7699999999999998E-4</v>
      </c>
      <c r="C681" t="s">
        <v>3</v>
      </c>
      <c r="D681" t="s">
        <v>24</v>
      </c>
      <c r="F681" t="s">
        <v>20</v>
      </c>
      <c r="G681" t="s">
        <v>63</v>
      </c>
      <c r="H681" t="s">
        <v>116</v>
      </c>
    </row>
    <row r="682" spans="1:8" ns3:dyDescent="0.2">
      <c r="A682" t="s">
        <v>142</v>
      </c>
      <c r="B682">
        <v>3.6052129452675181E-6</v>
      </c>
      <c r="C682" t="s">
        <v>154</v>
      </c>
      <c r="D682" t="s">
        <v>118</v>
      </c>
      <c r="F682" t="s">
        <v>20</v>
      </c>
      <c r="G682" t="s">
        <v>119</v>
      </c>
      <c r="H682" t="s">
        <v>155</v>
      </c>
    </row>
    <row r="683" spans="1:8" ns3:dyDescent="0.2">
      <c r="A683" t="s">
        <v>142</v>
      </c>
      <c r="B683">
        <v>8.287317832843088E-6</v>
      </c>
      <c r="C683" t="s">
        <v>156</v>
      </c>
      <c r="D683" t="s">
        <v>118</v>
      </c>
      <c r="F683" t="s">
        <v>20</v>
      </c>
      <c r="G683" t="s">
        <v>119</v>
      </c>
      <c r="H683" t="s">
        <v>155</v>
      </c>
    </row>
    <row r="684" spans="1:8" ns3:dyDescent="0.2">
      <c r="A684" t="s">
        <v>142</v>
      </c>
      <c r="B684">
        <v>1.2309894532588599E-4</v>
      </c>
      <c r="C684" t="s">
        <v>157</v>
      </c>
      <c r="D684" t="s">
        <v>118</v>
      </c>
      <c r="F684" t="s">
        <v>20</v>
      </c>
      <c r="G684" t="s">
        <v>119</v>
      </c>
      <c r="H684" t="s">
        <v>155</v>
      </c>
    </row>
    <row r="685" spans="1:8" ns3:dyDescent="0.2">
      <c r="A685" t="s">
        <v>142</v>
      </c>
      <c r="B685">
        <v>1.2010541696111847E-5</v>
      </c>
      <c r="C685" t="s">
        <v>158</v>
      </c>
      <c r="D685" t="s">
        <v>118</v>
      </c>
      <c r="F685" t="s">
        <v>20</v>
      </c>
      <c r="G685" t="s">
        <v>119</v>
      </c>
      <c r="H685" t="s">
        <v>155</v>
      </c>
    </row>
    <row r="686" spans="1:8" ns3:dyDescent="0.2">
      <c r="A686" t="s">
        <v>142</v>
      </c>
      <c r="B686">
        <v>3.9478857744705121E-5</v>
      </c>
      <c r="C686" t="s">
        <v>159</v>
      </c>
      <c r="D686" t="s">
        <v>118</v>
      </c>
      <c r="F686" t="s">
        <v>20</v>
      </c>
      <c r="G686" t="s">
        <v>119</v>
      </c>
      <c r="H686" t="s">
        <v>155</v>
      </c>
    </row>
    <row r="687" spans="1:8" ns3:dyDescent="0.2">
      <c r="A687" t="s">
        <v>142</v>
      </c>
      <c r="B687">
        <v>1.0076486930651438E-5</v>
      </c>
      <c r="C687" t="s">
        <v>160</v>
      </c>
      <c r="D687" t="s">
        <v>118</v>
      </c>
      <c r="F687" t="s">
        <v>20</v>
      </c>
      <c r="G687" t="s">
        <v>119</v>
      </c>
      <c r="H687" t="s">
        <v>155</v>
      </c>
    </row>
    <row r="688" spans="1:8" ns3:dyDescent="0.2">
      <c r="A688" t="s">
        <v>142</v>
      </c>
      <c r="B688">
        <v>7.8973056042278849E-7</v>
      </c>
      <c r="C688" t="s">
        <v>161</v>
      </c>
      <c r="D688" t="s">
        <v>118</v>
      </c>
      <c r="F688" t="s">
        <v>20</v>
      </c>
      <c r="G688" t="s">
        <v>119</v>
      </c>
      <c r="H688" t="s">
        <v>155</v>
      </c>
    </row>
    <row r="689" spans="1:8" ns3:dyDescent="0.2">
      <c r="A689" t="s">
        <v>142</v>
      </c>
      <c r="B689">
        <v>2.1265221659854035E-6</v>
      </c>
      <c r="C689" t="s">
        <v>162</v>
      </c>
      <c r="D689" t="s">
        <v>118</v>
      </c>
      <c r="F689" t="s">
        <v>20</v>
      </c>
      <c r="G689" t="s">
        <v>119</v>
      </c>
      <c r="H689" t="s">
        <v>155</v>
      </c>
    </row>
    <row r="690" spans="1:8" ns3:dyDescent="0.2">
      <c r="A690" t="s">
        <v>142</v>
      </c>
      <c r="B690">
        <v>2.2982089755572582E-6</v>
      </c>
      <c r="C690" t="s">
        <v>163</v>
      </c>
      <c r="D690" t="s">
        <v>118</v>
      </c>
      <c r="F690" t="s">
        <v>20</v>
      </c>
      <c r="G690" t="s">
        <v>119</v>
      </c>
      <c r="H690" t="s">
        <v>155</v>
      </c>
    </row>
    <row r="691" spans="1:8" ns3:dyDescent="0.2">
      <c r="A691" t="s">
        <v>142</v>
      </c>
      <c r="B691">
        <v>5.9713497746553276E-6</v>
      </c>
      <c r="C691" t="s">
        <v>164</v>
      </c>
      <c r="D691" t="s">
        <v>118</v>
      </c>
      <c r="F691" t="s">
        <v>20</v>
      </c>
      <c r="G691" t="s">
        <v>119</v>
      </c>
      <c r="H691" t="s">
        <v>155</v>
      </c>
    </row>
    <row r="692" spans="1:8" ns3:dyDescent="0.2">
      <c r="A692" t="s">
        <v>142</v>
      </c>
      <c r="B692">
        <v>3.981284446926821E-7</v>
      </c>
      <c r="C692" t="s">
        <v>165</v>
      </c>
      <c r="D692" t="s">
        <v>118</v>
      </c>
      <c r="F692" t="s">
        <v>20</v>
      </c>
      <c r="G692" t="s">
        <v>119</v>
      </c>
      <c r="H692" t="s">
        <v>155</v>
      </c>
    </row>
    <row r="693" spans="1:8" ns3:dyDescent="0.2">
      <c r="A693" t="s">
        <v>142</v>
      </c>
      <c r="B693">
        <v>4.8460237575854094E-6</v>
      </c>
      <c r="C693" t="s">
        <v>166</v>
      </c>
      <c r="D693" t="s">
        <v>118</v>
      </c>
      <c r="F693" t="s">
        <v>20</v>
      </c>
      <c r="G693" t="s">
        <v>119</v>
      </c>
      <c r="H693" t="s">
        <v>155</v>
      </c>
    </row>
    <row r="694" spans="1:8" ns3:dyDescent="0.2">
      <c r="A694" t="s">
        <v>142</v>
      </c>
      <c r="B694">
        <v>2.9326421830217212E-6</v>
      </c>
      <c r="C694" t="s">
        <v>167</v>
      </c>
      <c r="D694" t="s">
        <v>118</v>
      </c>
      <c r="F694" t="s">
        <v>20</v>
      </c>
      <c r="G694" t="s">
        <v>119</v>
      </c>
      <c r="H694" t="s">
        <v>155</v>
      </c>
    </row>
    <row r="695" spans="1:8" ns3:dyDescent="0.2">
      <c r="A695" t="s">
        <v>142</v>
      </c>
      <c r="B695">
        <v>2.7098658906357307E-6</v>
      </c>
      <c r="C695" t="s">
        <v>168</v>
      </c>
      <c r="D695" t="s">
        <v>118</v>
      </c>
      <c r="F695" t="s">
        <v>20</v>
      </c>
      <c r="G695" t="s">
        <v>119</v>
      </c>
      <c r="H695" t="s">
        <v>155</v>
      </c>
    </row>
    <row r="696" spans="1:8" ns3:dyDescent="0.2">
      <c r="A696" t="s">
        <v>142</v>
      </c>
      <c r="B696">
        <v>3.9431729460092952E-5</v>
      </c>
      <c r="C696" t="s">
        <v>169</v>
      </c>
      <c r="D696" t="s">
        <v>118</v>
      </c>
      <c r="F696" t="s">
        <v>20</v>
      </c>
      <c r="G696" t="s">
        <v>119</v>
      </c>
      <c r="H696" t="s">
        <v>155</v>
      </c>
    </row>
    <row r="697" spans="1:8" ns3:dyDescent="0.2">
      <c r="A697" t="s">
        <v>142</v>
      </c>
      <c r="B697">
        <v>9.9346944729885095E-5</v>
      </c>
      <c r="C697" t="s">
        <v>170</v>
      </c>
      <c r="D697" t="s">
        <v>118</v>
      </c>
      <c r="F697" t="s">
        <v>20</v>
      </c>
      <c r="G697" t="s">
        <v>119</v>
      </c>
      <c r="H697" t="s">
        <v>155</v>
      </c>
    </row>
    <row r="698" spans="1:8" ns3:dyDescent="0.2">
      <c r="A698" t="s">
        <v>142</v>
      </c>
      <c r="B698">
        <v>2.3278660799213221E-7</v>
      </c>
      <c r="C698" t="s">
        <v>171</v>
      </c>
      <c r="D698" t="s">
        <v>118</v>
      </c>
      <c r="F698" t="s">
        <v>20</v>
      </c>
      <c r="G698" t="s">
        <v>119</v>
      </c>
      <c r="H698" t="s">
        <v>155</v>
      </c>
    </row>
    <row r="699" spans="1:8" ns3:dyDescent="0.2">
      <c r="A699" t="s">
        <v>142</v>
      </c>
      <c r="B699">
        <v>7.4893121690687113E-6</v>
      </c>
      <c r="C699" t="s">
        <v>172</v>
      </c>
      <c r="D699" t="s">
        <v>118</v>
      </c>
      <c r="F699" t="s">
        <v>20</v>
      </c>
      <c r="G699" t="s">
        <v>119</v>
      </c>
      <c r="H699" t="s">
        <v>155</v>
      </c>
    </row>
    <row r="700" spans="1:8" ns3:dyDescent="0.2">
      <c r="A700" t="s">
        <v>142</v>
      </c>
      <c r="B700">
        <v>1.3929039213558087E-6</v>
      </c>
      <c r="C700" t="s">
        <v>173</v>
      </c>
      <c r="D700" t="s">
        <v>118</v>
      </c>
      <c r="F700" t="s">
        <v>20</v>
      </c>
      <c r="G700" t="s">
        <v>119</v>
      </c>
      <c r="H700" t="s">
        <v>155</v>
      </c>
    </row>
    <row r="701" spans="1:8" ns3:dyDescent="0.2">
      <c r="A701" t="s">
        <v>142</v>
      </c>
      <c r="B701">
        <v>6.4617765050996012E-6</v>
      </c>
      <c r="C701" t="s">
        <v>174</v>
      </c>
      <c r="D701" t="s">
        <v>118</v>
      </c>
      <c r="F701" t="s">
        <v>20</v>
      </c>
      <c r="G701" t="s">
        <v>119</v>
      </c>
      <c r="H701" t="s">
        <v>155</v>
      </c>
    </row>
    <row r="702" spans="1:8" ns3:dyDescent="0.2">
      <c r="A702" t="s">
        <v>142</v>
      </c>
      <c r="B702">
        <v>8.4274233179648668E-6</v>
      </c>
      <c r="C702" t="s">
        <v>175</v>
      </c>
      <c r="D702" t="s">
        <v>118</v>
      </c>
      <c r="F702" t="s">
        <v>20</v>
      </c>
      <c r="G702" t="s">
        <v>119</v>
      </c>
      <c r="H702" t="s">
        <v>155</v>
      </c>
    </row>
    <row r="703" spans="1:8" ns3:dyDescent="0.2">
      <c r="A703" t="s">
        <v>142</v>
      </c>
      <c r="B703">
        <v>2.7226882499146425E-5</v>
      </c>
      <c r="C703" t="s">
        <v>176</v>
      </c>
      <c r="D703" t="s">
        <v>118</v>
      </c>
      <c r="F703" t="s">
        <v>20</v>
      </c>
      <c r="G703" t="s">
        <v>119</v>
      </c>
      <c r="H703" t="s">
        <v>155</v>
      </c>
    </row>
    <row r="704" spans="1:8" ns3:dyDescent="0.2">
      <c r="A704" t="s">
        <v>142</v>
      </c>
      <c r="B704">
        <v>1.0091157332594563E-4</v>
      </c>
      <c r="C704" t="s">
        <v>177</v>
      </c>
      <c r="D704" t="s">
        <v>118</v>
      </c>
      <c r="F704" t="s">
        <v>20</v>
      </c>
      <c r="G704" t="s">
        <v>119</v>
      </c>
      <c r="H704" t="s">
        <v>155</v>
      </c>
    </row>
    <row r="705" spans="1:8" ns3:dyDescent="0.2">
      <c r="A705" t="s">
        <v>142</v>
      </c>
      <c r="B705">
        <v>3.2868412312247107E-5</v>
      </c>
      <c r="C705" t="s">
        <v>178</v>
      </c>
      <c r="D705" t="s">
        <v>118</v>
      </c>
      <c r="F705" t="s">
        <v>20</v>
      </c>
      <c r="G705" t="s">
        <v>119</v>
      </c>
      <c r="H705" t="s">
        <v>155</v>
      </c>
    </row>
    <row r="706" spans="1:8" ns3:dyDescent="0.2">
      <c r="A706" t="s">
        <v>142</v>
      </c>
      <c r="B706">
        <v>9.3267321788823632E-6</v>
      </c>
      <c r="C706" t="s">
        <v>179</v>
      </c>
      <c r="D706" t="s">
        <v>118</v>
      </c>
      <c r="F706" t="s">
        <v>20</v>
      </c>
      <c r="G706" t="s">
        <v>119</v>
      </c>
      <c r="H706" t="s">
        <v>155</v>
      </c>
    </row>
    <row r="707" spans="1:8" ns3:dyDescent="0.2">
      <c r="A707" t="s">
        <v>142</v>
      </c>
      <c r="B707">
        <v>4.7338829345788076E-4</v>
      </c>
      <c r="C707" t="s">
        <v>180</v>
      </c>
      <c r="D707" t="s">
        <v>118</v>
      </c>
      <c r="F707" t="s">
        <v>20</v>
      </c>
      <c r="G707" t="s">
        <v>119</v>
      </c>
      <c r="H707" t="s">
        <v>155</v>
      </c>
    </row>
    <row r="708" spans="1:8" ns3:dyDescent="0.2">
      <c r="A708" t="s">
        <v>142</v>
      </c>
      <c r="B708">
        <v>5.4116050626787503E-6</v>
      </c>
      <c r="C708" t="s">
        <v>181</v>
      </c>
      <c r="D708" t="s">
        <v>118</v>
      </c>
      <c r="F708" t="s">
        <v>20</v>
      </c>
      <c r="G708" t="s">
        <v>119</v>
      </c>
      <c r="H708" t="s">
        <v>155</v>
      </c>
    </row>
    <row r="709" spans="1:8" ns3:dyDescent="0.2">
      <c r="A709" t="s">
        <v>142</v>
      </c>
      <c r="B709">
        <v>8.2270026379315799E-6</v>
      </c>
      <c r="C709" t="s">
        <v>182</v>
      </c>
      <c r="D709" t="s">
        <v>118</v>
      </c>
      <c r="F709" t="s">
        <v>20</v>
      </c>
      <c r="G709" t="s">
        <v>119</v>
      </c>
      <c r="H709" t="s">
        <v>155</v>
      </c>
    </row>
    <row r="710" spans="1:8" ns3:dyDescent="0.2">
      <c r="A710" t="s">
        <v>142</v>
      </c>
      <c r="B710">
        <v>6.4201605319064464E-6</v>
      </c>
      <c r="C710" t="s">
        <v>183</v>
      </c>
      <c r="D710" t="s">
        <v>118</v>
      </c>
      <c r="F710" t="s">
        <v>20</v>
      </c>
      <c r="G710" t="s">
        <v>119</v>
      </c>
      <c r="H710" t="s">
        <v>155</v>
      </c>
    </row>
    <row r="711" spans="1:8" ns3:dyDescent="0.2">
      <c r="A711" t="s">
        <v>142</v>
      </c>
      <c r="B711">
        <v>7.3752344774304805E-6</v>
      </c>
      <c r="C711" t="s">
        <v>184</v>
      </c>
      <c r="D711" t="s">
        <v>118</v>
      </c>
      <c r="F711" t="s">
        <v>20</v>
      </c>
      <c r="G711" t="s">
        <v>119</v>
      </c>
      <c r="H711" t="s">
        <v>155</v>
      </c>
    </row>
    <row r="712" spans="1:8" ns3:dyDescent="0.2">
      <c r="A712" t="s">
        <v>142</v>
      </c>
      <c r="B712">
        <v>2.9936831071137573E-4</v>
      </c>
      <c r="C712" t="s">
        <v>185</v>
      </c>
      <c r="D712" t="s">
        <v>118</v>
      </c>
      <c r="F712" t="s">
        <v>20</v>
      </c>
      <c r="G712" t="s">
        <v>119</v>
      </c>
      <c r="H712" t="s">
        <v>155</v>
      </c>
    </row>
    <row r="713" spans="1:8" ns3:dyDescent="0.2">
      <c r="A713" t="s">
        <v>142</v>
      </c>
      <c r="B713">
        <v>5.6024717647255211E-5</v>
      </c>
      <c r="C713" t="s">
        <v>186</v>
      </c>
      <c r="D713" t="s">
        <v>118</v>
      </c>
      <c r="F713" t="s">
        <v>20</v>
      </c>
      <c r="G713" t="s">
        <v>119</v>
      </c>
      <c r="H713" t="s">
        <v>155</v>
      </c>
    </row>
    <row r="714" spans="1:8" ns3:dyDescent="0.2">
      <c r="A714" t="s">
        <v>142</v>
      </c>
      <c r="B714">
        <v>7.859290233767599E-6</v>
      </c>
      <c r="C714" t="s">
        <v>187</v>
      </c>
      <c r="D714" t="s">
        <v>118</v>
      </c>
      <c r="F714" t="s">
        <v>20</v>
      </c>
      <c r="G714" t="s">
        <v>119</v>
      </c>
      <c r="H714" t="s">
        <v>155</v>
      </c>
    </row>
    <row r="715" spans="1:8" ns3:dyDescent="0.2">
      <c r="A715" t="s">
        <v>142</v>
      </c>
      <c r="B715">
        <v>8.2222121698722951E-6</v>
      </c>
      <c r="C715" t="s">
        <v>188</v>
      </c>
      <c r="D715" t="s">
        <v>118</v>
      </c>
      <c r="F715" t="s">
        <v>20</v>
      </c>
      <c r="G715" t="s">
        <v>119</v>
      </c>
      <c r="H715" t="s">
        <v>155</v>
      </c>
    </row>
    <row r="716" spans="1:8" ns3:dyDescent="0.2">
      <c r="A716" t="s">
        <v>142</v>
      </c>
      <c r="B716">
        <v>1.7379761624613035E-5</v>
      </c>
      <c r="C716" t="s">
        <v>189</v>
      </c>
      <c r="D716" t="s">
        <v>118</v>
      </c>
      <c r="F716" t="s">
        <v>20</v>
      </c>
      <c r="G716" t="s">
        <v>119</v>
      </c>
      <c r="H716" t="s">
        <v>155</v>
      </c>
    </row>
    <row r="717" spans="1:8" ns3:dyDescent="0.2">
      <c r="A717" t="s">
        <v>142</v>
      </c>
      <c r="B717">
        <v>2.0230121300950846E-5</v>
      </c>
      <c r="C717" t="s">
        <v>190</v>
      </c>
      <c r="D717" t="s">
        <v>118</v>
      </c>
      <c r="F717" t="s">
        <v>20</v>
      </c>
      <c r="G717" t="s">
        <v>119</v>
      </c>
      <c r="H717" t="s">
        <v>155</v>
      </c>
    </row>
    <row r="718" spans="1:8" ns3:dyDescent="0.2">
      <c r="A718" t="s">
        <v>142</v>
      </c>
      <c r="B718">
        <v>1.236136258747627E-5</v>
      </c>
      <c r="C718" t="s">
        <v>191</v>
      </c>
      <c r="D718" t="s">
        <v>118</v>
      </c>
      <c r="F718" t="s">
        <v>20</v>
      </c>
      <c r="G718" t="s">
        <v>119</v>
      </c>
      <c r="H718" t="s">
        <v>155</v>
      </c>
    </row>
    <row r="719" spans="1:8" ns3:dyDescent="0.2">
      <c r="A719" t="s">
        <v>142</v>
      </c>
      <c r="B719">
        <v>4.5888809326834252E-6</v>
      </c>
      <c r="C719" t="s">
        <v>192</v>
      </c>
      <c r="D719" t="s">
        <v>118</v>
      </c>
      <c r="F719" t="s">
        <v>20</v>
      </c>
      <c r="G719" t="s">
        <v>119</v>
      </c>
      <c r="H719" t="s">
        <v>155</v>
      </c>
    </row>
    <row r="720" spans="1:8" ns3:dyDescent="0.2">
      <c r="A720" t="s">
        <v>142</v>
      </c>
      <c r="B720">
        <v>7.9660150590234143E-7</v>
      </c>
      <c r="C720" t="s">
        <v>193</v>
      </c>
      <c r="D720" t="s">
        <v>118</v>
      </c>
      <c r="F720" t="s">
        <v>20</v>
      </c>
      <c r="G720" t="s">
        <v>119</v>
      </c>
      <c r="H720" t="s">
        <v>155</v>
      </c>
    </row>
    <row r="721" spans="1:8" ns3:dyDescent="0.2">
      <c r="A721" t="s">
        <v>142</v>
      </c>
      <c r="B721">
        <v>9.0199151941626972E-5</v>
      </c>
      <c r="C721" t="s">
        <v>194</v>
      </c>
      <c r="D721" t="s">
        <v>118</v>
      </c>
      <c r="F721" t="s">
        <v>20</v>
      </c>
      <c r="G721" t="s">
        <v>119</v>
      </c>
      <c r="H721" t="s">
        <v>155</v>
      </c>
    </row>
    <row r="722" spans="1:8" ns3:dyDescent="0.2">
      <c r="A722" t="s">
        <v>142</v>
      </c>
      <c r="B722">
        <v>8.7494918603385306E-6</v>
      </c>
      <c r="C722" t="s">
        <v>195</v>
      </c>
      <c r="D722" t="s">
        <v>118</v>
      </c>
      <c r="F722" t="s">
        <v>20</v>
      </c>
      <c r="G722" t="s">
        <v>119</v>
      </c>
      <c r="H722" t="s">
        <v>155</v>
      </c>
    </row>
    <row r="723" spans="1:8" ns3:dyDescent="0.2">
      <c r="A723" t="s">
        <v>142</v>
      </c>
      <c r="B723">
        <v>2.482056898300349E-6</v>
      </c>
      <c r="C723" t="s">
        <v>196</v>
      </c>
      <c r="D723" t="s">
        <v>118</v>
      </c>
      <c r="F723" t="s">
        <v>20</v>
      </c>
      <c r="G723" t="s">
        <v>119</v>
      </c>
      <c r="H723" t="s">
        <v>155</v>
      </c>
    </row>
    <row r="724" spans="1:8" ns3:dyDescent="0.2">
      <c r="A724" t="s">
        <v>142</v>
      </c>
      <c r="B724">
        <v>8.0743217745313418E-7</v>
      </c>
      <c r="C724" t="s">
        <v>197</v>
      </c>
      <c r="D724" t="s">
        <v>118</v>
      </c>
      <c r="F724" t="s">
        <v>20</v>
      </c>
      <c r="G724" t="s">
        <v>119</v>
      </c>
      <c r="H724" t="s">
        <v>155</v>
      </c>
    </row>
    <row r="725" spans="1:8" ns3:dyDescent="0.2">
      <c r="A725" t="s">
        <v>142</v>
      </c>
      <c r="B725">
        <v>1.3626292808060294E-5</v>
      </c>
      <c r="C725" t="s">
        <v>198</v>
      </c>
      <c r="D725" t="s">
        <v>118</v>
      </c>
      <c r="F725" t="s">
        <v>20</v>
      </c>
      <c r="G725" t="s">
        <v>119</v>
      </c>
      <c r="H725" t="s">
        <v>155</v>
      </c>
    </row>
    <row r="726" spans="1:8" ns3:dyDescent="0.2">
      <c r="A726" t="s">
        <v>142</v>
      </c>
      <c r="B726">
        <v>4.225560701821834E-6</v>
      </c>
      <c r="C726" t="s">
        <v>199</v>
      </c>
      <c r="D726" t="s">
        <v>118</v>
      </c>
      <c r="F726" t="s">
        <v>20</v>
      </c>
      <c r="G726" t="s">
        <v>119</v>
      </c>
      <c r="H726" t="s">
        <v>155</v>
      </c>
    </row>
    <row r="727" spans="1:8" ns3:dyDescent="0.2">
      <c r="A727" t="s">
        <v>142</v>
      </c>
      <c r="B727">
        <v>2.4097959538224819E-5</v>
      </c>
      <c r="C727" t="s">
        <v>200</v>
      </c>
      <c r="D727" t="s">
        <v>118</v>
      </c>
      <c r="F727" t="s">
        <v>20</v>
      </c>
      <c r="G727" t="s">
        <v>119</v>
      </c>
      <c r="H727" t="s">
        <v>155</v>
      </c>
    </row>
    <row r="728" spans="1:8" ns3:dyDescent="0.2">
      <c r="A728" t="s">
        <v>142</v>
      </c>
      <c r="B728">
        <v>2.0312220601191307E-5</v>
      </c>
      <c r="C728" t="s">
        <v>201</v>
      </c>
      <c r="D728" t="s">
        <v>118</v>
      </c>
      <c r="F728" t="s">
        <v>20</v>
      </c>
      <c r="G728" t="s">
        <v>119</v>
      </c>
      <c r="H728" t="s">
        <v>155</v>
      </c>
    </row>
    <row r="729" spans="1:8" ns3:dyDescent="0.2">
      <c r="A729" t="s">
        <v>142</v>
      </c>
      <c r="B729">
        <v>5.5739696124771707E-5</v>
      </c>
      <c r="C729" t="s">
        <v>202</v>
      </c>
      <c r="D729" t="s">
        <v>118</v>
      </c>
      <c r="F729" t="s">
        <v>20</v>
      </c>
      <c r="G729" t="s">
        <v>119</v>
      </c>
      <c r="H729" t="s">
        <v>155</v>
      </c>
    </row>
    <row r="730" spans="1:8" ns3:dyDescent="0.2">
      <c r="A730" t="s">
        <v>142</v>
      </c>
      <c r="B730">
        <v>7.0710720146076024E-5</v>
      </c>
      <c r="C730" t="s">
        <v>203</v>
      </c>
      <c r="D730" t="s">
        <v>118</v>
      </c>
      <c r="F730" t="s">
        <v>20</v>
      </c>
      <c r="G730" t="s">
        <v>119</v>
      </c>
      <c r="H730" t="s">
        <v>155</v>
      </c>
    </row>
    <row r="731" spans="1:8" ns3:dyDescent="0.2">
      <c r="A731" t="s">
        <v>142</v>
      </c>
      <c r="B731">
        <v>1.0399418357880191E-6</v>
      </c>
      <c r="C731" t="s">
        <v>204</v>
      </c>
      <c r="D731" t="s">
        <v>118</v>
      </c>
      <c r="F731" t="s">
        <v>20</v>
      </c>
      <c r="G731" t="s">
        <v>119</v>
      </c>
      <c r="H731" t="s">
        <v>155</v>
      </c>
    </row>
    <row r="732" spans="1:8" ns3:dyDescent="0.2">
      <c r="A732" t="s">
        <v>142</v>
      </c>
      <c r="B732">
        <v>9.1048105967199038E-6</v>
      </c>
      <c r="C732" t="s">
        <v>205</v>
      </c>
      <c r="D732" t="s">
        <v>118</v>
      </c>
      <c r="F732" t="s">
        <v>20</v>
      </c>
      <c r="G732" t="s">
        <v>119</v>
      </c>
      <c r="H732" t="s">
        <v>155</v>
      </c>
    </row>
    <row r="733" spans="1:8" ns3:dyDescent="0.2">
      <c r="A733" t="s">
        <v>142</v>
      </c>
      <c r="B733">
        <v>2.5151790193080162E-5</v>
      </c>
      <c r="C733" t="s">
        <v>206</v>
      </c>
      <c r="D733" t="s">
        <v>118</v>
      </c>
      <c r="F733" t="s">
        <v>20</v>
      </c>
      <c r="G733" t="s">
        <v>119</v>
      </c>
      <c r="H733" t="s">
        <v>155</v>
      </c>
    </row>
    <row r="734" spans="1:8" ns3:dyDescent="0.2">
      <c r="A734" t="s">
        <v>142</v>
      </c>
      <c r="B734">
        <v>2.2546524690721689E-6</v>
      </c>
      <c r="C734" t="s">
        <v>207</v>
      </c>
      <c r="D734" t="s">
        <v>118</v>
      </c>
      <c r="F734" t="s">
        <v>20</v>
      </c>
      <c r="G734" t="s">
        <v>119</v>
      </c>
      <c r="H734" t="s">
        <v>155</v>
      </c>
    </row>
    <row r="735" spans="1:8" ns3:dyDescent="0.2">
      <c r="A735" t="s">
        <v>142</v>
      </c>
      <c r="B735">
        <v>2.9655736377459836E-7</v>
      </c>
      <c r="C735" t="s">
        <v>208</v>
      </c>
      <c r="D735" t="s">
        <v>118</v>
      </c>
      <c r="F735" t="s">
        <v>20</v>
      </c>
      <c r="G735" t="s">
        <v>119</v>
      </c>
      <c r="H735" t="s">
        <v>155</v>
      </c>
    </row>
    <row r="736" spans="1:8" ns3:dyDescent="0.2">
      <c r="A736" t="s">
        <v>142</v>
      </c>
      <c r="B736">
        <v>8.4186552223088028E-6</v>
      </c>
      <c r="C736" t="s">
        <v>209</v>
      </c>
      <c r="D736" t="s">
        <v>118</v>
      </c>
      <c r="F736" t="s">
        <v>20</v>
      </c>
      <c r="G736" t="s">
        <v>119</v>
      </c>
      <c r="H736" t="s">
        <v>155</v>
      </c>
    </row>
    <row r="737" spans="1:8" ns3:dyDescent="0.2">
      <c r="A737" t="s">
        <v>142</v>
      </c>
      <c r="B737">
        <v>8.5624655743347394E-7</v>
      </c>
      <c r="C737" t="s">
        <v>210</v>
      </c>
      <c r="D737" t="s">
        <v>118</v>
      </c>
      <c r="F737" t="s">
        <v>20</v>
      </c>
      <c r="G737" t="s">
        <v>119</v>
      </c>
      <c r="H737" t="s">
        <v>155</v>
      </c>
    </row>
    <row r="738" spans="1:8" ns3:dyDescent="0.2">
      <c r="A738" t="s">
        <v>142</v>
      </c>
      <c r="B738">
        <v>6.3464791687513941E-5</v>
      </c>
      <c r="C738" t="s">
        <v>211</v>
      </c>
      <c r="D738" t="s">
        <v>118</v>
      </c>
      <c r="F738" t="s">
        <v>20</v>
      </c>
      <c r="G738" t="s">
        <v>119</v>
      </c>
      <c r="H738" t="s">
        <v>155</v>
      </c>
    </row>
    <row r="739" spans="1:8" ns3:dyDescent="0.2">
      <c r="A739" t="s">
        <v>142</v>
      </c>
      <c r="B739">
        <v>9.8015460068703504E-6</v>
      </c>
      <c r="C739" t="s">
        <v>212</v>
      </c>
      <c r="D739" t="s">
        <v>118</v>
      </c>
      <c r="F739" t="s">
        <v>20</v>
      </c>
      <c r="G739" t="s">
        <v>119</v>
      </c>
      <c r="H739" t="s">
        <v>155</v>
      </c>
    </row>
    <row r="740" spans="1:8" ns3:dyDescent="0.2">
      <c r="A740" t="s">
        <v>142</v>
      </c>
      <c r="B740">
        <v>9.8932462031662611E-6</v>
      </c>
      <c r="C740" t="s">
        <v>213</v>
      </c>
      <c r="D740" t="s">
        <v>118</v>
      </c>
      <c r="F740" t="s">
        <v>20</v>
      </c>
      <c r="G740" t="s">
        <v>119</v>
      </c>
      <c r="H740" t="s">
        <v>155</v>
      </c>
    </row>
    <row r="741" spans="1:8" ns3:dyDescent="0.2">
      <c r="A741" t="s">
        <v>142</v>
      </c>
      <c r="B741">
        <v>1.0504859393872612E-5</v>
      </c>
      <c r="C741" t="s">
        <v>214</v>
      </c>
      <c r="D741" t="s">
        <v>118</v>
      </c>
      <c r="F741" t="s">
        <v>20</v>
      </c>
      <c r="G741" t="s">
        <v>119</v>
      </c>
      <c r="H741" t="s">
        <v>155</v>
      </c>
    </row>
    <row r="742" spans="1:8" ns3:dyDescent="0.2">
      <c r="A742" t="s">
        <v>142</v>
      </c>
      <c r="B742">
        <v>1.4773449019425761E-4</v>
      </c>
      <c r="C742" t="s">
        <v>215</v>
      </c>
      <c r="D742" t="s">
        <v>118</v>
      </c>
      <c r="F742" t="s">
        <v>20</v>
      </c>
      <c r="G742" t="s">
        <v>119</v>
      </c>
      <c r="H742" t="s">
        <v>155</v>
      </c>
    </row>
    <row r="743" spans="1:8" ns3:dyDescent="0.2">
      <c r="A743" t="s">
        <v>142</v>
      </c>
      <c r="B743">
        <v>1.2649750439273926E-4</v>
      </c>
      <c r="C743" t="s">
        <v>216</v>
      </c>
      <c r="D743" t="s">
        <v>118</v>
      </c>
      <c r="F743" t="s">
        <v>20</v>
      </c>
      <c r="G743" t="s">
        <v>119</v>
      </c>
      <c r="H743" t="s">
        <v>155</v>
      </c>
    </row>
    <row r="744" spans="1:8" ns3:dyDescent="0.2">
      <c r="A744" t="s">
        <v>142</v>
      </c>
      <c r="B744">
        <v>4.2237666949589131E-6</v>
      </c>
      <c r="C744" t="s">
        <v>217</v>
      </c>
      <c r="D744" t="s">
        <v>118</v>
      </c>
      <c r="F744" t="s">
        <v>20</v>
      </c>
      <c r="G744" t="s">
        <v>119</v>
      </c>
      <c r="H744" t="s">
        <v>155</v>
      </c>
    </row>
    <row r="745" spans="1:8" ns3:dyDescent="0.2">
      <c r="A745" t="s">
        <v>142</v>
      </c>
      <c r="B745">
        <v>3.4836289211630471E-5</v>
      </c>
      <c r="C745" t="s">
        <v>218</v>
      </c>
      <c r="D745" t="s">
        <v>118</v>
      </c>
      <c r="F745" t="s">
        <v>20</v>
      </c>
      <c r="G745" t="s">
        <v>119</v>
      </c>
      <c r="H745" t="s">
        <v>155</v>
      </c>
    </row>
    <row r="746" spans="1:8" ns3:dyDescent="0.2">
      <c r="A746" t="s">
        <v>142</v>
      </c>
      <c r="B746">
        <v>1.2274759721246875E-4</v>
      </c>
      <c r="C746" t="s">
        <v>219</v>
      </c>
      <c r="D746" t="s">
        <v>118</v>
      </c>
      <c r="F746" t="s">
        <v>20</v>
      </c>
      <c r="G746" t="s">
        <v>119</v>
      </c>
      <c r="H746" t="s">
        <v>155</v>
      </c>
    </row>
    <row r="747" spans="1:8" ns3:dyDescent="0.2">
      <c r="A747" t="s">
        <v>142</v>
      </c>
      <c r="B747">
        <v>1.4132398166645591E-6</v>
      </c>
      <c r="C747" t="s">
        <v>220</v>
      </c>
      <c r="D747" t="s">
        <v>118</v>
      </c>
      <c r="F747" t="s">
        <v>20</v>
      </c>
      <c r="G747" t="s">
        <v>119</v>
      </c>
      <c r="H747" t="s">
        <v>155</v>
      </c>
    </row>
    <row r="748" spans="1:8" ns3:dyDescent="0.2">
      <c r="A748" t="s">
        <v>142</v>
      </c>
      <c r="B748">
        <v>7.7770822743557448E-6</v>
      </c>
      <c r="C748" t="s">
        <v>221</v>
      </c>
      <c r="D748" t="s">
        <v>118</v>
      </c>
      <c r="F748" t="s">
        <v>20</v>
      </c>
      <c r="G748" t="s">
        <v>119</v>
      </c>
      <c r="H748" t="s">
        <v>155</v>
      </c>
    </row>
    <row r="749" spans="1:8" ns3:dyDescent="0.2">
      <c r="A749" t="s">
        <v>142</v>
      </c>
      <c r="B749">
        <v>4.6360350466860709E-6</v>
      </c>
      <c r="C749" t="s">
        <v>222</v>
      </c>
      <c r="D749" t="s">
        <v>118</v>
      </c>
      <c r="F749" t="s">
        <v>20</v>
      </c>
      <c r="G749" t="s">
        <v>119</v>
      </c>
      <c r="H749" t="s">
        <v>155</v>
      </c>
    </row>
    <row r="750" spans="1:8" ns3:dyDescent="0.2">
      <c r="A750" t="s">
        <v>143</v>
      </c>
      <c r="B750">
        <v>5.5567759686897668E-6</v>
      </c>
      <c r="C750" t="s">
        <v>154</v>
      </c>
      <c r="D750" t="s">
        <v>118</v>
      </c>
      <c r="F750" t="s">
        <v>20</v>
      </c>
      <c r="G750" t="s">
        <v>133</v>
      </c>
      <c r="H750" t="s">
        <v>155</v>
      </c>
    </row>
    <row r="751" spans="1:8" ns3:dyDescent="0.2">
      <c r="A751" t="s">
        <v>143</v>
      </c>
      <c r="B751">
        <v>1.2732844783981419E-5</v>
      </c>
      <c r="C751" t="s">
        <v>156</v>
      </c>
      <c r="D751" t="s">
        <v>118</v>
      </c>
      <c r="F751" t="s">
        <v>20</v>
      </c>
      <c r="G751" t="s">
        <v>133</v>
      </c>
      <c r="H751" t="s">
        <v>155</v>
      </c>
    </row>
    <row r="752" spans="1:8" ns3:dyDescent="0.2">
      <c r="A752" t="s">
        <v>143</v>
      </c>
      <c r="B752">
        <v>1.8994453545116962E-4</v>
      </c>
      <c r="C752" t="s">
        <v>157</v>
      </c>
      <c r="D752" t="s">
        <v>118</v>
      </c>
      <c r="F752" t="s">
        <v>20</v>
      </c>
      <c r="G752" t="s">
        <v>133</v>
      </c>
      <c r="H752" t="s">
        <v>155</v>
      </c>
    </row>
    <row r="753" spans="1:8" ns3:dyDescent="0.2">
      <c r="A753" t="s">
        <v>143</v>
      </c>
      <c r="B753">
        <v>1.8499874109351003E-5</v>
      </c>
      <c r="C753" t="s">
        <v>158</v>
      </c>
      <c r="D753" t="s">
        <v>118</v>
      </c>
      <c r="F753" t="s">
        <v>20</v>
      </c>
      <c r="G753" t="s">
        <v>133</v>
      </c>
      <c r="H753" t="s">
        <v>155</v>
      </c>
    </row>
    <row r="754" spans="1:8" ns3:dyDescent="0.2">
      <c r="A754" t="s">
        <v>143</v>
      </c>
      <c r="B754">
        <v>6.0718625667551802E-5</v>
      </c>
      <c r="C754" t="s">
        <v>159</v>
      </c>
      <c r="D754" t="s">
        <v>118</v>
      </c>
      <c r="F754" t="s">
        <v>20</v>
      </c>
      <c r="G754" t="s">
        <v>133</v>
      </c>
      <c r="H754" t="s">
        <v>155</v>
      </c>
    </row>
    <row r="755" spans="1:8" ns3:dyDescent="0.2">
      <c r="A755" t="s">
        <v>143</v>
      </c>
      <c r="B755">
        <v>1.5653653258626274E-5</v>
      </c>
      <c r="C755" t="s">
        <v>160</v>
      </c>
      <c r="D755" t="s">
        <v>118</v>
      </c>
      <c r="F755" t="s">
        <v>20</v>
      </c>
      <c r="G755" t="s">
        <v>133</v>
      </c>
      <c r="H755" t="s">
        <v>155</v>
      </c>
    </row>
    <row r="756" spans="1:8" ns3:dyDescent="0.2">
      <c r="A756" t="s">
        <v>143</v>
      </c>
      <c r="B756">
        <v>1.2052153647908318E-6</v>
      </c>
      <c r="C756" t="s">
        <v>161</v>
      </c>
      <c r="D756" t="s">
        <v>118</v>
      </c>
      <c r="F756" t="s">
        <v>20</v>
      </c>
      <c r="G756" t="s">
        <v>133</v>
      </c>
      <c r="H756" t="s">
        <v>155</v>
      </c>
    </row>
    <row r="757" spans="1:8" ns3:dyDescent="0.2">
      <c r="A757" t="s">
        <v>143</v>
      </c>
      <c r="B757">
        <v>3.2718798427242923E-6</v>
      </c>
      <c r="C757" t="s">
        <v>162</v>
      </c>
      <c r="D757" t="s">
        <v>118</v>
      </c>
      <c r="F757" t="s">
        <v>20</v>
      </c>
      <c r="G757" t="s">
        <v>133</v>
      </c>
      <c r="H757" t="s">
        <v>155</v>
      </c>
    </row>
    <row r="758" spans="1:8" ns3:dyDescent="0.2">
      <c r="A758" t="s">
        <v>143</v>
      </c>
      <c r="B758">
        <v>3.5177174860573275E-6</v>
      </c>
      <c r="C758" t="s">
        <v>163</v>
      </c>
      <c r="D758" t="s">
        <v>118</v>
      </c>
      <c r="F758" t="s">
        <v>20</v>
      </c>
      <c r="G758" t="s">
        <v>133</v>
      </c>
      <c r="H758" t="s">
        <v>155</v>
      </c>
    </row>
    <row r="759" spans="1:8" ns3:dyDescent="0.2">
      <c r="A759" t="s">
        <v>143</v>
      </c>
      <c r="B759">
        <v>9.0830759613963655E-6</v>
      </c>
      <c r="C759" t="s">
        <v>164</v>
      </c>
      <c r="D759" t="s">
        <v>118</v>
      </c>
      <c r="F759" t="s">
        <v>20</v>
      </c>
      <c r="G759" t="s">
        <v>133</v>
      </c>
      <c r="H759" t="s">
        <v>155</v>
      </c>
    </row>
    <row r="760" spans="1:8" ns3:dyDescent="0.2">
      <c r="A760" t="s">
        <v>143</v>
      </c>
      <c r="B760">
        <v>5.8188853251758467E-7</v>
      </c>
      <c r="C760" t="s">
        <v>165</v>
      </c>
      <c r="D760" t="s">
        <v>118</v>
      </c>
      <c r="F760" t="s">
        <v>20</v>
      </c>
      <c r="G760" t="s">
        <v>133</v>
      </c>
      <c r="H760" t="s">
        <v>155</v>
      </c>
    </row>
    <row r="761" spans="1:8" ns3:dyDescent="0.2">
      <c r="A761" t="s">
        <v>143</v>
      </c>
      <c r="B761">
        <v>7.3553329765614404E-6</v>
      </c>
      <c r="C761" t="s">
        <v>166</v>
      </c>
      <c r="D761" t="s">
        <v>118</v>
      </c>
      <c r="F761" t="s">
        <v>20</v>
      </c>
      <c r="G761" t="s">
        <v>133</v>
      </c>
      <c r="H761" t="s">
        <v>155</v>
      </c>
    </row>
    <row r="762" spans="1:8" ns3:dyDescent="0.2">
      <c r="A762" t="s">
        <v>143</v>
      </c>
      <c r="B762">
        <v>4.4434766692848875E-6</v>
      </c>
      <c r="C762" t="s">
        <v>167</v>
      </c>
      <c r="D762" t="s">
        <v>118</v>
      </c>
      <c r="F762" t="s">
        <v>20</v>
      </c>
      <c r="G762" t="s">
        <v>133</v>
      </c>
      <c r="H762" t="s">
        <v>155</v>
      </c>
    </row>
    <row r="763" spans="1:8" ns3:dyDescent="0.2">
      <c r="A763" t="s">
        <v>143</v>
      </c>
      <c r="B763">
        <v>4.1926125761665591E-6</v>
      </c>
      <c r="C763" t="s">
        <v>168</v>
      </c>
      <c r="D763" t="s">
        <v>118</v>
      </c>
      <c r="F763" t="s">
        <v>20</v>
      </c>
      <c r="G763" t="s">
        <v>133</v>
      </c>
      <c r="H763" t="s">
        <v>155</v>
      </c>
    </row>
    <row r="764" spans="1:8" ns3:dyDescent="0.2">
      <c r="A764" t="s">
        <v>143</v>
      </c>
      <c r="B764">
        <v>6.0484222468275104E-5</v>
      </c>
      <c r="C764" t="s">
        <v>169</v>
      </c>
      <c r="D764" t="s">
        <v>118</v>
      </c>
      <c r="F764" t="s">
        <v>20</v>
      </c>
      <c r="G764" t="s">
        <v>133</v>
      </c>
      <c r="H764" t="s">
        <v>155</v>
      </c>
    </row>
    <row r="765" spans="1:8" ns3:dyDescent="0.2">
      <c r="A765" t="s">
        <v>143</v>
      </c>
      <c r="B765">
        <v>1.514007386215843E-4</v>
      </c>
      <c r="C765" t="s">
        <v>170</v>
      </c>
      <c r="D765" t="s">
        <v>118</v>
      </c>
      <c r="F765" t="s">
        <v>20</v>
      </c>
      <c r="G765" t="s">
        <v>133</v>
      </c>
      <c r="H765" t="s">
        <v>155</v>
      </c>
    </row>
    <row r="766" spans="1:8" ns3:dyDescent="0.2">
      <c r="A766" t="s">
        <v>143</v>
      </c>
      <c r="B766">
        <v>3.5601661276336698E-7</v>
      </c>
      <c r="C766" t="s">
        <v>171</v>
      </c>
      <c r="D766" t="s">
        <v>118</v>
      </c>
      <c r="F766" t="s">
        <v>20</v>
      </c>
      <c r="G766" t="s">
        <v>133</v>
      </c>
      <c r="H766" t="s">
        <v>155</v>
      </c>
    </row>
    <row r="767" spans="1:8" ns3:dyDescent="0.2">
      <c r="A767" t="s">
        <v>143</v>
      </c>
      <c r="B767">
        <v>1.1318555405931894E-5</v>
      </c>
      <c r="C767" t="s">
        <v>172</v>
      </c>
      <c r="D767" t="s">
        <v>118</v>
      </c>
      <c r="F767" t="s">
        <v>20</v>
      </c>
      <c r="G767" t="s">
        <v>133</v>
      </c>
      <c r="H767" t="s">
        <v>155</v>
      </c>
    </row>
    <row r="768" spans="1:8" ns3:dyDescent="0.2">
      <c r="A768" t="s">
        <v>143</v>
      </c>
      <c r="B768">
        <v>2.134004172867707E-6</v>
      </c>
      <c r="C768" t="s">
        <v>173</v>
      </c>
      <c r="D768" t="s">
        <v>118</v>
      </c>
      <c r="F768" t="s">
        <v>20</v>
      </c>
      <c r="G768" t="s">
        <v>133</v>
      </c>
      <c r="H768" t="s">
        <v>155</v>
      </c>
    </row>
    <row r="769" spans="1:8" ns3:dyDescent="0.2">
      <c r="A769" t="s">
        <v>143</v>
      </c>
      <c r="B769">
        <v>9.9669610888651043E-6</v>
      </c>
      <c r="C769" t="s">
        <v>174</v>
      </c>
      <c r="D769" t="s">
        <v>118</v>
      </c>
      <c r="F769" t="s">
        <v>20</v>
      </c>
      <c r="G769" t="s">
        <v>133</v>
      </c>
      <c r="H769" t="s">
        <v>155</v>
      </c>
    </row>
    <row r="770" spans="1:8" ns3:dyDescent="0.2">
      <c r="A770" t="s">
        <v>143</v>
      </c>
      <c r="B770">
        <v>1.2876647509682455E-5</v>
      </c>
      <c r="C770" t="s">
        <v>175</v>
      </c>
      <c r="D770" t="s">
        <v>118</v>
      </c>
      <c r="F770" t="s">
        <v>20</v>
      </c>
      <c r="G770" t="s">
        <v>133</v>
      </c>
      <c r="H770" t="s">
        <v>155</v>
      </c>
    </row>
    <row r="771" spans="1:8" ns3:dyDescent="0.2">
      <c r="A771" t="s">
        <v>143</v>
      </c>
      <c r="B771">
        <v>4.2218801303790609E-5</v>
      </c>
      <c r="C771" t="s">
        <v>176</v>
      </c>
      <c r="D771" t="s">
        <v>118</v>
      </c>
      <c r="F771" t="s">
        <v>20</v>
      </c>
      <c r="G771" t="s">
        <v>133</v>
      </c>
      <c r="H771" t="s">
        <v>155</v>
      </c>
    </row>
    <row r="772" spans="1:8" ns3:dyDescent="0.2">
      <c r="A772" t="s">
        <v>143</v>
      </c>
      <c r="B772">
        <v>1.5556967374937835E-4</v>
      </c>
      <c r="C772" t="s">
        <v>177</v>
      </c>
      <c r="D772" t="s">
        <v>118</v>
      </c>
      <c r="F772" t="s">
        <v>20</v>
      </c>
      <c r="G772" t="s">
        <v>133</v>
      </c>
      <c r="H772" t="s">
        <v>155</v>
      </c>
    </row>
    <row r="773" spans="1:8" ns3:dyDescent="0.2">
      <c r="A773" t="s">
        <v>143</v>
      </c>
      <c r="B773">
        <v>5.0799333235433299E-5</v>
      </c>
      <c r="C773" t="s">
        <v>178</v>
      </c>
      <c r="D773" t="s">
        <v>118</v>
      </c>
      <c r="F773" t="s">
        <v>20</v>
      </c>
      <c r="G773" t="s">
        <v>133</v>
      </c>
      <c r="H773" t="s">
        <v>155</v>
      </c>
    </row>
    <row r="774" spans="1:8" ns3:dyDescent="0.2">
      <c r="A774" t="s">
        <v>143</v>
      </c>
      <c r="B774">
        <v>1.423735886511755E-5</v>
      </c>
      <c r="C774" t="s">
        <v>179</v>
      </c>
      <c r="D774" t="s">
        <v>118</v>
      </c>
      <c r="F774" t="s">
        <v>20</v>
      </c>
      <c r="G774" t="s">
        <v>133</v>
      </c>
      <c r="H774" t="s">
        <v>155</v>
      </c>
    </row>
    <row r="775" spans="1:8" ns3:dyDescent="0.2">
      <c r="A775" t="s">
        <v>143</v>
      </c>
      <c r="B775">
        <v>7.4239026800777385E-4</v>
      </c>
      <c r="C775" t="s">
        <v>180</v>
      </c>
      <c r="D775" t="s">
        <v>118</v>
      </c>
      <c r="F775" t="s">
        <v>20</v>
      </c>
      <c r="G775" t="s">
        <v>133</v>
      </c>
      <c r="H775" t="s">
        <v>155</v>
      </c>
    </row>
    <row r="776" spans="1:8" ns3:dyDescent="0.2">
      <c r="A776" t="s">
        <v>143</v>
      </c>
      <c r="B776">
        <v>8.1630148424875851E-6</v>
      </c>
      <c r="C776" t="s">
        <v>181</v>
      </c>
      <c r="D776" t="s">
        <v>118</v>
      </c>
      <c r="F776" t="s">
        <v>20</v>
      </c>
      <c r="G776" t="s">
        <v>133</v>
      </c>
      <c r="H776" t="s">
        <v>155</v>
      </c>
    </row>
    <row r="777" spans="1:8" ns3:dyDescent="0.2">
      <c r="A777" t="s">
        <v>143</v>
      </c>
      <c r="B777">
        <v>1.2555586856793823E-5</v>
      </c>
      <c r="C777" t="s">
        <v>182</v>
      </c>
      <c r="D777" t="s">
        <v>118</v>
      </c>
      <c r="F777" t="s">
        <v>20</v>
      </c>
      <c r="G777" t="s">
        <v>133</v>
      </c>
      <c r="H777" t="s">
        <v>155</v>
      </c>
    </row>
    <row r="778" spans="1:8" ns3:dyDescent="0.2">
      <c r="A778" t="s">
        <v>143</v>
      </c>
      <c r="B778">
        <v>9.8748923345076315E-6</v>
      </c>
      <c r="C778" t="s">
        <v>183</v>
      </c>
      <c r="D778" t="s">
        <v>118</v>
      </c>
      <c r="F778" t="s">
        <v>20</v>
      </c>
      <c r="G778" t="s">
        <v>133</v>
      </c>
      <c r="H778" t="s">
        <v>155</v>
      </c>
    </row>
    <row r="779" spans="1:8" ns3:dyDescent="0.2">
      <c r="A779" t="s">
        <v>143</v>
      </c>
      <c r="B779">
        <v>1.1266785131530799E-5</v>
      </c>
      <c r="C779" t="s">
        <v>184</v>
      </c>
      <c r="D779" t="s">
        <v>118</v>
      </c>
      <c r="F779" t="s">
        <v>20</v>
      </c>
      <c r="G779" t="s">
        <v>133</v>
      </c>
      <c r="H779" t="s">
        <v>155</v>
      </c>
    </row>
    <row r="780" spans="1:8" ns3:dyDescent="0.2">
      <c r="A780" t="s">
        <v>143</v>
      </c>
      <c r="B780">
        <v>4.6377319404111527E-4</v>
      </c>
      <c r="C780" t="s">
        <v>185</v>
      </c>
      <c r="D780" t="s">
        <v>118</v>
      </c>
      <c r="F780" t="s">
        <v>20</v>
      </c>
      <c r="G780" t="s">
        <v>133</v>
      </c>
      <c r="H780" t="s">
        <v>155</v>
      </c>
    </row>
    <row r="781" spans="1:8" ns3:dyDescent="0.2">
      <c r="A781" t="s">
        <v>143</v>
      </c>
      <c r="B781">
        <v>8.6263968653799177E-5</v>
      </c>
      <c r="C781" t="s">
        <v>186</v>
      </c>
      <c r="D781" t="s">
        <v>118</v>
      </c>
      <c r="F781" t="s">
        <v>20</v>
      </c>
      <c r="G781" t="s">
        <v>133</v>
      </c>
      <c r="H781" t="s">
        <v>155</v>
      </c>
    </row>
    <row r="782" spans="1:8" ns3:dyDescent="0.2">
      <c r="A782" t="s">
        <v>143</v>
      </c>
      <c r="B782">
        <v>1.2086335601774006E-5</v>
      </c>
      <c r="C782" t="s">
        <v>187</v>
      </c>
      <c r="D782" t="s">
        <v>118</v>
      </c>
      <c r="F782" t="s">
        <v>20</v>
      </c>
      <c r="G782" t="s">
        <v>133</v>
      </c>
      <c r="H782" t="s">
        <v>155</v>
      </c>
    </row>
    <row r="783" spans="1:8" ns3:dyDescent="0.2">
      <c r="A783" t="s">
        <v>143</v>
      </c>
      <c r="B783">
        <v>1.2674566605527497E-5</v>
      </c>
      <c r="C783" t="s">
        <v>188</v>
      </c>
      <c r="D783" t="s">
        <v>118</v>
      </c>
      <c r="F783" t="s">
        <v>20</v>
      </c>
      <c r="G783" t="s">
        <v>133</v>
      </c>
      <c r="H783" t="s">
        <v>155</v>
      </c>
    </row>
    <row r="784" spans="1:8" ns3:dyDescent="0.2">
      <c r="A784" t="s">
        <v>143</v>
      </c>
      <c r="B784">
        <v>2.6411636781443213E-5</v>
      </c>
      <c r="C784" t="s">
        <v>189</v>
      </c>
      <c r="D784" t="s">
        <v>118</v>
      </c>
      <c r="F784" t="s">
        <v>20</v>
      </c>
      <c r="G784" t="s">
        <v>133</v>
      </c>
      <c r="H784" t="s">
        <v>155</v>
      </c>
    </row>
    <row r="785" spans="1:8" ns3:dyDescent="0.2">
      <c r="A785" t="s">
        <v>143</v>
      </c>
      <c r="B785">
        <v>3.0851937864359097E-5</v>
      </c>
      <c r="C785" t="s">
        <v>190</v>
      </c>
      <c r="D785" t="s">
        <v>118</v>
      </c>
      <c r="F785" t="s">
        <v>20</v>
      </c>
      <c r="G785" t="s">
        <v>133</v>
      </c>
      <c r="H785" t="s">
        <v>155</v>
      </c>
    </row>
    <row r="786" spans="1:8" ns3:dyDescent="0.2">
      <c r="A786" t="s">
        <v>143</v>
      </c>
      <c r="B786">
        <v>1.8911098672967281E-5</v>
      </c>
      <c r="C786" t="s">
        <v>191</v>
      </c>
      <c r="D786" t="s">
        <v>118</v>
      </c>
      <c r="F786" t="s">
        <v>20</v>
      </c>
      <c r="G786" t="s">
        <v>133</v>
      </c>
      <c r="H786" t="s">
        <v>155</v>
      </c>
    </row>
    <row r="787" spans="1:8" ns3:dyDescent="0.2">
      <c r="A787" t="s">
        <v>143</v>
      </c>
      <c r="B787">
        <v>7.0555515680939947E-6</v>
      </c>
      <c r="C787" t="s">
        <v>192</v>
      </c>
      <c r="D787" t="s">
        <v>118</v>
      </c>
      <c r="F787" t="s">
        <v>20</v>
      </c>
      <c r="G787" t="s">
        <v>133</v>
      </c>
      <c r="H787" t="s">
        <v>155</v>
      </c>
    </row>
    <row r="788" spans="1:8" ns3:dyDescent="0.2">
      <c r="A788" t="s">
        <v>143</v>
      </c>
      <c r="B788">
        <v>1.2267250738584516E-6</v>
      </c>
      <c r="C788" t="s">
        <v>193</v>
      </c>
      <c r="D788" t="s">
        <v>118</v>
      </c>
      <c r="F788" t="s">
        <v>20</v>
      </c>
      <c r="G788" t="s">
        <v>133</v>
      </c>
      <c r="H788" t="s">
        <v>155</v>
      </c>
    </row>
    <row r="789" spans="1:8" ns3:dyDescent="0.2">
      <c r="A789" t="s">
        <v>143</v>
      </c>
      <c r="B789">
        <v>1.3926355601422884E-4</v>
      </c>
      <c r="C789" t="s">
        <v>194</v>
      </c>
      <c r="D789" t="s">
        <v>118</v>
      </c>
      <c r="F789" t="s">
        <v>20</v>
      </c>
      <c r="G789" t="s">
        <v>133</v>
      </c>
      <c r="H789" t="s">
        <v>155</v>
      </c>
    </row>
    <row r="790" spans="1:8" ns3:dyDescent="0.2">
      <c r="A790" t="s">
        <v>143</v>
      </c>
      <c r="B790">
        <v>1.3347091262144825E-5</v>
      </c>
      <c r="C790" t="s">
        <v>195</v>
      </c>
      <c r="D790" t="s">
        <v>118</v>
      </c>
      <c r="F790" t="s">
        <v>20</v>
      </c>
      <c r="G790" t="s">
        <v>133</v>
      </c>
      <c r="H790" t="s">
        <v>155</v>
      </c>
    </row>
    <row r="791" spans="1:8" ns3:dyDescent="0.2">
      <c r="A791" t="s">
        <v>143</v>
      </c>
      <c r="B791">
        <v>3.8350483406920023E-6</v>
      </c>
      <c r="C791" t="s">
        <v>196</v>
      </c>
      <c r="D791" t="s">
        <v>118</v>
      </c>
      <c r="F791" t="s">
        <v>20</v>
      </c>
      <c r="G791" t="s">
        <v>133</v>
      </c>
      <c r="H791" t="s">
        <v>155</v>
      </c>
    </row>
    <row r="792" spans="1:8" ns3:dyDescent="0.2">
      <c r="A792" t="s">
        <v>143</v>
      </c>
      <c r="B792">
        <v>1.2348269447796035E-6</v>
      </c>
      <c r="C792" t="s">
        <v>197</v>
      </c>
      <c r="D792" t="s">
        <v>118</v>
      </c>
      <c r="F792" t="s">
        <v>20</v>
      </c>
      <c r="G792" t="s">
        <v>133</v>
      </c>
      <c r="H792" t="s">
        <v>155</v>
      </c>
    </row>
    <row r="793" spans="1:8" ns3:dyDescent="0.2">
      <c r="A793" t="s">
        <v>143</v>
      </c>
      <c r="B793">
        <v>2.0836787608110873E-5</v>
      </c>
      <c r="C793" t="s">
        <v>198</v>
      </c>
      <c r="D793" t="s">
        <v>118</v>
      </c>
      <c r="F793" t="s">
        <v>20</v>
      </c>
      <c r="G793" t="s">
        <v>133</v>
      </c>
      <c r="H793" t="s">
        <v>155</v>
      </c>
    </row>
    <row r="794" spans="1:8" ns3:dyDescent="0.2">
      <c r="A794" t="s">
        <v>143</v>
      </c>
      <c r="B794">
        <v>6.4618250871595782E-6</v>
      </c>
      <c r="C794" t="s">
        <v>199</v>
      </c>
      <c r="D794" t="s">
        <v>118</v>
      </c>
      <c r="F794" t="s">
        <v>20</v>
      </c>
      <c r="G794" t="s">
        <v>133</v>
      </c>
      <c r="H794" t="s">
        <v>155</v>
      </c>
    </row>
    <row r="795" spans="1:8" ns3:dyDescent="0.2">
      <c r="A795" t="s">
        <v>143</v>
      </c>
      <c r="B795">
        <v>3.7226422456733101E-5</v>
      </c>
      <c r="C795" t="s">
        <v>200</v>
      </c>
      <c r="D795" t="s">
        <v>118</v>
      </c>
      <c r="F795" t="s">
        <v>20</v>
      </c>
      <c r="G795" t="s">
        <v>133</v>
      </c>
      <c r="H795" t="s">
        <v>155</v>
      </c>
    </row>
    <row r="796" spans="1:8" ns3:dyDescent="0.2">
      <c r="A796" t="s">
        <v>143</v>
      </c>
      <c r="B796">
        <v>3.1267306621838824E-5</v>
      </c>
      <c r="C796" t="s">
        <v>201</v>
      </c>
      <c r="D796" t="s">
        <v>118</v>
      </c>
      <c r="F796" t="s">
        <v>20</v>
      </c>
      <c r="G796" t="s">
        <v>133</v>
      </c>
      <c r="H796" t="s">
        <v>155</v>
      </c>
    </row>
    <row r="797" spans="1:8" ns3:dyDescent="0.2">
      <c r="A797" t="s">
        <v>143</v>
      </c>
      <c r="B797">
        <v>8.5794619628603227E-5</v>
      </c>
      <c r="C797" t="s">
        <v>202</v>
      </c>
      <c r="D797" t="s">
        <v>118</v>
      </c>
      <c r="F797" t="s">
        <v>20</v>
      </c>
      <c r="G797" t="s">
        <v>133</v>
      </c>
      <c r="H797" t="s">
        <v>155</v>
      </c>
    </row>
    <row r="798" spans="1:8" ns3:dyDescent="0.2">
      <c r="A798" t="s">
        <v>143</v>
      </c>
      <c r="B798">
        <v>1.0837884512442709E-4</v>
      </c>
      <c r="C798" t="s">
        <v>203</v>
      </c>
      <c r="D798" t="s">
        <v>118</v>
      </c>
      <c r="F798" t="s">
        <v>20</v>
      </c>
      <c r="G798" t="s">
        <v>133</v>
      </c>
      <c r="H798" t="s">
        <v>155</v>
      </c>
    </row>
    <row r="799" spans="1:8" ns3:dyDescent="0.2">
      <c r="A799" t="s">
        <v>143</v>
      </c>
      <c r="B799">
        <v>1.6086541690343913E-6</v>
      </c>
      <c r="C799" t="s">
        <v>204</v>
      </c>
      <c r="D799" t="s">
        <v>118</v>
      </c>
      <c r="F799" t="s">
        <v>20</v>
      </c>
      <c r="G799" t="s">
        <v>133</v>
      </c>
      <c r="H799" t="s">
        <v>155</v>
      </c>
    </row>
    <row r="800" spans="1:8" ns3:dyDescent="0.2">
      <c r="A800" t="s">
        <v>143</v>
      </c>
      <c r="B800">
        <v>1.3722119829251926E-5</v>
      </c>
      <c r="C800" t="s">
        <v>205</v>
      </c>
      <c r="D800" t="s">
        <v>118</v>
      </c>
      <c r="F800" t="s">
        <v>20</v>
      </c>
      <c r="G800" t="s">
        <v>133</v>
      </c>
      <c r="H800" t="s">
        <v>155</v>
      </c>
    </row>
    <row r="801" spans="1:8" ns3:dyDescent="0.2">
      <c r="A801" t="s">
        <v>143</v>
      </c>
      <c r="B801">
        <v>4.0095134390668232E-5</v>
      </c>
      <c r="C801" t="s">
        <v>206</v>
      </c>
      <c r="D801" t="s">
        <v>118</v>
      </c>
      <c r="F801" t="s">
        <v>20</v>
      </c>
      <c r="G801" t="s">
        <v>133</v>
      </c>
      <c r="H801" t="s">
        <v>155</v>
      </c>
    </row>
    <row r="802" spans="1:8" ns3:dyDescent="0.2">
      <c r="A802" t="s">
        <v>143</v>
      </c>
      <c r="B802">
        <v>3.4396359975209893E-6</v>
      </c>
      <c r="C802" t="s">
        <v>207</v>
      </c>
      <c r="D802" t="s">
        <v>118</v>
      </c>
      <c r="F802" t="s">
        <v>20</v>
      </c>
      <c r="G802" t="s">
        <v>133</v>
      </c>
      <c r="H802" t="s">
        <v>155</v>
      </c>
    </row>
    <row r="803" spans="1:8" ns3:dyDescent="0.2">
      <c r="A803" t="s">
        <v>143</v>
      </c>
      <c r="B803">
        <v>4.5918088787446072E-7</v>
      </c>
      <c r="C803" t="s">
        <v>208</v>
      </c>
      <c r="D803" t="s">
        <v>118</v>
      </c>
      <c r="F803" t="s">
        <v>20</v>
      </c>
      <c r="G803" t="s">
        <v>133</v>
      </c>
      <c r="H803" t="s">
        <v>155</v>
      </c>
    </row>
    <row r="804" spans="1:8" ns3:dyDescent="0.2">
      <c r="A804" t="s">
        <v>143</v>
      </c>
      <c r="B804">
        <v>1.2767259676324397E-5</v>
      </c>
      <c r="C804" t="s">
        <v>209</v>
      </c>
      <c r="D804" t="s">
        <v>118</v>
      </c>
      <c r="F804" t="s">
        <v>20</v>
      </c>
      <c r="G804" t="s">
        <v>133</v>
      </c>
      <c r="H804" t="s">
        <v>155</v>
      </c>
    </row>
    <row r="805" spans="1:8" ns3:dyDescent="0.2">
      <c r="A805" t="s">
        <v>143</v>
      </c>
      <c r="B805">
        <v>1.3126419862680658E-6</v>
      </c>
      <c r="C805" t="s">
        <v>210</v>
      </c>
      <c r="D805" t="s">
        <v>118</v>
      </c>
      <c r="F805" t="s">
        <v>20</v>
      </c>
      <c r="G805" t="s">
        <v>133</v>
      </c>
      <c r="H805" t="s">
        <v>155</v>
      </c>
    </row>
    <row r="806" spans="1:8" ns3:dyDescent="0.2">
      <c r="A806" t="s">
        <v>143</v>
      </c>
      <c r="B806">
        <v>9.77666218959612E-5</v>
      </c>
      <c r="C806" t="s">
        <v>211</v>
      </c>
      <c r="D806" t="s">
        <v>118</v>
      </c>
      <c r="F806" t="s">
        <v>20</v>
      </c>
      <c r="G806" t="s">
        <v>133</v>
      </c>
      <c r="H806" t="s">
        <v>155</v>
      </c>
    </row>
    <row r="807" spans="1:8" ns3:dyDescent="0.2">
      <c r="A807" t="s">
        <v>143</v>
      </c>
      <c r="B807">
        <v>1.5014312991782186E-5</v>
      </c>
      <c r="C807" t="s">
        <v>212</v>
      </c>
      <c r="D807" t="s">
        <v>118</v>
      </c>
      <c r="F807" t="s">
        <v>20</v>
      </c>
      <c r="G807" t="s">
        <v>133</v>
      </c>
      <c r="H807" t="s">
        <v>155</v>
      </c>
    </row>
    <row r="808" spans="1:8" ns3:dyDescent="0.2">
      <c r="A808" t="s">
        <v>143</v>
      </c>
      <c r="B808">
        <v>1.5127091694465501E-5</v>
      </c>
      <c r="C808" t="s">
        <v>213</v>
      </c>
      <c r="D808" t="s">
        <v>118</v>
      </c>
      <c r="F808" t="s">
        <v>20</v>
      </c>
      <c r="G808" t="s">
        <v>133</v>
      </c>
      <c r="H808" t="s">
        <v>155</v>
      </c>
    </row>
    <row r="809" spans="1:8" ns3:dyDescent="0.2">
      <c r="A809" t="s">
        <v>143</v>
      </c>
      <c r="B809">
        <v>1.6018937423981249E-5</v>
      </c>
      <c r="C809" t="s">
        <v>214</v>
      </c>
      <c r="D809" t="s">
        <v>118</v>
      </c>
      <c r="F809" t="s">
        <v>20</v>
      </c>
      <c r="G809" t="s">
        <v>133</v>
      </c>
      <c r="H809" t="s">
        <v>155</v>
      </c>
    </row>
    <row r="810" spans="1:8" ns3:dyDescent="0.2">
      <c r="A810" t="s">
        <v>143</v>
      </c>
      <c r="B810">
        <v>2.2681068604609776E-4</v>
      </c>
      <c r="C810" t="s">
        <v>215</v>
      </c>
      <c r="D810" t="s">
        <v>118</v>
      </c>
      <c r="F810" t="s">
        <v>20</v>
      </c>
      <c r="G810" t="s">
        <v>133</v>
      </c>
      <c r="H810" t="s">
        <v>155</v>
      </c>
    </row>
    <row r="811" spans="1:8" ns3:dyDescent="0.2">
      <c r="A811" t="s">
        <v>143</v>
      </c>
      <c r="B811">
        <v>1.960919552562962E-4</v>
      </c>
      <c r="C811" t="s">
        <v>216</v>
      </c>
      <c r="D811" t="s">
        <v>118</v>
      </c>
      <c r="F811" t="s">
        <v>20</v>
      </c>
      <c r="G811" t="s">
        <v>133</v>
      </c>
      <c r="H811" t="s">
        <v>155</v>
      </c>
    </row>
    <row r="812" spans="1:8" ns3:dyDescent="0.2">
      <c r="A812" t="s">
        <v>143</v>
      </c>
      <c r="B812">
        <v>6.4777383449873025E-6</v>
      </c>
      <c r="C812" t="s">
        <v>217</v>
      </c>
      <c r="D812" t="s">
        <v>118</v>
      </c>
      <c r="F812" t="s">
        <v>20</v>
      </c>
      <c r="G812" t="s">
        <v>133</v>
      </c>
      <c r="H812" t="s">
        <v>155</v>
      </c>
    </row>
    <row r="813" spans="1:8" ns3:dyDescent="0.2">
      <c r="A813" t="s">
        <v>143</v>
      </c>
      <c r="B813">
        <v>5.3781484647562505E-5</v>
      </c>
      <c r="C813" t="s">
        <v>218</v>
      </c>
      <c r="D813" t="s">
        <v>118</v>
      </c>
      <c r="F813" t="s">
        <v>20</v>
      </c>
      <c r="G813" t="s">
        <v>133</v>
      </c>
      <c r="H813" t="s">
        <v>155</v>
      </c>
    </row>
    <row r="814" spans="1:8" ns3:dyDescent="0.2">
      <c r="A814" t="s">
        <v>143</v>
      </c>
      <c r="B814">
        <v>1.8946790597335053E-4</v>
      </c>
      <c r="C814" t="s">
        <v>219</v>
      </c>
      <c r="D814" t="s">
        <v>118</v>
      </c>
      <c r="F814" t="s">
        <v>20</v>
      </c>
      <c r="G814" t="s">
        <v>133</v>
      </c>
      <c r="H814" t="s">
        <v>155</v>
      </c>
    </row>
    <row r="815" spans="1:8" ns3:dyDescent="0.2">
      <c r="A815" t="s">
        <v>143</v>
      </c>
      <c r="B815">
        <v>2.1165033891912112E-6</v>
      </c>
      <c r="C815" t="s">
        <v>220</v>
      </c>
      <c r="D815" t="s">
        <v>118</v>
      </c>
      <c r="F815" t="s">
        <v>20</v>
      </c>
      <c r="G815" t="s">
        <v>133</v>
      </c>
      <c r="H815" t="s">
        <v>155</v>
      </c>
    </row>
    <row r="816" spans="1:8" ns3:dyDescent="0.2">
      <c r="A816" t="s">
        <v>143</v>
      </c>
      <c r="B816">
        <v>1.199530654780401E-5</v>
      </c>
      <c r="C816" t="s">
        <v>221</v>
      </c>
      <c r="D816" t="s">
        <v>118</v>
      </c>
      <c r="F816" t="s">
        <v>20</v>
      </c>
      <c r="G816" t="s">
        <v>133</v>
      </c>
      <c r="H816" t="s">
        <v>155</v>
      </c>
    </row>
    <row r="817" spans="1:8" ns3:dyDescent="0.2">
      <c r="A817" t="s">
        <v>143</v>
      </c>
      <c r="B817">
        <v>7.075551885466286E-6</v>
      </c>
      <c r="C817" t="s">
        <v>222</v>
      </c>
      <c r="D817" t="s">
        <v>118</v>
      </c>
      <c r="F817" t="s">
        <v>20</v>
      </c>
      <c r="G817" t="s">
        <v>133</v>
      </c>
      <c r="H817" t="s">
        <v>155</v>
      </c>
    </row>
    <row r="818" spans="1:8" ns3:dyDescent="0.2">
      <c r="A818" t="s">
        <v>117</v>
      </c>
      <c r="B818">
        <v>8.1903245478436135E-4</v>
      </c>
      <c r="C818" t="s">
        <v>223</v>
      </c>
      <c r="D818" t="s">
        <v>118</v>
      </c>
      <c r="F818" t="s">
        <v>20</v>
      </c>
      <c r="G818" t="s">
        <v>119</v>
      </c>
      <c r="H818" t="s">
        <v>155</v>
      </c>
    </row>
    <row r="819" spans="1:8" ns3:dyDescent="0.2">
      <c r="A819" t="s">
        <v>117</v>
      </c>
      <c r="B819">
        <v>4.6202112966005788E-4</v>
      </c>
      <c r="C819" t="s">
        <v>224</v>
      </c>
      <c r="D819" t="s">
        <v>118</v>
      </c>
      <c r="F819" t="s">
        <v>20</v>
      </c>
      <c r="G819" t="s">
        <v>119</v>
      </c>
      <c r="H819" t="s">
        <v>155</v>
      </c>
    </row>
    <row r="820" spans="1:8" ns3:dyDescent="0.2">
      <c r="A820" t="s">
        <v>117</v>
      </c>
      <c r="B820">
        <v>2.5841335903028948E-3</v>
      </c>
      <c r="C820" t="s">
        <v>225</v>
      </c>
      <c r="D820" t="s">
        <v>118</v>
      </c>
      <c r="F820" t="s">
        <v>20</v>
      </c>
      <c r="G820" t="s">
        <v>119</v>
      </c>
      <c r="H820" t="s">
        <v>155</v>
      </c>
    </row>
    <row r="821" spans="1:8" ns3:dyDescent="0.2">
      <c r="A821" t="s">
        <v>132</v>
      </c>
      <c r="B821">
        <v>1.2500487794951101E-3</v>
      </c>
      <c r="C821" t="s">
        <v>223</v>
      </c>
      <c r="D821" t="s">
        <v>118</v>
      </c>
      <c r="F821" t="s">
        <v>20</v>
      </c>
      <c r="G821" t="s">
        <v>133</v>
      </c>
      <c r="H821" t="s">
        <v>155</v>
      </c>
    </row>
    <row r="822" spans="1:8" ns3:dyDescent="0.2">
      <c r="A822" t="s">
        <v>132</v>
      </c>
      <c r="B822">
        <v>7.0895768324913801E-4</v>
      </c>
      <c r="C822" t="s">
        <v>224</v>
      </c>
      <c r="D822" t="s">
        <v>118</v>
      </c>
      <c r="F822" t="s">
        <v>20</v>
      </c>
      <c r="G822" t="s">
        <v>133</v>
      </c>
      <c r="H822" t="s">
        <v>155</v>
      </c>
    </row>
    <row r="823" spans="1:8" ns3:dyDescent="0.2">
      <c r="A823" t="s">
        <v>132</v>
      </c>
      <c r="B823">
        <v>4.0061531065885047E-3</v>
      </c>
      <c r="C823" t="s">
        <v>225</v>
      </c>
      <c r="D823" t="s">
        <v>118</v>
      </c>
      <c r="F823" t="s">
        <v>20</v>
      </c>
      <c r="G823" t="s">
        <v>133</v>
      </c>
      <c r="H823" t="s">
        <v>155</v>
      </c>
    </row>
    <row r="824" spans="1:8" ns3:dyDescent="0.2">
      <c r="A824" t="s">
        <v>37</v>
      </c>
      <c r="B824">
        <v>7.1100000000000003E-10</v>
      </c>
      <c r="C824" t="s">
        <v>3</v>
      </c>
      <c r="D824" t="s">
        <v>9</v>
      </c>
      <c r="F824" t="s">
        <v>20</v>
      </c>
      <c r="G824" t="inlineStr">
        <is>
          <t>locomotive electric, catenary</t>
        </is>
      </c>
      <c r="H824"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electricity - RoW"</t>
        </is>
      </c>
    </row>
    <row r="825" spans="1:8" ns3:dyDescent="0.2">
      <c r="A825" t="s">
        <v>129</v>
      </c>
      <c r="B825">
        <v>7.1100000000000003E-10</v>
      </c>
      <c r="C825" t="s">
        <v>3</v>
      </c>
      <c r="D825" t="s">
        <v>9</v>
      </c>
      <c r="F825" t="s">
        <v>20</v>
      </c>
      <c r="G825" t="s">
        <v>67</v>
      </c>
      <c r="H825" t="s">
        <v>226</v>
      </c>
    </row>
    <row r="826" spans="1:8" ns3:dyDescent="0.2">
      <c r="A826" t="s">
        <v>56</v>
      </c>
      <c r="B826">
        <v>4.5900000000000001E-8</v>
      </c>
      <c r="C826" t="s">
        <v>3</v>
      </c>
      <c r="D826" t="s">
        <v>9</v>
      </c>
      <c r="F826" t="s">
        <v>20</v>
      </c>
      <c r="G826" t="s">
        <v>57</v>
      </c>
      <c r="H826" t="s">
        <v>226</v>
      </c>
    </row>
    <row r="827" spans="1:8" ns3:dyDescent="0.2">
      <c r="A827" t="s">
        <v>130</v>
      </c>
      <c r="B827">
        <v>4.5900000000000001E-8</v>
      </c>
      <c r="C827" t="s">
        <v>3</v>
      </c>
      <c r="D827" t="s">
        <v>9</v>
      </c>
      <c r="F827" t="s">
        <v>20</v>
      </c>
      <c r="G827" t="s">
        <v>68</v>
      </c>
      <c r="H827" t="s">
        <v>226</v>
      </c>
    </row>
    <row r="828" spans="1:8" ns3:dyDescent="0.2">
      <c r="A828" t="s">
        <v>69</v>
      </c>
      <c r="B828">
        <v>9.2917999999999994E-5</v>
      </c>
      <c r="C828" t="s">
        <v>3</v>
      </c>
      <c r="D828" t="s">
        <v>70</v>
      </c>
      <c r="F828" t="s">
        <v>20</v>
      </c>
      <c r="G828" t="s">
        <v>71</v>
      </c>
      <c r="H828" t="s">
        <v>226</v>
      </c>
    </row>
    <row r="829" spans="1:8" ns3:dyDescent="0.2">
      <c r="A829" t="s">
        <v>72</v>
      </c>
      <c r="B829">
        <v>1.3540000000000001E-8</v>
      </c>
      <c r="D829" t="s">
        <v>24</v>
      </c>
      <c r="E829" t="s">
        <v>240</v>
      </c>
      <c r="F829" t="s">
        <v>73</v>
      </c>
      <c r="H829" t="s">
        <v>74</v>
      </c>
    </row>
    <row r="830" spans="1:8" ns3:dyDescent="0.2">
      <c r="A830" t="s">
        <v>75</v>
      </c>
      <c r="B830">
        <v>6.7700000000000004E-8</v>
      </c>
      <c r="D830" t="s">
        <v>24</v>
      </c>
      <c r="E830" t="s">
        <v>240</v>
      </c>
      <c r="F830" t="s">
        <v>73</v>
      </c>
      <c r="H830" t="s">
        <v>76</v>
      </c>
    </row>
    <row r="831" spans="1:8" ns3:dyDescent="0.2">
      <c r="A831" t="s">
        <v>77</v>
      </c>
      <c r="B831">
        <v>6.7699999999999996E-12</v>
      </c>
      <c r="D831" t="s">
        <v>24</v>
      </c>
      <c r="E831" t="s">
        <v>240</v>
      </c>
      <c r="F831" t="s">
        <v>73</v>
      </c>
      <c r="H831" t="s">
        <v>78</v>
      </c>
    </row>
    <row r="832" spans="1:8" ns3:dyDescent="0.2">
      <c r="A832" t="s">
        <v>79</v>
      </c>
      <c r="B832">
        <v>2.1298419999999998E-3</v>
      </c>
      <c r="D832" t="s">
        <v>24</v>
      </c>
      <c r="E832" t="s">
        <v>240</v>
      </c>
      <c r="F832" t="s">
        <v>73</v>
      </c>
      <c r="H832" t="s">
        <v>80</v>
      </c>
    </row>
    <row r="833" spans="1:8" ns3:dyDescent="0.2">
      <c r="A833" t="s">
        <v>81</v>
      </c>
      <c r="B833">
        <v>1.06966E-5</v>
      </c>
      <c r="D833" t="s">
        <v>24</v>
      </c>
      <c r="E833" t="s">
        <v>240</v>
      </c>
      <c r="F833" t="s">
        <v>73</v>
      </c>
      <c r="H833" t="s">
        <v>82</v>
      </c>
    </row>
    <row r="834" spans="1:8" ns3:dyDescent="0.2">
      <c r="A834" t="s">
        <v>83</v>
      </c>
      <c r="B834">
        <v>3.3849999999999998E-11</v>
      </c>
      <c r="D834" t="s">
        <v>24</v>
      </c>
      <c r="E834" t="s">
        <v>240</v>
      </c>
      <c r="F834" t="s">
        <v>73</v>
      </c>
      <c r="H834" t="s">
        <v>84</v>
      </c>
    </row>
    <row r="835" spans="1:8" ns3:dyDescent="0.2">
      <c r="A835" t="s">
        <v>85</v>
      </c>
      <c r="B835">
        <v>1.1509E-9</v>
      </c>
      <c r="D835" t="s">
        <v>24</v>
      </c>
      <c r="E835" t="s">
        <v>240</v>
      </c>
      <c r="F835" t="s">
        <v>73</v>
      </c>
      <c r="H835" t="s">
        <v>86</v>
      </c>
    </row>
    <row r="836" spans="1:8" ns3:dyDescent="0.2">
      <c r="A836" t="s">
        <v>87</v>
      </c>
      <c r="B836">
        <v>6.7700000000000004E-8</v>
      </c>
      <c r="D836" t="s">
        <v>24</v>
      </c>
      <c r="E836" t="s">
        <v>240</v>
      </c>
      <c r="F836" t="s">
        <v>73</v>
      </c>
      <c r="H836" t="s">
        <v>76</v>
      </c>
    </row>
    <row r="837" spans="1:8" ns3:dyDescent="0.2">
      <c r="A837" t="s">
        <v>88</v>
      </c>
      <c r="B837">
        <v>1.24E-5</v>
      </c>
      <c r="D837" t="s">
        <v>24</v>
      </c>
      <c r="E837" t="s">
        <v>275</v>
      </c>
      <c r="F837" t="s">
        <v>73</v>
      </c>
      <c r="H837" t="s">
        <v>89</v>
      </c>
    </row>
    <row r="838" spans="1:8" ns3:dyDescent="0.2">
      <c r="A838" t="s">
        <v>90</v>
      </c>
      <c r="B838">
        <v>7.4469999999999997E-14</v>
      </c>
      <c r="D838" t="s">
        <v>24</v>
      </c>
      <c r="E838" t="s">
        <v>240</v>
      </c>
      <c r="F838" t="s">
        <v>73</v>
      </c>
      <c r="H838" t="s">
        <v>91</v>
      </c>
    </row>
    <row r="839" spans="1:8" ns3:dyDescent="0.2">
      <c r="A839" t="s">
        <v>92</v>
      </c>
      <c r="B839">
        <v>1.3539999999999998E-14</v>
      </c>
      <c r="D839" t="s">
        <v>24</v>
      </c>
      <c r="E839" t="s">
        <v>240</v>
      </c>
      <c r="F839" t="s">
        <v>73</v>
      </c>
      <c r="H839" t="s">
        <v>93</v>
      </c>
    </row>
    <row r="840" spans="1:8" ns3:dyDescent="0.2">
      <c r="A840" t="s">
        <v>94</v>
      </c>
      <c r="B840">
        <v>8.8009999999999992E-8</v>
      </c>
      <c r="D840" t="s">
        <v>24</v>
      </c>
      <c r="E840" t="s">
        <v>240</v>
      </c>
      <c r="F840" t="s">
        <v>73</v>
      </c>
      <c r="H840" t="s">
        <v>95</v>
      </c>
    </row>
    <row r="841" spans="1:8" ns3:dyDescent="0.2">
      <c r="A841" t="s">
        <v>96</v>
      </c>
      <c r="B841">
        <v>3.5542499999999999E-6</v>
      </c>
      <c r="D841" t="s">
        <v>24</v>
      </c>
      <c r="E841" t="s">
        <v>240</v>
      </c>
      <c r="F841" t="s">
        <v>73</v>
      </c>
      <c r="H841" t="s">
        <v>97</v>
      </c>
    </row>
    <row r="842" spans="1:8" ns3:dyDescent="0.2">
      <c r="A842" t="s">
        <v>98</v>
      </c>
      <c r="B842">
        <v>4.7390000000000004E-11</v>
      </c>
      <c r="D842" t="s">
        <v>24</v>
      </c>
      <c r="E842" t="s">
        <v>240</v>
      </c>
      <c r="F842" t="s">
        <v>73</v>
      </c>
      <c r="H842" t="s">
        <v>99</v>
      </c>
    </row>
    <row r="843" spans="1:8" ns3:dyDescent="0.2">
      <c r="A843" t="s">
        <v>100</v>
      </c>
      <c r="B843">
        <v>3.7234999999999998E-5</v>
      </c>
      <c r="D843" t="s">
        <v>24</v>
      </c>
      <c r="E843" t="s">
        <v>240</v>
      </c>
      <c r="F843" t="s">
        <v>73</v>
      </c>
      <c r="H843" t="s">
        <v>101</v>
      </c>
    </row>
    <row r="844" spans="1:8" ns3:dyDescent="0.2">
      <c r="A844" t="s">
        <v>102</v>
      </c>
      <c r="B844">
        <v>8.3270999999999994E-7</v>
      </c>
      <c r="D844" t="s">
        <v>24</v>
      </c>
      <c r="E844" t="s">
        <v>240</v>
      </c>
      <c r="F844" t="s">
        <v>73</v>
      </c>
      <c r="H844" t="s">
        <v>103</v>
      </c>
    </row>
    <row r="845" spans="1:8" ns3:dyDescent="0.2">
      <c r="A845" t="s">
        <v>104</v>
      </c>
      <c r="B845">
        <v>1.7737167300000001E-5</v>
      </c>
      <c r="D845" t="s">
        <v>24</v>
      </c>
      <c r="E845" t="s">
        <v>240</v>
      </c>
      <c r="F845" t="s">
        <v>73</v>
      </c>
      <c r="H845" t="s">
        <v>105</v>
      </c>
    </row>
    <row r="846" spans="1:8" ns3:dyDescent="0.2">
      <c r="A846" t="s">
        <v>106</v>
      </c>
      <c r="B846">
        <v>1.6372438999999999E-5</v>
      </c>
      <c r="D846" t="s">
        <v>24</v>
      </c>
      <c r="E846" t="s">
        <v>240</v>
      </c>
      <c r="F846" t="s">
        <v>73</v>
      </c>
      <c r="H846" t="s">
        <v>107</v>
      </c>
    </row>
    <row r="847" spans="1:8" ns3:dyDescent="0.2">
      <c r="A847" t="s">
        <v>108</v>
      </c>
      <c r="B847">
        <v>6.7699999999999996E-12</v>
      </c>
      <c r="D847" t="s">
        <v>24</v>
      </c>
      <c r="E847" t="s">
        <v>240</v>
      </c>
      <c r="F847" t="s">
        <v>73</v>
      </c>
      <c r="H847" t="s">
        <v>78</v>
      </c>
    </row>
    <row r="848" spans="1:8" ns3:dyDescent="0.2">
      <c r="A848" t="s">
        <v>109</v>
      </c>
      <c r="B848">
        <v>4.0619999999999997E-7</v>
      </c>
      <c r="D848" t="s">
        <v>24</v>
      </c>
      <c r="E848" t="s">
        <v>240</v>
      </c>
      <c r="F848" t="s">
        <v>73</v>
      </c>
      <c r="H848" t="s">
        <v>110</v>
      </c>
    </row>
    <row r="849" spans="1:8" ns3:dyDescent="0.2">
      <c r="A849" t="s">
        <v>231</v>
      </c>
      <c r="B849">
        <v>3.1399999999999999E-9</v>
      </c>
      <c r="D849" t="s">
        <v>24</v>
      </c>
      <c r="E849" t="s">
        <v>240</v>
      </c>
      <c r="F849" t="s">
        <v>73</v>
      </c>
      <c r="H849" t="s">
        <v>122</v>
      </c>
    </row>
    <row r="850" spans="1:8" ns3:dyDescent="0.2">
      <c r="A850" t="s">
        <v>111</v>
      </c>
      <c r="B850">
        <v>2.7080000000000002E-8</v>
      </c>
      <c r="D850" t="s">
        <v>24</v>
      </c>
      <c r="E850" t="s">
        <v>240</v>
      </c>
      <c r="F850" t="s">
        <v>73</v>
      </c>
      <c r="H850" t="s">
        <v>112</v>
      </c>
    </row>
    <row r="851" spans="1:8" ns3:dyDescent="0.2">
      <c r="A851" t="s">
        <v>230</v>
      </c>
      <c r="B851">
        <v>2.7080000000000002E-8</v>
      </c>
      <c r="D851" t="s">
        <v>24</v>
      </c>
      <c r="E851" t="s">
        <v>240</v>
      </c>
      <c r="F851" t="s">
        <v>73</v>
      </c>
      <c r="H851" t="s">
        <v>112</v>
      </c>
    </row>
    <row r="852" spans="1:8" ns3:dyDescent="0.2">
      <c r="A852" t="s">
        <v>113</v>
      </c>
      <c r="B852">
        <v>6.7699999999999994E-10</v>
      </c>
      <c r="D852" t="s">
        <v>24</v>
      </c>
      <c r="E852" t="s">
        <v>240</v>
      </c>
      <c r="F852" t="s">
        <v>73</v>
      </c>
      <c r="H852" t="s">
        <v>114</v>
      </c>
    </row>
    <row r="853" spans="1:8" ns3:dyDescent="0.2">
      <c r="A853" t="s">
        <v>115</v>
      </c>
      <c r="B853">
        <v>1</v>
      </c>
      <c r="C853" t="s">
        <v>147</v>
      </c>
      <c r="D853" t="s">
        <v>232</v>
      </c>
      <c r="F853" t="s">
        <v>36</v>
      </c>
      <c r="G853" t="s">
        <v>61</v>
      </c>
    </row>
    <row r="855" spans="1:8" ns3:dyDescent="0.2">
      <c r="A855" s="2" t="s">
        <v>0</v>
      </c>
      <c r="B855" s="2" t="s">
        <v>123</v>
      </c>
    </row>
    <row r="856" spans="1:8" ns3:dyDescent="0.2">
      <c r="A856" t="s">
        <v>2</v>
      </c>
      <c r="B856" t="s">
        <v>147</v>
      </c>
    </row>
    <row r="857" spans="1:8" ns3:dyDescent="0.2">
      <c r="A857" t="s">
        <v>4</v>
      </c>
      <c r="B857">
        <v>1</v>
      </c>
    </row>
    <row r="858" spans="1:8" ns3:dyDescent="0.2">
      <c r="A858" t="s">
        <v>5</v>
      </c>
      <c r="B858" t="s">
        <v>61</v>
      </c>
    </row>
    <row r="859" spans="1:8" ns3:dyDescent="0.2">
      <c r="A859" t="s">
        <v>7</v>
      </c>
      <c r="B859" t="s">
        <v>8</v>
      </c>
    </row>
    <row r="860" spans="1:8" ns3:dyDescent="0.2">
      <c r="A860" t="s">
        <v>9</v>
      </c>
      <c r="B860" t="s">
        <v>232</v>
      </c>
    </row>
    <row r="861" spans="1:8" ns3:dyDescent="0.2">
      <c r="A861" t="s">
        <v>15</v>
      </c>
    </row>
    <row r="862" spans="1:8" ns3:dyDescent="0.2">
      <c r="A862" s="2" t="s">
        <v>16</v>
      </c>
      <c r="B862" s="2" t="s">
        <v>17</v>
      </c>
      <c r="C862" s="2" t="s">
        <v>2</v>
      </c>
      <c r="D862" s="2" t="s">
        <v>9</v>
      </c>
      <c r="E862" s="2" t="s">
        <v>18</v>
      </c>
      <c r="F862" s="2" t="s">
        <v>7</v>
      </c>
      <c r="G862" s="2" t="s">
        <v>5</v>
      </c>
      <c r="H862" s="2" t="s">
        <v>14</v>
      </c>
    </row>
    <row r="863" spans="1:8" ns3:dyDescent="0.2">
      <c r="A863" t="s">
        <v>233</v>
      </c>
      <c r="B863">
        <v>6.7699999999999998E-4</v>
      </c>
      <c r="C863" t="s">
        <v>3</v>
      </c>
      <c r="D863" t="s">
        <v>24</v>
      </c>
      <c r="F863" t="s">
        <v>20</v>
      </c>
      <c r="G863" t="s">
        <v>63</v>
      </c>
      <c r="H863" t="s">
        <v>116</v>
      </c>
    </row>
    <row r="864" spans="1:8" ns3:dyDescent="0.2">
      <c r="A864" t="s">
        <v>124</v>
      </c>
      <c r="B864">
        <v>1.7695834833444187E-3</v>
      </c>
      <c r="C864" t="s">
        <v>3</v>
      </c>
      <c r="D864" t="s">
        <v>24</v>
      </c>
      <c r="F864" t="s">
        <v>20</v>
      </c>
      <c r="G864" t="s">
        <v>125</v>
      </c>
      <c r="H864" t="s">
        <v>120</v>
      </c>
    </row>
    <row r="865" spans="1:8" ns3:dyDescent="0.2">
      <c r="A865" t="s">
        <v>45</v>
      </c>
      <c r="B865">
        <v>7.1100000000000003E-10</v>
      </c>
      <c r="C865" t="s">
        <v>3</v>
      </c>
      <c r="D865" t="s">
        <v>9</v>
      </c>
      <c r="F865" t="s">
        <v>20</v>
      </c>
      <c r="G865" t="inlineStr">
        <is>
          <t>locomotive fuel cell, hydrogen</t>
        </is>
      </c>
      <c r="H865"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RoW" as the hydrogen locomotive has similar output power as the diesel-electric train, and it is assumed that diesel trains can used for retrofitting HFC-systems</t>
        </is>
      </c>
    </row>
    <row r="866" spans="1:8" ns3:dyDescent="0.2">
      <c r="A866" t="s">
        <v>129</v>
      </c>
      <c r="B866">
        <v>7.1100000000000003E-10</v>
      </c>
      <c r="C866" t="s">
        <v>3</v>
      </c>
      <c r="D866" t="s">
        <v>9</v>
      </c>
      <c r="F866" t="s">
        <v>20</v>
      </c>
      <c r="G866" t="s">
        <v>67</v>
      </c>
      <c r="H866" t="s">
        <v>227</v>
      </c>
    </row>
    <row r="867" spans="1:8" ns3:dyDescent="0.2">
      <c r="A867" t="s">
        <v>56</v>
      </c>
      <c r="B867">
        <v>4.5900000000000001E-8</v>
      </c>
      <c r="C867" t="s">
        <v>3</v>
      </c>
      <c r="D867" t="s">
        <v>9</v>
      </c>
      <c r="F867" t="s">
        <v>20</v>
      </c>
      <c r="G867" t="s">
        <v>57</v>
      </c>
      <c r="H867" t="s">
        <v>227</v>
      </c>
    </row>
    <row r="868" spans="1:8" ns3:dyDescent="0.2">
      <c r="A868" t="s">
        <v>130</v>
      </c>
      <c r="B868">
        <v>4.5900000000000001E-8</v>
      </c>
      <c r="C868" t="s">
        <v>3</v>
      </c>
      <c r="D868" t="s">
        <v>9</v>
      </c>
      <c r="F868" t="s">
        <v>20</v>
      </c>
      <c r="G868" t="s">
        <v>68</v>
      </c>
      <c r="H868" t="s">
        <v>227</v>
      </c>
    </row>
    <row r="869" spans="1:8" ns3:dyDescent="0.2">
      <c r="A869" t="s">
        <v>69</v>
      </c>
      <c r="B869">
        <v>9.2999999999999997E-5</v>
      </c>
      <c r="C869" t="s">
        <v>3</v>
      </c>
      <c r="D869" t="s">
        <v>70</v>
      </c>
      <c r="F869" t="s">
        <v>20</v>
      </c>
      <c r="G869" t="s">
        <v>71</v>
      </c>
      <c r="H869" t="s">
        <v>227</v>
      </c>
    </row>
    <row r="870" spans="1:8" ns3:dyDescent="0.2">
      <c r="A870" t="s">
        <v>72</v>
      </c>
      <c r="B870">
        <v>1.3540000000000001E-8</v>
      </c>
      <c r="D870" t="s">
        <v>24</v>
      </c>
      <c r="E870" t="s">
        <v>240</v>
      </c>
      <c r="F870" t="s">
        <v>73</v>
      </c>
      <c r="H870" t="s">
        <v>74</v>
      </c>
    </row>
    <row r="871" spans="1:8" ns3:dyDescent="0.2">
      <c r="A871" t="s">
        <v>75</v>
      </c>
      <c r="B871">
        <v>6.7700000000000004E-8</v>
      </c>
      <c r="D871" t="s">
        <v>24</v>
      </c>
      <c r="E871" t="s">
        <v>240</v>
      </c>
      <c r="F871" t="s">
        <v>73</v>
      </c>
      <c r="H871" t="s">
        <v>76</v>
      </c>
    </row>
    <row r="872" spans="1:8" ns3:dyDescent="0.2">
      <c r="A872" t="s">
        <v>77</v>
      </c>
      <c r="B872">
        <v>6.7699999999999996E-12</v>
      </c>
      <c r="D872" t="s">
        <v>24</v>
      </c>
      <c r="E872" t="s">
        <v>240</v>
      </c>
      <c r="F872" t="s">
        <v>73</v>
      </c>
      <c r="H872" t="s">
        <v>78</v>
      </c>
    </row>
    <row r="873" spans="1:8" ns3:dyDescent="0.2">
      <c r="A873" t="s">
        <v>79</v>
      </c>
      <c r="B873">
        <v>2.1298419999999998E-3</v>
      </c>
      <c r="D873" t="s">
        <v>24</v>
      </c>
      <c r="E873" t="s">
        <v>240</v>
      </c>
      <c r="F873" t="s">
        <v>73</v>
      </c>
      <c r="H873" t="s">
        <v>80</v>
      </c>
    </row>
    <row r="874" spans="1:8" ns3:dyDescent="0.2">
      <c r="A874" t="s">
        <v>81</v>
      </c>
      <c r="B874">
        <v>1.06966E-5</v>
      </c>
      <c r="D874" t="s">
        <v>24</v>
      </c>
      <c r="E874" t="s">
        <v>240</v>
      </c>
      <c r="F874" t="s">
        <v>73</v>
      </c>
      <c r="H874" t="s">
        <v>82</v>
      </c>
    </row>
    <row r="875" spans="1:8" ns3:dyDescent="0.2">
      <c r="A875" t="s">
        <v>83</v>
      </c>
      <c r="B875">
        <v>3.3849999999999998E-11</v>
      </c>
      <c r="D875" t="s">
        <v>24</v>
      </c>
      <c r="E875" t="s">
        <v>240</v>
      </c>
      <c r="F875" t="s">
        <v>73</v>
      </c>
      <c r="H875" t="s">
        <v>84</v>
      </c>
    </row>
    <row r="876" spans="1:8" ns3:dyDescent="0.2">
      <c r="A876" t="s">
        <v>85</v>
      </c>
      <c r="B876">
        <v>1.1509E-9</v>
      </c>
      <c r="D876" t="s">
        <v>24</v>
      </c>
      <c r="E876" t="s">
        <v>240</v>
      </c>
      <c r="F876" t="s">
        <v>73</v>
      </c>
      <c r="H876" t="s">
        <v>86</v>
      </c>
    </row>
    <row r="877" spans="1:8" ns3:dyDescent="0.2">
      <c r="A877" t="s">
        <v>87</v>
      </c>
      <c r="B877">
        <v>6.7700000000000004E-8</v>
      </c>
      <c r="D877" t="s">
        <v>24</v>
      </c>
      <c r="E877" t="s">
        <v>240</v>
      </c>
      <c r="F877" t="s">
        <v>73</v>
      </c>
      <c r="H877" t="s">
        <v>76</v>
      </c>
    </row>
    <row r="878" spans="1:8" ns3:dyDescent="0.2">
      <c r="A878" t="s">
        <v>88</v>
      </c>
      <c r="B878">
        <v>0</v>
      </c>
      <c r="D878" t="s">
        <v>24</v>
      </c>
      <c r="E878" t="s">
        <v>275</v>
      </c>
      <c r="F878" t="s">
        <v>73</v>
      </c>
      <c r="H878" t="s">
        <v>89</v>
      </c>
    </row>
    <row r="879" spans="1:8" ns3:dyDescent="0.2">
      <c r="A879" t="s">
        <v>90</v>
      </c>
      <c r="B879">
        <v>7.4469999999999997E-14</v>
      </c>
      <c r="D879" t="s">
        <v>24</v>
      </c>
      <c r="E879" t="s">
        <v>240</v>
      </c>
      <c r="F879" t="s">
        <v>73</v>
      </c>
      <c r="H879" t="s">
        <v>91</v>
      </c>
    </row>
    <row r="880" spans="1:8" ns3:dyDescent="0.2">
      <c r="A880" t="s">
        <v>92</v>
      </c>
      <c r="B880">
        <v>1.3539999999999998E-14</v>
      </c>
      <c r="D880" t="s">
        <v>24</v>
      </c>
      <c r="E880" t="s">
        <v>240</v>
      </c>
      <c r="F880" t="s">
        <v>73</v>
      </c>
      <c r="H880" t="s">
        <v>93</v>
      </c>
    </row>
    <row r="881" spans="1:8" ns3:dyDescent="0.2">
      <c r="A881" t="s">
        <v>94</v>
      </c>
      <c r="B881">
        <v>8.8009999999999992E-8</v>
      </c>
      <c r="D881" t="s">
        <v>24</v>
      </c>
      <c r="E881" t="s">
        <v>240</v>
      </c>
      <c r="F881" t="s">
        <v>73</v>
      </c>
      <c r="H881" t="s">
        <v>95</v>
      </c>
    </row>
    <row r="882" spans="1:8" ns3:dyDescent="0.2">
      <c r="A882" t="s">
        <v>96</v>
      </c>
      <c r="B882">
        <v>3.5542499999999999E-6</v>
      </c>
      <c r="D882" t="s">
        <v>24</v>
      </c>
      <c r="E882" t="s">
        <v>240</v>
      </c>
      <c r="F882" t="s">
        <v>73</v>
      </c>
      <c r="H882" t="s">
        <v>97</v>
      </c>
    </row>
    <row r="883" spans="1:8" ns3:dyDescent="0.2">
      <c r="A883" t="s">
        <v>98</v>
      </c>
      <c r="B883">
        <v>4.7390000000000004E-11</v>
      </c>
      <c r="D883" t="s">
        <v>24</v>
      </c>
      <c r="E883" t="s">
        <v>240</v>
      </c>
      <c r="F883" t="s">
        <v>73</v>
      </c>
      <c r="H883" t="s">
        <v>99</v>
      </c>
    </row>
    <row r="884" spans="1:8" ns3:dyDescent="0.2">
      <c r="A884" t="s">
        <v>100</v>
      </c>
      <c r="B884">
        <v>3.7234999999999998E-5</v>
      </c>
      <c r="D884" t="s">
        <v>24</v>
      </c>
      <c r="E884" t="s">
        <v>240</v>
      </c>
      <c r="F884" t="s">
        <v>73</v>
      </c>
      <c r="H884" t="s">
        <v>101</v>
      </c>
    </row>
    <row r="885" spans="1:8" ns3:dyDescent="0.2">
      <c r="A885" t="s">
        <v>102</v>
      </c>
      <c r="B885">
        <v>8.3270999999999994E-7</v>
      </c>
      <c r="D885" t="s">
        <v>24</v>
      </c>
      <c r="E885" t="s">
        <v>240</v>
      </c>
      <c r="F885" t="s">
        <v>73</v>
      </c>
      <c r="H885" t="s">
        <v>103</v>
      </c>
    </row>
    <row r="886" spans="1:8" ns3:dyDescent="0.2">
      <c r="A886" t="s">
        <v>104</v>
      </c>
      <c r="B886">
        <v>1.7737167300000001E-5</v>
      </c>
      <c r="D886" t="s">
        <v>24</v>
      </c>
      <c r="E886" t="s">
        <v>240</v>
      </c>
      <c r="F886" t="s">
        <v>73</v>
      </c>
      <c r="H886" t="s">
        <v>105</v>
      </c>
    </row>
    <row r="887" spans="1:8" ns3:dyDescent="0.2">
      <c r="A887" t="s">
        <v>106</v>
      </c>
      <c r="B887">
        <v>1.6372438999999999E-5</v>
      </c>
      <c r="D887" t="s">
        <v>24</v>
      </c>
      <c r="E887" t="s">
        <v>240</v>
      </c>
      <c r="F887" t="s">
        <v>73</v>
      </c>
      <c r="H887" t="s">
        <v>107</v>
      </c>
    </row>
    <row r="888" spans="1:8" ns3:dyDescent="0.2">
      <c r="A888" t="s">
        <v>108</v>
      </c>
      <c r="B888">
        <v>6.7699999999999996E-12</v>
      </c>
      <c r="D888" t="s">
        <v>24</v>
      </c>
      <c r="E888" t="s">
        <v>240</v>
      </c>
      <c r="F888" t="s">
        <v>73</v>
      </c>
      <c r="H888" t="s">
        <v>78</v>
      </c>
    </row>
    <row r="889" spans="1:8" ns3:dyDescent="0.2">
      <c r="A889" t="s">
        <v>109</v>
      </c>
      <c r="B889">
        <v>4.0619999999999997E-7</v>
      </c>
      <c r="D889" t="s">
        <v>24</v>
      </c>
      <c r="E889" t="s">
        <v>240</v>
      </c>
      <c r="F889" t="s">
        <v>73</v>
      </c>
      <c r="H889" t="s">
        <v>110</v>
      </c>
    </row>
    <row r="890" spans="1:8" ns3:dyDescent="0.2">
      <c r="A890" t="s">
        <v>111</v>
      </c>
      <c r="B890">
        <v>2.7080000000000002E-8</v>
      </c>
      <c r="D890" t="s">
        <v>24</v>
      </c>
      <c r="E890" t="s">
        <v>240</v>
      </c>
      <c r="F890" t="s">
        <v>73</v>
      </c>
      <c r="H890" t="s">
        <v>112</v>
      </c>
    </row>
    <row r="891" spans="1:8" ns3:dyDescent="0.2">
      <c r="A891" t="s">
        <v>230</v>
      </c>
      <c r="B891">
        <v>2.7080000000000002E-8</v>
      </c>
      <c r="D891" t="s">
        <v>24</v>
      </c>
      <c r="E891" t="s">
        <v>240</v>
      </c>
      <c r="F891" t="s">
        <v>73</v>
      </c>
      <c r="H891" t="s">
        <v>112</v>
      </c>
    </row>
    <row r="892" spans="1:8" ns3:dyDescent="0.2">
      <c r="A892" t="s">
        <v>113</v>
      </c>
      <c r="B892">
        <v>6.7699999999999994E-10</v>
      </c>
      <c r="D892" t="s">
        <v>24</v>
      </c>
      <c r="E892" t="s">
        <v>240</v>
      </c>
      <c r="F892" t="s">
        <v>73</v>
      </c>
      <c r="H892" t="s">
        <v>114</v>
      </c>
    </row>
    <row r="893" spans="1:8" ns3:dyDescent="0.2">
      <c r="A893" t="s">
        <v>123</v>
      </c>
      <c r="B893">
        <v>1</v>
      </c>
      <c r="C893" t="s">
        <v>147</v>
      </c>
      <c r="D893" t="s">
        <v>232</v>
      </c>
      <c r="F893" t="s">
        <v>36</v>
      </c>
      <c r="G893" t="s">
        <v>61</v>
      </c>
    </row>
    <row r="895" spans="1:8" ht="16" ns3:dyDescent="0.2">
      <c r="A895" s="1" t="s">
        <v>0</v>
      </c>
      <c r="B895" s="1" t="s">
        <v>266</v>
      </c>
    </row>
    <row r="896" spans="1:8" ns3:dyDescent="0.2">
      <c r="A896" t="s">
        <v>2</v>
      </c>
      <c r="B896" t="s">
        <v>23</v>
      </c>
    </row>
    <row r="897" spans="1:8" ns3:dyDescent="0.2">
      <c r="A897" t="s">
        <v>4</v>
      </c>
      <c r="B897">
        <v>1</v>
      </c>
    </row>
    <row r="898" spans="1:8" ns3:dyDescent="0.2">
      <c r="A898" t="s">
        <v>5</v>
      </c>
      <c r="B898" t="s">
        <v>27</v>
      </c>
    </row>
    <row r="899" spans="1:8" ns3:dyDescent="0.2">
      <c r="A899" t="s">
        <v>7</v>
      </c>
      <c r="B899" t="s">
        <v>8</v>
      </c>
    </row>
    <row r="900" spans="1:8" ns3:dyDescent="0.2">
      <c r="A900" t="s">
        <v>9</v>
      </c>
      <c r="B900" t="s">
        <v>24</v>
      </c>
    </row>
    <row r="901" spans="1:8" ns3:dyDescent="0.2">
      <c r="A901" t="s">
        <v>10</v>
      </c>
      <c r="B901" t="inlineStr">
        <is>
          <t>APPROVED RAIL ENGINE PLASTIC SOURCE DOSE, issue106,2026-10-18. Wolff et al.2020, DOI10.3390/su12135396, original supplementary Production/Components/Engine.xlsx and Diesel Tank.xlsx. https://mdpi-res.com/d_attachment/sustainability/sustainability-12-05396/article_deploy/sustainability-12-05396-s001.zip . Engine.xlsx B9/B3=51.3/1140=.045kg plastic/kg engine;separate railcopy retained.45kg/kg after truckcopy wasfixed in38b99e4d. Correctonlythisdose to.045kg/kg. Currentmaterialsum1.405 becomes1kg/kg exactly with its retained decimal coefficients. Keep previouslyapproved ordinarycastAl.15kg/kg;othermetal/rubberfeeds unchanged. Sourceplastic isgeneric;retainedphenolicresin is an unverified chemistryproxy,not sourcedphenolic grade. Preserve manufacturingenergy/services,9593.181818181818kg installedengine reference andalllifetimes/perMJ buyers. This doesnotvalidate rail-specificengineefficiency,mass,power/life ormanufacturing/emissionyield;no artificialrenormalizationofothermaterials,recoverycredit orprimary/secondaryshares. Supersedesissue105 pendingplasticwarning. Existingworkbookonly.
PREVIOUS NOTES (retained as history; the correction above takes precedence):
APPROVED RAIL ENGINE ALUMINIUM IDENTITY, issue105,2026-10-18. Wolff et al.2020, DOI10.3390/su12135396, original supplementary Production/Components/Engine.xlsx and Diesel Tank.xlsx. https://mdpi-res.com/d_attachment/sustainability/sustainability-12-05396/article_deploy/sustainability-12-05396-s001.zip . Source Engine.xlsx Sheet1 B8=171kg aluminium/B3=1140kg engine=.15kg/kg. Apply alreadyapproved truck correction ad6bb596 to this separately active rail copy. Replace unsupported specialtyAlLi by ordinary cast-alloy market at unchanged.15kg/kg;castalloy is an engineering material-class proxy,not sourcecertifiedAlSi grade or proofallpartsarecast. Native AlLi includes unsupported lithium/silver supply. Preserve engine mass9593.181818181818kg/locomotive,all buyer/perMJ coefficients,other ingredients,services andenergy. Source oldplastic.45kg/kg remains separate issue106;this identity correction alone does not close the1.405kg/kg material sum. Keep alloy uncertainty,purity,yields andfuturedesign gaps explicit;no elementarycomposition,primary/secondaryshare orrecoverycredit assumed. Existing workbookonly,no runtime/native edits.
PREVIOUS NOTES (retained as history; the correction above takes precedence):
Wolff et al. 2020, Sustainability, DOI: 10.3390/su12135396</t>
        </is>
      </c>
    </row>
    <row r="902" spans="1:8" ns3:dyDescent="0.2">
      <c r="A902" t="s">
        <v>12</v>
      </c>
      <c r="B902" t="s">
        <v>235</v>
      </c>
    </row>
    <row r="903" spans="1:8" ht="16" ns3:dyDescent="0.2">
      <c r="A903" s="1" t="s">
        <v>15</v>
      </c>
    </row>
    <row r="904" spans="1:8" ns3:dyDescent="0.2">
      <c r="A904" s="2" t="s">
        <v>16</v>
      </c>
      <c r="B904" s="2" t="s">
        <v>17</v>
      </c>
      <c r="C904" s="2" t="s">
        <v>2</v>
      </c>
      <c r="D904" s="2" t="s">
        <v>9</v>
      </c>
      <c r="E904" s="2" t="s">
        <v>18</v>
      </c>
      <c r="F904" s="2" t="s">
        <v>7</v>
      </c>
      <c r="G904" s="2" t="s">
        <v>5</v>
      </c>
      <c r="H904" s="2" t="inlineStr">
        <is>
          <t>comment</t>
        </is>
      </c>
    </row>
    <row r="905" spans="1:8" ns3:dyDescent="0.2">
      <c r="A905" t="s">
        <v>236</v>
      </c>
      <c r="B905">
        <v>0.01</v>
      </c>
      <c r="C905" t="s">
        <v>3</v>
      </c>
      <c r="D905" t="s">
        <v>24</v>
      </c>
      <c r="E905" t="s">
        <v>13</v>
      </c>
      <c r="F905" t="s">
        <v>20</v>
      </c>
      <c r="G905" t="s">
        <v>237</v>
      </c>
      <c r="H905" t="inlineStr">
        <is>
          <t>APPROVED RAIL ENGINE PLASTIC SOURCE DOSE, issue106,2026-10-18. Wolff et al.2020, DOI10.3390/su12135396, original supplementary Production/Components/Engine.xlsx and Diesel Tank.xlsx. https://mdpi-res.com/d_attachment/sustainability/sustainability-12-05396/article_deploy/sustainability-12-05396-s001.zip . Engine.xlsx B9/B3=51.3/1140=.045kg plastic/kg engine;separate railcopy retained.45kg/kg after truckcopy wasfixed in38b99e4d. Correctonlythisdose to.045kg/kg. Currentmaterialsum1.405 becomes1kg/kg exactly with its retained decimal coefficients. Keep previouslyapproved ordinarycastAl.15kg/kg;othermetal/rubberfeeds unchanged. Sourceplastic isgeneric;retainedphenolicresin is an unverified chemistryproxy,not sourcedphenolic grade. Preserve manufacturingenergy/services,9593.181818181818kg installedengine reference andalllifetimes/perMJ buyers. This doesnotvalidate rail-specificengineefficiency,mass,power/life ormanufacturing/emissionyield;no artificialrenormalizationofothermaterials,recoverycredit orprimary/secondaryshares. Supersedesissue105 pendingplasticwarning. Existingworkbookonly.</t>
        </is>
      </c>
    </row>
    <row r="906" spans="1:8" ns3:dyDescent="0.2">
      <c r="A906" t="s">
        <v>238</v>
      </c>
      <c r="B906">
        <v>0.15</v>
      </c>
      <c r="C906" t="s">
        <v>23</v>
      </c>
      <c r="D906" t="s">
        <v>24</v>
      </c>
      <c r="E906" t="s">
        <v>13</v>
      </c>
      <c r="F906" t="s">
        <v>20</v>
      </c>
      <c r="G906" t="s">
        <v>238</v>
      </c>
    </row>
    <row r="907" spans="1:8" ns3:dyDescent="0.2">
      <c r="A907" t="s">
        <v>239</v>
      </c>
      <c r="B907">
        <v>6.9499999999999998E-4</v>
      </c>
      <c r="D907" t="s">
        <v>24</v>
      </c>
      <c r="E907" t="s">
        <v>240</v>
      </c>
      <c r="F907" t="s">
        <v>73</v>
      </c>
    </row>
    <row r="908" spans="1:8" ns3:dyDescent="0.2">
      <c r="A908" t="s">
        <v>241</v>
      </c>
      <c r="B908">
        <v>0.3</v>
      </c>
      <c r="C908" t="s">
        <v>3</v>
      </c>
      <c r="D908" t="s">
        <v>24</v>
      </c>
      <c r="E908" t="s">
        <v>13</v>
      </c>
      <c r="F908" t="s">
        <v>20</v>
      </c>
      <c r="G908" t="s">
        <v>242</v>
      </c>
    </row>
    <row r="909" spans="1:8" ns3:dyDescent="0.2">
      <c r="A909" t="s">
        <v>243</v>
      </c>
      <c r="B909">
        <v>0.64500000000000002</v>
      </c>
      <c r="C909" t="s">
        <v>244</v>
      </c>
      <c r="D909" t="s">
        <v>118</v>
      </c>
      <c r="E909" t="s">
        <v>13</v>
      </c>
      <c r="F909" t="s">
        <v>20</v>
      </c>
      <c r="G909" t="s">
        <v>245</v>
      </c>
    </row>
    <row r="910" spans="1:8" ns3:dyDescent="0.2">
      <c r="A910" t="s">
        <v>246</v>
      </c>
      <c r="B910">
        <v>0.01</v>
      </c>
      <c r="C910" t="s">
        <v>23</v>
      </c>
      <c r="D910" t="s">
        <v>24</v>
      </c>
      <c r="E910" t="s">
        <v>13</v>
      </c>
      <c r="F910" t="s">
        <v>20</v>
      </c>
      <c r="G910" t="s">
        <v>246</v>
      </c>
    </row>
    <row r="911" spans="1:8" ns3:dyDescent="0.2">
      <c r="A911" t="s">
        <v>247</v>
      </c>
      <c r="B911">
        <v>1.1799999999999999E-6</v>
      </c>
      <c r="D911" t="s">
        <v>24</v>
      </c>
      <c r="E911" t="s">
        <v>240</v>
      </c>
      <c r="F911" t="s">
        <v>73</v>
      </c>
    </row>
    <row r="912" spans="1:8" ns3:dyDescent="0.2">
      <c r="A912" t="s">
        <v>81</v>
      </c>
      <c r="B912">
        <v>5.5290000000000005E-4</v>
      </c>
      <c r="D912" t="s">
        <v>24</v>
      </c>
      <c r="E912" t="s">
        <v>240</v>
      </c>
      <c r="F912" t="s">
        <v>73</v>
      </c>
    </row>
    <row r="913" spans="1:7" ns3:dyDescent="0.2">
      <c r="A913" t="s">
        <v>109</v>
      </c>
      <c r="B913">
        <v>8.5599999999999999E-3</v>
      </c>
      <c r="D913" t="s">
        <v>24</v>
      </c>
      <c r="E913" t="s">
        <v>240</v>
      </c>
      <c r="F913" t="s">
        <v>73</v>
      </c>
    </row>
    <row r="914" spans="1:7" ns3:dyDescent="0.2">
      <c r="A914" t="s">
        <v>94</v>
      </c>
      <c r="B914">
        <v>7.2700000000000004E-3</v>
      </c>
      <c r="D914" t="s">
        <v>24</v>
      </c>
      <c r="E914" t="s">
        <v>240</v>
      </c>
      <c r="F914" t="s">
        <v>73</v>
      </c>
    </row>
    <row r="915" spans="1:7" ns3:dyDescent="0.2">
      <c r="A915" t="s">
        <v>248</v>
      </c>
      <c r="B915">
        <v>0.45</v>
      </c>
      <c r="C915" t="s">
        <v>3</v>
      </c>
      <c r="D915" t="s">
        <v>24</v>
      </c>
      <c r="E915" t="s">
        <v>13</v>
      </c>
      <c r="F915" t="s">
        <v>20</v>
      </c>
      <c r="G915" t="s">
        <v>249</v>
      </c>
    </row>
    <row r="916" spans="1:7" ns3:dyDescent="0.2">
      <c r="A916" t="s">
        <v>250</v>
      </c>
      <c r="B916">
        <v>1.5800000000000002E-2</v>
      </c>
      <c r="D916" t="s">
        <v>251</v>
      </c>
      <c r="E916" t="s">
        <v>252</v>
      </c>
      <c r="F916" t="s">
        <v>73</v>
      </c>
    </row>
    <row r="917" spans="1:7" ns3:dyDescent="0.2">
      <c r="A917" t="s">
        <v>79</v>
      </c>
      <c r="B917">
        <v>2.456</v>
      </c>
      <c r="D917" t="s">
        <v>24</v>
      </c>
      <c r="E917" t="s">
        <v>240</v>
      </c>
      <c r="F917" t="s">
        <v>73</v>
      </c>
    </row>
    <row r="918" spans="1:7" ns3:dyDescent="0.2">
      <c r="A918" t="s">
        <v>253</v>
      </c>
      <c r="B918">
        <v>4.5800000000000002E-6</v>
      </c>
      <c r="D918" t="s">
        <v>24</v>
      </c>
      <c r="E918" t="s">
        <v>254</v>
      </c>
      <c r="F918" t="s">
        <v>73</v>
      </c>
    </row>
    <row r="919" spans="1:7" ns3:dyDescent="0.2">
      <c r="A919" t="s">
        <v>255</v>
      </c>
      <c r="B919">
        <v>1.5800000000000002E-2</v>
      </c>
      <c r="D919" t="s">
        <v>256</v>
      </c>
      <c r="E919" t="s">
        <v>252</v>
      </c>
      <c r="F919" t="s">
        <v>73</v>
      </c>
    </row>
    <row r="920" spans="1:7" ns3:dyDescent="0.2">
      <c r="A920" t="s">
        <v>257</v>
      </c>
      <c r="B920">
        <v>2.23E-4</v>
      </c>
      <c r="D920" t="s">
        <v>24</v>
      </c>
      <c r="E920" t="s">
        <v>254</v>
      </c>
      <c r="F920" t="s">
        <v>73</v>
      </c>
    </row>
    <row r="921" spans="1:7" ns3:dyDescent="0.2">
      <c r="A921" t="s">
        <v>258</v>
      </c>
      <c r="B921">
        <v>4.4999999999999998E-2</v>
      </c>
      <c r="C921" t="s">
        <v>3</v>
      </c>
      <c r="D921" t="s">
        <v>24</v>
      </c>
      <c r="E921" t="s">
        <v>13</v>
      </c>
      <c r="F921" t="s">
        <v>20</v>
      </c>
      <c r="G921" t="s">
        <v>259</v>
      </c>
    </row>
    <row r="922" spans="1:7" ns3:dyDescent="0.2">
      <c r="A922" t="inlineStr">
        <is>
          <t>market for aluminium, cast alloy</t>
        </is>
      </c>
      <c r="B922">
        <v>0.15</v>
      </c>
      <c r="C922" t="inlineStr">
        <is>
          <t>GLO</t>
        </is>
      </c>
      <c r="D922" t="s">
        <v>24</v>
      </c>
      <c r="E922" t="s">
        <v>13</v>
      </c>
      <c r="F922" t="s">
        <v>20</v>
      </c>
      <c r="G922" t="inlineStr">
        <is>
          <t>aluminium, cast alloy</t>
        </is>
      </c>
      <c r="H922" t="inlineStr">
        <is>
          <t>APPROVED RAIL ENGINE ALUMINIUM IDENTITY, issue105,2026-10-18. Wolff et al.2020, DOI10.3390/su12135396, original supplementary Production/Components/Engine.xlsx and Diesel Tank.xlsx. https://mdpi-res.com/d_attachment/sustainability/sustainability-12-05396/article_deploy/sustainability-12-05396-s001.zip . Source Engine.xlsx Sheet1 B8=171kg aluminium/B3=1140kg engine=.15kg/kg. Apply alreadyapproved truck correction ad6bb596 to this separately active rail copy. Replace unsupported specialtyAlLi by ordinary cast-alloy market at unchanged.15kg/kg;castalloy is an engineering material-class proxy,not sourcecertifiedAlSi grade or proofallpartsarecast. Native AlLi includes unsupported lithium/silver supply. Preserve engine mass9593.181818181818kg/locomotive,all buyer/perMJ coefficients,other ingredients,services andenergy. Source oldplastic.45kg/kg remains separate issue106;this identity correction alone does not close the1.405kg/kg material sum. Keep alloy uncertainty,purity,yields andfuturedesign gaps explicit;no elementarycomposition,primary/secondaryshare orrecoverycredit assumed. Existing workbookonly,no runtime/native edits.</t>
        </is>
      </c>
    </row>
    <row r="923" spans="1:7" ns3:dyDescent="0.2">
      <c r="A923" t="s">
        <v>262</v>
      </c>
      <c r="B923">
        <v>1.2899999999999999E-4</v>
      </c>
      <c r="D923" t="s">
        <v>24</v>
      </c>
      <c r="E923" t="s">
        <v>254</v>
      </c>
      <c r="F923" t="s">
        <v>73</v>
      </c>
    </row>
    <row r="924" spans="1:7" ns3:dyDescent="0.2">
      <c r="A924" t="s">
        <v>263</v>
      </c>
      <c r="B924">
        <v>0.45</v>
      </c>
      <c r="C924" t="s">
        <v>23</v>
      </c>
      <c r="D924" t="s">
        <v>24</v>
      </c>
      <c r="E924" t="s">
        <v>13</v>
      </c>
      <c r="F924" t="s">
        <v>20</v>
      </c>
      <c r="G924" t="s">
        <v>263</v>
      </c>
    </row>
    <row r="925" spans="1:7" ns3:dyDescent="0.2">
      <c r="A925" t="s">
        <v>100</v>
      </c>
      <c r="B925">
        <v>7.0800000000000004E-3</v>
      </c>
      <c r="D925" t="s">
        <v>24</v>
      </c>
      <c r="E925" t="s">
        <v>240</v>
      </c>
      <c r="F925" t="s">
        <v>73</v>
      </c>
    </row>
    <row r="926" spans="1:7" ns3:dyDescent="0.2">
      <c r="A926" t="s">
        <v>266</v>
      </c>
      <c r="B926">
        <v>1</v>
      </c>
      <c r="C926" t="s">
        <v>23</v>
      </c>
      <c r="D926" t="s">
        <v>24</v>
      </c>
      <c r="E926" t="s">
        <v>13</v>
      </c>
      <c r="F926" t="s">
        <v>36</v>
      </c>
      <c r="G926" t="s">
        <v>27</v>
      </c>
    </row>
    <row r="927" spans="1:7" ns3:dyDescent="0.2">
      <c r="A927" t="s">
        <v>264</v>
      </c>
      <c r="B927">
        <v>0.045</v>
      </c>
      <c r="C927" t="s">
        <v>23</v>
      </c>
      <c r="D927" t="s">
        <v>24</v>
      </c>
      <c r="E927" t="s">
        <v>13</v>
      </c>
      <c r="F927" t="s">
        <v>20</v>
      </c>
      <c r="G927" t="s">
        <v>265</v>
      </c>
      <c r="H927" t="inlineStr">
        <is>
          <t>APPROVED RAIL ENGINE PLASTIC SOURCE DOSE, issue106,2026-10-18. Wolff et al.2020, DOI10.3390/su12135396, original supplementary Production/Components/Engine.xlsx and Diesel Tank.xlsx. https://mdpi-res.com/d_attachment/sustainability/sustainability-12-05396/article_deploy/sustainability-12-05396-s001.zip . Engine.xlsx B9/B3=51.3/1140=.045kg plastic/kg engine;separate railcopy retained.45kg/kg after truckcopy wasfixed in38b99e4d. Correctonlythisdose to.045kg/kg. Currentmaterialsum1.405 becomes1kg/kg exactly with its retained decimal coefficients. Keep previouslyapproved ordinarycastAl.15kg/kg;othermetal/rubberfeeds unchanged. Sourceplastic isgeneric;retainedphenolicresin is an unverified chemistryproxy,not sourcedphenolic grade. Preserve manufacturingenergy/services,9593.181818181818kg installedengine reference andalllifetimes/perMJ buyers. This doesnotvalidate rail-specificengineefficiency,mass,power/life ormanufacturing/emissionyield;no artificialrenormalizationofothermaterials,recoverycredit orprimary/secondaryshares. Supersedesissue105 pendingplasticwarning. Existingworkbookonly.</t>
        </is>
      </c>
    </row>
    <row r="929" spans="1:8" ht="16" ns3:dyDescent="0.2">
      <c r="A929" s="1" t="s">
        <v>0</v>
      </c>
      <c r="B929" s="1" t="s">
        <v>270</v>
      </c>
    </row>
    <row r="930" spans="1:8" ns3:dyDescent="0.2">
      <c r="A930" t="s">
        <v>2</v>
      </c>
      <c r="B930" t="s">
        <v>23</v>
      </c>
    </row>
    <row r="931" spans="1:8" ns3:dyDescent="0.2">
      <c r="A931" t="s">
        <v>4</v>
      </c>
      <c r="B931">
        <v>1</v>
      </c>
    </row>
    <row r="932" spans="1:8" ns3:dyDescent="0.2">
      <c r="A932" t="s">
        <v>5</v>
      </c>
      <c r="B932" t="s">
        <v>25</v>
      </c>
    </row>
    <row r="933" spans="1:8" ns3:dyDescent="0.2">
      <c r="A933" t="s">
        <v>7</v>
      </c>
      <c r="B933" t="s">
        <v>8</v>
      </c>
    </row>
    <row r="934" spans="1:8" ns3:dyDescent="0.2">
      <c r="A934" t="s">
        <v>9</v>
      </c>
      <c r="B934" t="s">
        <v>24</v>
      </c>
    </row>
    <row r="935" spans="1:8" ns3:dyDescent="0.2">
      <c r="A935" t="s">
        <v>10</v>
      </c>
      <c r="B935" t="inlineStr">
        <is>
          <t>APPROVED RAIL DIESEL TANK ALUMINIUM IDENTITY, issue107,2026-10-18. Wolff et al.2020, DOI10.3390/su12135396, original supplementary Production/Components/Engine.xlsx and Diesel Tank.xlsx. https://mdpi-res.com/d_attachment/sustainability/sustainability-12-05396/article_deploy/sustainability-12-05396-s001.zip . Source specifiesemptyaluminiumtank withnospecialtyAlLi grade. Reuse approvedtrucktank ordinarywroughtalloyreference at1kg/kg finishedtank; no inventedlithium/silveralloyrequirement. Wroughtmarketmix is a formingcompatibleproxy,notverifiedexacttankalloy/retainedelementalcomposition. Keep91.16651797151124kg adoptedrail tankreference,source5000litre sizinganalogy,othermanufacturingenergy/servicesandallperMJ/lifetimeallocation. Welding5m/kg remainsseparateissue108. Do notinfernewmetalyield,EOLcredit orprimary/secondaryshare. No runtime/native changes;existingrailworkbookonly.
PREVIOUS NOTES (retained as history; the correction above takes precedence):
Wolff et al. 2020, Sustainability, DOI: 10.3390/su12135396</t>
        </is>
      </c>
    </row>
    <row r="936" spans="1:8" ns3:dyDescent="0.2">
      <c r="A936" t="s">
        <v>12</v>
      </c>
      <c r="B936" t="s">
        <v>267</v>
      </c>
    </row>
    <row r="937" spans="1:8" ht="16" ns3:dyDescent="0.2">
      <c r="A937" s="1" t="s">
        <v>15</v>
      </c>
    </row>
    <row r="938" spans="1:8" ns3:dyDescent="0.2">
      <c r="A938" s="2" t="s">
        <v>16</v>
      </c>
      <c r="B938" s="2" t="s">
        <v>17</v>
      </c>
      <c r="C938" s="2" t="s">
        <v>2</v>
      </c>
      <c r="D938" s="2" t="s">
        <v>9</v>
      </c>
      <c r="E938" s="2" t="s">
        <v>18</v>
      </c>
      <c r="F938" s="2" t="s">
        <v>7</v>
      </c>
      <c r="G938" s="2" t="s">
        <v>5</v>
      </c>
      <c r="H938" s="2" t="inlineStr">
        <is>
          <t>comment</t>
        </is>
      </c>
    </row>
    <row r="939" spans="1:8" ns3:dyDescent="0.2">
      <c r="A939" t="s">
        <v>238</v>
      </c>
      <c r="B939">
        <v>1</v>
      </c>
      <c r="C939" t="s">
        <v>23</v>
      </c>
      <c r="D939" t="s">
        <v>24</v>
      </c>
      <c r="E939" t="s">
        <v>13</v>
      </c>
      <c r="F939" t="s">
        <v>20</v>
      </c>
      <c r="G939" t="s">
        <v>238</v>
      </c>
      <c r="H939" t="inlineStr">
        <is>
          <t>APPROVED RAIL DIESEL TANK ALUMINIUM IDENTITY, issue107,2026-10-18. Wolff et al.2020, DOI10.3390/su12135396, original supplementary Production/Components/Engine.xlsx and Diesel Tank.xlsx. https://mdpi-res.com/d_attachment/sustainability/sustainability-12-05396/article_deploy/sustainability-12-05396-s001.zip . Source specifiesemptyaluminiumtank withnospecialtyAlLi grade. Reuse approvedtrucktank ordinarywroughtalloyreference at1kg/kg finishedtank; no inventedlithium/silveralloyrequirement. Wroughtmarketmix is a formingcompatibleproxy,notverifiedexacttankalloy/retainedelementalcomposition. Keep91.16651797151124kg adoptedrail tankreference,source5000litre sizinganalogy,othermanufacturingenergy/servicesandallperMJ/lifetimeallocation. Welding5m/kg remainsseparateissue108. Do notinfernewmetalyield,EOLcredit orprimary/secondaryshare. No runtime/native changes;existingrailworkbookonly.</t>
        </is>
      </c>
    </row>
    <row r="940" spans="1:8" ns3:dyDescent="0.2">
      <c r="A940" t="s">
        <v>270</v>
      </c>
      <c r="B940">
        <v>1</v>
      </c>
      <c r="C940" t="s">
        <v>23</v>
      </c>
      <c r="D940" t="s">
        <v>24</v>
      </c>
      <c r="E940" t="s">
        <v>13</v>
      </c>
      <c r="F940" t="s">
        <v>36</v>
      </c>
      <c r="G940" t="s">
        <v>25</v>
      </c>
    </row>
    <row r="941" spans="1:8" ns3:dyDescent="0.2">
      <c r="A941" t="s">
        <v>243</v>
      </c>
      <c r="B941">
        <v>6.25</v>
      </c>
      <c r="C941" t="s">
        <v>244</v>
      </c>
      <c r="D941" t="s">
        <v>118</v>
      </c>
      <c r="E941" t="s">
        <v>13</v>
      </c>
      <c r="F941" t="s">
        <v>20</v>
      </c>
      <c r="G941" t="s">
        <v>245</v>
      </c>
    </row>
    <row r="942" spans="1:8" ns3:dyDescent="0.2">
      <c r="A942" t="inlineStr">
        <is>
          <t>market for aluminium, wrought alloy</t>
        </is>
      </c>
      <c r="B942">
        <v>1</v>
      </c>
      <c r="C942" t="inlineStr">
        <is>
          <t>GLO</t>
        </is>
      </c>
      <c r="D942" t="s">
        <v>24</v>
      </c>
      <c r="E942" t="s">
        <v>13</v>
      </c>
      <c r="F942" t="s">
        <v>20</v>
      </c>
      <c r="G942" t="inlineStr">
        <is>
          <t>aluminium, wrought alloy</t>
        </is>
      </c>
      <c r="H942" t="inlineStr">
        <is>
          <t>APPROVED RAIL DIESEL TANK ALUMINIUM IDENTITY, issue107,2026-10-18. Wolff et al.2020, DOI10.3390/su12135396, original supplementary Production/Components/Engine.xlsx and Diesel Tank.xlsx. https://mdpi-res.com/d_attachment/sustainability/sustainability-12-05396/article_deploy/sustainability-12-05396-s001.zip . Source specifiesemptyaluminiumtank withnospecialtyAlLi grade. Reuse approvedtrucktank ordinarywroughtalloyreference at1kg/kg finishedtank; no inventedlithium/silveralloyrequirement. Wroughtmarketmix is a formingcompatibleproxy,notverifiedexacttankalloy/retainedelementalcomposition. Keep91.16651797151124kg adoptedrail tankreference,source5000litre sizinganalogy,othermanufacturingenergy/servicesandallperMJ/lifetimeallocation. Welding5m/kg remainsseparateissue108. Do notinfernewmetalyield,EOLcredit orprimary/secondaryshare. No runtime/native changes;existingrailworkbookonly.</t>
        </is>
      </c>
    </row>
    <row r="943" spans="1:8" ns3:dyDescent="0.2">
      <c r="A943" t="s">
        <v>268</v>
      </c>
      <c r="B943">
        <v>5</v>
      </c>
      <c r="C943" t="s">
        <v>23</v>
      </c>
      <c r="D943" t="s">
        <v>269</v>
      </c>
      <c r="E943" t="s">
        <v>13</v>
      </c>
      <c r="F943" t="s">
        <v>20</v>
      </c>
      <c r="G943" t="s">
        <v>268</v>
      </c>
    </row>
    <row r="944">
      <c r="A944" t="inlineStr">
        <is>
          <t>Activity</t>
        </is>
      </c>
      <c r="B944" t="inlineStr">
        <is>
          <t>Fuel tank, compressed hydrogen gas, 700bar, with aluminium liner</t>
        </is>
      </c>
    </row>
    <row r="945">
      <c r="A945" t="inlineStr">
        <is>
          <t>reference product</t>
        </is>
      </c>
      <c r="B945" t="inlineStr">
        <is>
          <t>hydrogen tank</t>
        </is>
      </c>
    </row>
    <row r="946">
      <c r="A946" t="inlineStr">
        <is>
          <t>location</t>
        </is>
      </c>
      <c r="B946" t="inlineStr">
        <is>
          <t>RER</t>
        </is>
      </c>
    </row>
    <row r="947">
      <c r="A947" t="inlineStr">
        <is>
          <t>unit</t>
        </is>
      </c>
      <c r="B947" t="inlineStr">
        <is>
          <t>kilogram</t>
        </is>
      </c>
    </row>
    <row r="948">
      <c r="A948" t="inlineStr">
        <is>
          <t>comment</t>
        </is>
      </c>
      <c r="B948" t="inlineStr">
        <is>
          <t>Retained legacy truck component; preserves the master-branch dry-mass and electricity correction. Dry-mass correction, 2026-10-10. Evangelisti et al. (2017), doi:10.1016/j.jclepro.2016.11.159, supplementary Hydrogen tank (Scenario S17). Supplement: https://ars.els-cdn.com/content/image/1-s2.0-S0959652616320212-mmc1.docx. SHA256: ca9470c504f61ef58e2e5cc3cad8c06d6cecf17073074ac2ce19dca3678ac49d. Normalize all listed material and processing quantities by 113.169 kg of listed dry materials, not the legacy 93 kg denominator. The main text, scenario labels and supplementary output masses are inconsistent. The difference between nominal output and listed material mass is approximately stored hydrogen, but this interpretation is not explicit in the paper. Dry mass is an explicit modelling boundary, not an assumed missing material. Processing services do not add material mass. Preserve published material ratios and existing supplier proxies, including AlLi for aluminium; these are not validated as current vehicle specifications. Electricity is published in MJ: divide by 3.6 to obtain kWh. Restored in the rail inventory after shared-component consolidation; rail and final-energy kilogram requirements are unchanged. Carbon fibre uses the current canonical regional-truck component supplier.</t>
        </is>
      </c>
    </row>
    <row r="949">
      <c r="A949" t="inlineStr">
        <is>
          <t>production amount</t>
        </is>
      </c>
      <c r="B949">
        <v>1</v>
      </c>
    </row>
    <row r="950">
      <c r="A950" t="inlineStr">
        <is>
          <t>type</t>
        </is>
      </c>
      <c r="B950" t="inlineStr">
        <is>
          <t>process</t>
        </is>
      </c>
    </row>
    <row r="951">
      <c r="A951" t="inlineStr">
        <is>
          <t>description</t>
        </is>
      </c>
      <c r="B951" t="inlineStr">
        <is>
          <t>700-bar hydrogen tank with aluminium (Type III) liner. Reference output: 1 kg dry tank assembly including tank balance of plant, excluding stored hydrogen. Source listed dry materials total 113.169 kg per assembly.</t>
        </is>
      </c>
    </row>
    <row r="952">
      <c r="A952" t="inlineStr">
        <is>
          <t>inventory provenance</t>
        </is>
      </c>
      <c r="B952" t="inlineStr">
        <is>
          <t>{"schema version": 1, "role": "retained legacy component", "original workbook": "lci-trucks.xlsx", "original workbook sha256": "0b39c6311dc71dd13254a62901260e23747205cdd4f8871f952c1e77f4128fba", "source database version": "3.9", "model generation version": "not recorded in original workbook", "boundary": "Retained for compatibility on the ecoinvent 3.7 import basis; preserves the 2026-10-10 dry-mass and manufacturing-energy correction. Not regenerated by carculator_truck.", "metadata updated": "2026-10-14", "correction source revision": "ff79a88d0e7fc85f116cbe8387a458ac824e94b6", "corrected source workbook sha256": "e4a4b581c35c08e5a9f18a37cdd7bf6306172fd68234c43390bffc0779a7e3ca", "restored from revision": "83b9c0ae76db37b473233dce090bcbda22b9b67b", "restored in": "lci-rail-freight.xlsx", "restoration reason": "The shared-component consolidation removed this supplier while hydrogen rail and final-energy consumers retained their kilogram inputs. Restore the corrected Type III recipe, preserving consumer quantities."}</t>
        </is>
      </c>
    </row>
    <row r="953">
      <c r="A953" t="inlineStr">
        <is>
          <t>source</t>
        </is>
      </c>
      <c r="B953" t="inlineStr">
        <is>
          <t>Evangelisti et al. 2017, doi: 10.1016/j.jclepro.2016.11.159</t>
        </is>
      </c>
    </row>
    <row r="954">
      <c r="A954" t="inlineStr">
        <is>
          <t>Exchanges</t>
        </is>
      </c>
    </row>
    <row r="955">
      <c r="A955" t="inlineStr">
        <is>
          <t>name</t>
        </is>
      </c>
      <c r="B955" t="inlineStr">
        <is>
          <t>amount</t>
        </is>
      </c>
      <c r="C955" t="inlineStr">
        <is>
          <t>location</t>
        </is>
      </c>
      <c r="D955" t="inlineStr">
        <is>
          <t>unit</t>
        </is>
      </c>
      <c r="E955" t="inlineStr">
        <is>
          <t>categories</t>
        </is>
      </c>
      <c r="F955" t="inlineStr">
        <is>
          <t>type</t>
        </is>
      </c>
      <c r="G955" t="inlineStr">
        <is>
          <t>reference product</t>
        </is>
      </c>
      <c r="H955" t="inlineStr">
        <is>
          <t>comment</t>
        </is>
      </c>
      <c r="I955" t="inlineStr">
        <is>
          <t>uncertainty type</t>
        </is>
      </c>
    </row>
    <row r="956">
      <c r="A956" t="inlineStr">
        <is>
          <t>market group for electricity, low voltage</t>
        </is>
      </c>
      <c r="B956">
        <v>0.04030844724851034</v>
      </c>
      <c r="C956" t="inlineStr">
        <is>
          <t>ENTSO-E</t>
        </is>
      </c>
      <c r="D956" t="inlineStr">
        <is>
          <t>kilowatt hour</t>
        </is>
      </c>
      <c r="F956" t="inlineStr">
        <is>
          <t>technosphere</t>
        </is>
      </c>
      <c r="G956" t="inlineStr">
        <is>
          <t>electricity, low voltage</t>
        </is>
      </c>
      <c r="H956" t="inlineStr">
        <is>
          <t>16.422 MJ / 3.6 MJ/kWh / 113.169 kg dry assembly = 0.0403084472485 kWh/kg. Evangelisti et al. (2017), supplementary Hydrogen tank (Scenario S17). Preserve existing supplier proxy.</t>
        </is>
      </c>
    </row>
    <row r="957">
      <c r="A957" t="inlineStr">
        <is>
          <t>metal working, average for chromium steel product manufacturing</t>
        </is>
      </c>
      <c r="B957">
        <v>0.0935856992639327</v>
      </c>
      <c r="C957" t="inlineStr">
        <is>
          <t>RER</t>
        </is>
      </c>
      <c r="D957" t="inlineStr">
        <is>
          <t>kilogram</t>
        </is>
      </c>
      <c r="F957" t="inlineStr">
        <is>
          <t>technosphere</t>
        </is>
      </c>
      <c r="G957" t="inlineStr">
        <is>
          <t>metal working, average for chromium steel product manufacturing</t>
        </is>
      </c>
      <c r="H957" t="inlineStr">
        <is>
          <t>(10.591) kg / 113.169 kg dry assembly = 0.0935856992639 kg/kg. Processing service; excluded from material mass balance. Evangelisti et al. (2017), supplementary Hydrogen tank (Scenario S17). Preserve existing supplier proxy.</t>
        </is>
      </c>
    </row>
    <row r="958">
      <c r="A958" t="inlineStr">
        <is>
          <t>market for steel, chromium steel 18/8</t>
        </is>
      </c>
      <c r="B958">
        <v>0.0935856992639327</v>
      </c>
      <c r="C958" t="inlineStr">
        <is>
          <t>GLO</t>
        </is>
      </c>
      <c r="D958" t="inlineStr">
        <is>
          <t>kilogram</t>
        </is>
      </c>
      <c r="F958" t="inlineStr">
        <is>
          <t>technosphere</t>
        </is>
      </c>
      <c r="G958" t="inlineStr">
        <is>
          <t>steel, chromium steel 18/8</t>
        </is>
      </c>
      <c r="H958" t="inlineStr">
        <is>
          <t>(10.591) kg / 113.169 kg dry assembly = 0.0935856992639 kg/kg. Material input. Evangelisti et al. (2017), supplementary Hydrogen tank (Scenario S17). Preserve existing supplier proxy.</t>
        </is>
      </c>
    </row>
    <row r="959">
      <c r="A959" t="inlineStr">
        <is>
          <t>epoxy resin production, liquid</t>
        </is>
      </c>
      <c r="B959">
        <v>0.2628811777076762</v>
      </c>
      <c r="C959" t="inlineStr">
        <is>
          <t>RER</t>
        </is>
      </c>
      <c r="D959" t="inlineStr">
        <is>
          <t>kilogram</t>
        </is>
      </c>
      <c r="F959" t="inlineStr">
        <is>
          <t>technosphere</t>
        </is>
      </c>
      <c r="G959" t="inlineStr">
        <is>
          <t>epoxy resin, liquid</t>
        </is>
      </c>
      <c r="H959" t="inlineStr">
        <is>
          <t>(29.75) kg / 113.169 kg dry assembly = 0.262881177708 kg/kg. Material input. Evangelisti et al. (2017), supplementary Hydrogen tank (Scenario S17). Preserve existing supplier proxy.</t>
        </is>
      </c>
    </row>
    <row r="960">
      <c r="A960" t="inlineStr">
        <is>
          <t xml:space="preserve">carbon fiber production, weaved, at factory</t>
        </is>
      </c>
      <c r="B960">
        <v>0.1756046267087277</v>
      </c>
      <c r="C960" t="inlineStr">
        <is>
          <t>RER</t>
        </is>
      </c>
      <c r="D960" t="inlineStr">
        <is>
          <t>kilogram</t>
        </is>
      </c>
      <c r="F960" t="inlineStr">
        <is>
          <t>technosphere</t>
        </is>
      </c>
      <c r="G960" t="inlineStr">
        <is>
          <t xml:space="preserve">carbon fiber, weaved</t>
        </is>
      </c>
      <c r="H960" t="inlineStr">
        <is>
          <t xml:space="preserve">(19.873) kg / 113.169 kg dry assembly = 0.175604626709 kg/kg. Material input. Evangelisti et al. (2017), supplementary Hydrogen tank (Scenario S17). Preserve existing supplier proxy. Linked to the retained canonical regional-truck component supplier.
Shared component reuse (2026-10-16): original model supplier 'carbon fiber production, weaved, at factory, carculator regional truck 2020' uses the existing canonical recipe in lci-carbon-fiber.xlsx; its quantities and uncertainty are retained.</t>
        </is>
      </c>
    </row>
    <row r="961">
      <c r="A961" t="inlineStr">
        <is>
          <t>Fuel tank, compressed hydrogen gas, 700bar, with aluminium liner</t>
        </is>
      </c>
      <c r="B961">
        <v>1</v>
      </c>
      <c r="C961" t="inlineStr">
        <is>
          <t>RER</t>
        </is>
      </c>
      <c r="D961" t="inlineStr">
        <is>
          <t>kilogram</t>
        </is>
      </c>
      <c r="F961" t="inlineStr">
        <is>
          <t>production</t>
        </is>
      </c>
      <c r="G961" t="inlineStr">
        <is>
          <t>hydrogen tank</t>
        </is>
      </c>
    </row>
    <row r="962">
      <c r="A962" t="inlineStr">
        <is>
          <t>market for sheet rolling, aluminium</t>
        </is>
      </c>
      <c r="B962">
        <v>0.3154574132492114</v>
      </c>
      <c r="C962" t="inlineStr">
        <is>
          <t>GLO</t>
        </is>
      </c>
      <c r="D962" t="inlineStr">
        <is>
          <t>kilogram</t>
        </is>
      </c>
      <c r="F962" t="inlineStr">
        <is>
          <t>technosphere</t>
        </is>
      </c>
      <c r="G962" t="inlineStr">
        <is>
          <t>sheet rolling, aluminium</t>
        </is>
      </c>
      <c r="H962" t="inlineStr">
        <is>
          <t>(35.7) kg / 113.169 kg dry assembly = 0.315457413249 kg/kg. Processing service; excluded from material mass balance. Evangelisti et al. (2017), supplementary Hydrogen tank (Scenario S17). Preserve existing supplier proxy.</t>
        </is>
      </c>
    </row>
    <row r="963">
      <c r="A963" t="inlineStr">
        <is>
          <t>market for aluminium alloy, AlLi</t>
        </is>
      </c>
      <c r="B963">
        <v>0.377497371188223</v>
      </c>
      <c r="C963" t="inlineStr">
        <is>
          <t>GLO</t>
        </is>
      </c>
      <c r="D963" t="inlineStr">
        <is>
          <t>kilogram</t>
        </is>
      </c>
      <c r="F963" t="inlineStr">
        <is>
          <t>technosphere</t>
        </is>
      </c>
      <c r="G963" t="inlineStr">
        <is>
          <t>aluminium alloy, AlLi</t>
        </is>
      </c>
      <c r="H963" t="inlineStr">
        <is>
          <t>(35.7 + 7.021) kg / 113.169 kg dry assembly = 0.377497371188 kg/kg. Material input. Evangelisti et al. (2017), supplementary Hydrogen tank (Scenario S17). Preserve existing supplier proxy.</t>
        </is>
      </c>
    </row>
    <row r="964">
      <c r="A964" t="inlineStr">
        <is>
          <t>market for glass fibre</t>
        </is>
      </c>
      <c r="B964">
        <v>0.04942166140904311</v>
      </c>
      <c r="C964" t="inlineStr">
        <is>
          <t>GLO</t>
        </is>
      </c>
      <c r="D964" t="inlineStr">
        <is>
          <t>kilogram</t>
        </is>
      </c>
      <c r="F964" t="inlineStr">
        <is>
          <t>technosphere</t>
        </is>
      </c>
      <c r="G964" t="inlineStr">
        <is>
          <t>glass fibre</t>
        </is>
      </c>
      <c r="H964" t="inlineStr">
        <is>
          <t>(5.593) kg / 113.169 kg dry assembly = 0.049421661409 kg/kg. Material input. Evangelisti et al. (2017), supplementary Hydrogen tank (Scenario S17). Preserve existing supplier proxy.</t>
        </is>
      </c>
    </row>
    <row r="965">
      <c r="A965" t="inlineStr">
        <is>
          <t>market for polyurethane, flexible foam</t>
        </is>
      </c>
      <c r="B965">
        <v>0.04100946372239748</v>
      </c>
      <c r="C965" t="inlineStr">
        <is>
          <t>RER</t>
        </is>
      </c>
      <c r="D965" t="inlineStr">
        <is>
          <t>kilogram</t>
        </is>
      </c>
      <c r="F965" t="inlineStr">
        <is>
          <t>technosphere</t>
        </is>
      </c>
      <c r="G965" t="inlineStr">
        <is>
          <t>polyurethane, flexible foam</t>
        </is>
      </c>
      <c r="H965" t="inlineStr">
        <is>
          <t>(4.641) kg / 113.169 kg dry assembly = 0.0410094637224 kg/kg. Material input. Evangelisti et al. (2017), supplementary Hydrogen tank (Scenario S17). Preserve existing supplier proxy.</t>
        </is>
      </c>
    </row>
    <row r="966"/>
    <row r="968">
      <c r="A968" t="inlineStr">
        <is>
          <t>Activity</t>
        </is>
      </c>
      <c r="B968" t="inlineStr">
        <is>
          <t>non-oriented electrical steel, engineering alloy reference</t>
        </is>
      </c>
    </row>
    <row r="969">
      <c r="A969" t="inlineStr">
        <is>
          <t>location</t>
        </is>
      </c>
      <c r="B969" t="inlineStr">
        <is>
          <t>GLO</t>
        </is>
      </c>
    </row>
    <row r="970">
      <c r="A970" t="inlineStr">
        <is>
          <t>production amount</t>
        </is>
      </c>
      <c r="B970">
        <v>1</v>
      </c>
    </row>
    <row r="971">
      <c r="A971" t="inlineStr">
        <is>
          <t>reference product</t>
        </is>
      </c>
      <c r="B971" t="inlineStr">
        <is>
          <t>non-oriented electrical steel, engineering alloy reference</t>
        </is>
      </c>
    </row>
    <row r="972">
      <c r="A972" t="inlineStr">
        <is>
          <t>unit</t>
        </is>
      </c>
      <c r="B972" t="inlineStr">
        <is>
          <t>kilogram</t>
        </is>
      </c>
    </row>
    <row r="973">
      <c r="A973" t="inlineStr">
        <is>
          <t>source</t>
        </is>
      </c>
      <c r="B973" t="inlineStr">
        <is>
          <t>Hsieh etal2026 DOI10.1007/s11367-026-02610-7, SI FigureS7 IM2 and TableS11; ABB2017 Re460 asynchronous traction https://library.e.abb.com/public/bfe91c518ff94330a3c591b4bbeb8b6a/65-69%201m6073_EN_72dpi.pdf</t>
        </is>
      </c>
    </row>
    <row r="974">
      <c r="A974" t="inlineStr">
        <is>
          <t>comment</t>
        </is>
      </c>
      <c r="B974"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t>
        </is>
      </c>
    </row>
    <row r="975">
      <c r="A975" t="inlineStr">
        <is>
          <t>Exchanges</t>
        </is>
      </c>
    </row>
    <row r="976">
      <c r="A976" t="inlineStr">
        <is>
          <t>name</t>
        </is>
      </c>
      <c r="B976" t="inlineStr">
        <is>
          <t>amount</t>
        </is>
      </c>
      <c r="C976" t="inlineStr">
        <is>
          <t>location</t>
        </is>
      </c>
      <c r="D976" t="inlineStr">
        <is>
          <t>unit</t>
        </is>
      </c>
      <c r="E976" t="inlineStr">
        <is>
          <t>categories</t>
        </is>
      </c>
      <c r="F976" t="inlineStr">
        <is>
          <t>type</t>
        </is>
      </c>
      <c r="G976" t="inlineStr">
        <is>
          <t>reference product</t>
        </is>
      </c>
      <c r="H976" t="inlineStr">
        <is>
          <t>comment</t>
        </is>
      </c>
    </row>
    <row r="977">
      <c r="A977" t="inlineStr">
        <is>
          <t>non-oriented electrical steel, engineering alloy reference</t>
        </is>
      </c>
      <c r="B977">
        <v>1</v>
      </c>
      <c r="C977" t="inlineStr">
        <is>
          <t>GLO</t>
        </is>
      </c>
      <c r="D977" t="inlineStr">
        <is>
          <t>kilogram</t>
        </is>
      </c>
      <c r="F977" t="inlineStr">
        <is>
          <t>production</t>
        </is>
      </c>
      <c r="G977" t="inlineStr">
        <is>
          <t>non-oriented electrical steel, engineering alloy reference</t>
        </is>
      </c>
    </row>
    <row r="978">
      <c r="A978" t="inlineStr">
        <is>
          <t>market for steel, low-alloyed</t>
        </is>
      </c>
      <c r="B978">
        <v>0.9573333333333334</v>
      </c>
      <c r="C978" t="inlineStr">
        <is>
          <t>GLO</t>
        </is>
      </c>
      <c r="D978" t="inlineStr">
        <is>
          <t>kilogram</t>
        </is>
      </c>
      <c r="F978" t="inlineStr">
        <is>
          <t>technosphere</t>
        </is>
      </c>
      <c r="G978" t="inlineStr">
        <is>
          <t>steel, low-alloyed</t>
        </is>
      </c>
    </row>
    <row r="979">
      <c r="A979" t="inlineStr">
        <is>
          <t>market for ferrosilicon</t>
        </is>
      </c>
      <c r="B979">
        <v>0.042666666666666665</v>
      </c>
      <c r="C979" t="inlineStr">
        <is>
          <t>GLO</t>
        </is>
      </c>
      <c r="D979" t="inlineStr">
        <is>
          <t>kilogram</t>
        </is>
      </c>
      <c r="F979" t="inlineStr">
        <is>
          <t>technosphere</t>
        </is>
      </c>
      <c r="G979" t="inlineStr">
        <is>
          <t>ferrosilicon</t>
        </is>
      </c>
    </row>
    <row r="980">
      <c r="A980" t="inlineStr">
        <is>
          <t>sheet rolling, steel</t>
        </is>
      </c>
      <c r="B980">
        <v>1</v>
      </c>
      <c r="C980" t="inlineStr">
        <is>
          <t>RER</t>
        </is>
      </c>
      <c r="D980" t="inlineStr">
        <is>
          <t>kilogram</t>
        </is>
      </c>
      <c r="F980" t="inlineStr">
        <is>
          <t>technosphere</t>
        </is>
      </c>
      <c r="G980" t="inlineStr">
        <is>
          <t>sheet rolling, steel</t>
        </is>
      </c>
    </row>
    <row r="983">
      <c r="A983" t="inlineStr">
        <is>
          <t>Activity</t>
        </is>
      </c>
      <c r="B983" t="inlineStr">
        <is>
          <t>electric motor, asynchronous traction, engineering reference</t>
        </is>
      </c>
    </row>
    <row r="984">
      <c r="A984" t="inlineStr">
        <is>
          <t>location</t>
        </is>
      </c>
      <c r="B984" t="inlineStr">
        <is>
          <t>GLO</t>
        </is>
      </c>
    </row>
    <row r="985">
      <c r="A985" t="inlineStr">
        <is>
          <t>production amount</t>
        </is>
      </c>
      <c r="B985">
        <v>1</v>
      </c>
    </row>
    <row r="986">
      <c r="A986" t="inlineStr">
        <is>
          <t>reference product</t>
        </is>
      </c>
      <c r="B986" t="inlineStr">
        <is>
          <t>electric motor, asynchronous traction, engineering reference</t>
        </is>
      </c>
    </row>
    <row r="987">
      <c r="A987" t="inlineStr">
        <is>
          <t>unit</t>
        </is>
      </c>
      <c r="B987" t="inlineStr">
        <is>
          <t>kilogram</t>
        </is>
      </c>
    </row>
    <row r="988">
      <c r="A988" t="inlineStr">
        <is>
          <t>source</t>
        </is>
      </c>
      <c r="B988" t="inlineStr">
        <is>
          <t>Hsieh etal2026 DOI10.1007/s11367-026-02610-7, SI FigureS7 IM2 and TableS11; ABB2017 Re460 asynchronous traction https://library.e.abb.com/public/bfe91c518ff94330a3c591b4bbeb8b6a/65-69%201m6073_EN_72dpi.pdf</t>
        </is>
      </c>
    </row>
    <row r="989">
      <c r="A989" t="inlineStr">
        <is>
          <t>comment</t>
        </is>
      </c>
      <c r="B989"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t>
        </is>
      </c>
    </row>
    <row r="990">
      <c r="A990" t="inlineStr">
        <is>
          <t>Exchanges</t>
        </is>
      </c>
    </row>
    <row r="991">
      <c r="A991" t="inlineStr">
        <is>
          <t>name</t>
        </is>
      </c>
      <c r="B991" t="inlineStr">
        <is>
          <t>amount</t>
        </is>
      </c>
      <c r="C991" t="inlineStr">
        <is>
          <t>location</t>
        </is>
      </c>
      <c r="D991" t="inlineStr">
        <is>
          <t>unit</t>
        </is>
      </c>
      <c r="E991" t="inlineStr">
        <is>
          <t>categories</t>
        </is>
      </c>
      <c r="F991" t="inlineStr">
        <is>
          <t>type</t>
        </is>
      </c>
      <c r="G991" t="inlineStr">
        <is>
          <t>reference product</t>
        </is>
      </c>
      <c r="H991" t="inlineStr">
        <is>
          <t>comment</t>
        </is>
      </c>
    </row>
    <row r="992">
      <c r="A992" t="inlineStr">
        <is>
          <t>electric motor, asynchronous traction, engineering reference</t>
        </is>
      </c>
      <c r="B992">
        <v>1</v>
      </c>
      <c r="C992" t="inlineStr">
        <is>
          <t>GLO</t>
        </is>
      </c>
      <c r="D992" t="inlineStr">
        <is>
          <t>kilogram</t>
        </is>
      </c>
      <c r="F992" t="inlineStr">
        <is>
          <t>production</t>
        </is>
      </c>
      <c r="G992" t="inlineStr">
        <is>
          <t>electric motor, asynchronous traction, engineering reference</t>
        </is>
      </c>
    </row>
    <row r="993">
      <c r="A993" t="inlineStr">
        <is>
          <t>market for aluminium, wrought alloy</t>
        </is>
      </c>
      <c r="B993">
        <v>0.37381309345327335</v>
      </c>
      <c r="C993" t="inlineStr">
        <is>
          <t>GLO</t>
        </is>
      </c>
      <c r="D993" t="inlineStr">
        <is>
          <t>kilogram</t>
        </is>
      </c>
      <c r="F993" t="inlineStr">
        <is>
          <t>technosphere</t>
        </is>
      </c>
      <c r="G993" t="inlineStr">
        <is>
          <t>aluminium, wrought alloy</t>
        </is>
      </c>
    </row>
    <row r="994">
      <c r="A994" t="inlineStr">
        <is>
          <t>non-oriented electrical steel, engineering alloy reference</t>
        </is>
      </c>
      <c r="B994">
        <v>0.4627686156921539</v>
      </c>
      <c r="C994" t="inlineStr">
        <is>
          <t>GLO</t>
        </is>
      </c>
      <c r="D994" t="inlineStr">
        <is>
          <t>kilogram</t>
        </is>
      </c>
      <c r="F994" t="inlineStr">
        <is>
          <t>technosphere</t>
        </is>
      </c>
      <c r="G994" t="inlineStr">
        <is>
          <t>non-oriented electrical steel, engineering alloy reference</t>
        </is>
      </c>
    </row>
    <row r="995">
      <c r="A995" t="inlineStr">
        <is>
          <t>market for copper, cathode</t>
        </is>
      </c>
      <c r="B995">
        <v>0.09995002498750626</v>
      </c>
      <c r="C995" t="inlineStr">
        <is>
          <t>GLO</t>
        </is>
      </c>
      <c r="D995" t="inlineStr">
        <is>
          <t>kilogram</t>
        </is>
      </c>
      <c r="F995" t="inlineStr">
        <is>
          <t>technosphere</t>
        </is>
      </c>
      <c r="G995" t="inlineStr">
        <is>
          <t>copper, cathode</t>
        </is>
      </c>
    </row>
    <row r="996">
      <c r="A996" t="inlineStr">
        <is>
          <t>market for steel, low-alloyed</t>
        </is>
      </c>
      <c r="B996">
        <v>0.039280359820089955</v>
      </c>
      <c r="C996" t="inlineStr">
        <is>
          <t>GLO</t>
        </is>
      </c>
      <c r="D996" t="inlineStr">
        <is>
          <t>kilogram</t>
        </is>
      </c>
      <c r="F996" t="inlineStr">
        <is>
          <t>technosphere</t>
        </is>
      </c>
      <c r="G996" t="inlineStr">
        <is>
          <t>steel, low-alloyed</t>
        </is>
      </c>
    </row>
    <row r="997">
      <c r="A997" t="inlineStr">
        <is>
          <t>market for epoxy resin, liquid</t>
        </is>
      </c>
      <c r="B997">
        <v>0.02418790604697651</v>
      </c>
      <c r="C997" t="inlineStr">
        <is>
          <t>RER</t>
        </is>
      </c>
      <c r="D997" t="inlineStr">
        <is>
          <t>kilogram</t>
        </is>
      </c>
      <c r="F997" t="inlineStr">
        <is>
          <t>technosphere</t>
        </is>
      </c>
      <c r="G997" t="inlineStr">
        <is>
          <t>epoxy resin, liquid</t>
        </is>
      </c>
    </row>
    <row r="998">
      <c r="A998" t="inlineStr">
        <is>
          <t>metal working, average for aluminium product manufacturing</t>
        </is>
      </c>
      <c r="B998">
        <v>0.37381309345327335</v>
      </c>
      <c r="C998" t="inlineStr">
        <is>
          <t>RER</t>
        </is>
      </c>
      <c r="D998" t="inlineStr">
        <is>
          <t>kilogram</t>
        </is>
      </c>
      <c r="F998" t="inlineStr">
        <is>
          <t>technosphere</t>
        </is>
      </c>
      <c r="G998" t="inlineStr">
        <is>
          <t>metal working, average for aluminium product manufacturing</t>
        </is>
      </c>
    </row>
    <row r="999">
      <c r="A999" t="inlineStr">
        <is>
          <t>metal working, average for copper product manufacturing</t>
        </is>
      </c>
      <c r="B999">
        <v>0.09995002498750626</v>
      </c>
      <c r="C999" t="inlineStr">
        <is>
          <t>RER</t>
        </is>
      </c>
      <c r="D999" t="inlineStr">
        <is>
          <t>kilogram</t>
        </is>
      </c>
      <c r="F999" t="inlineStr">
        <is>
          <t>technosphere</t>
        </is>
      </c>
      <c r="G999" t="inlineStr">
        <is>
          <t>metal working, average for copper product manufacturing</t>
        </is>
      </c>
    </row>
    <row r="1000">
      <c r="A1000" t="inlineStr">
        <is>
          <t>metal working, average for steel product manufacturing</t>
        </is>
      </c>
      <c r="B1000">
        <v>0.5020489755122438</v>
      </c>
      <c r="C1000" t="inlineStr">
        <is>
          <t>RER</t>
        </is>
      </c>
      <c r="D1000" t="inlineStr">
        <is>
          <t>kilogram</t>
        </is>
      </c>
      <c r="F1000" t="inlineStr">
        <is>
          <t>technosphere</t>
        </is>
      </c>
      <c r="G1000" t="inlineStr">
        <is>
          <t>metal working, average for steel product manufacturing</t>
        </is>
      </c>
    </row>
    <row r="1001">
      <c r="A1001" t="inlineStr">
        <is>
          <t>market group for electricity, medium voltage</t>
        </is>
      </c>
      <c r="B1001">
        <v>1</v>
      </c>
      <c r="C1001" t="inlineStr">
        <is>
          <t>Europe without Switzerland</t>
        </is>
      </c>
      <c r="D1001" t="inlineStr">
        <is>
          <t>kilowatt hour</t>
        </is>
      </c>
      <c r="F1001" t="inlineStr">
        <is>
          <t>technosphere</t>
        </is>
      </c>
      <c r="G1001" t="inlineStr">
        <is>
          <t>electricity, medium voltage</t>
        </is>
      </c>
    </row>
    <row r="1004">
      <c r="A1004" t="inlineStr">
        <is>
          <t>Activity</t>
        </is>
      </c>
      <c r="B1004" t="inlineStr">
        <is>
          <t>power semiconductor module, rail converter engineering reference</t>
        </is>
      </c>
    </row>
    <row r="1005">
      <c r="A1005" t="inlineStr">
        <is>
          <t>location</t>
        </is>
      </c>
      <c r="B1005" t="inlineStr">
        <is>
          <t>GLO</t>
        </is>
      </c>
    </row>
    <row r="1006">
      <c r="A1006" t="inlineStr">
        <is>
          <t>production amount</t>
        </is>
      </c>
      <c r="B1006">
        <v>1</v>
      </c>
    </row>
    <row r="1007">
      <c r="A1007" t="inlineStr">
        <is>
          <t>reference product</t>
        </is>
      </c>
      <c r="B1007" t="inlineStr">
        <is>
          <t>power semiconductor module, rail converter engineering reference</t>
        </is>
      </c>
    </row>
    <row r="1008">
      <c r="A1008" t="inlineStr">
        <is>
          <t>unit</t>
        </is>
      </c>
      <c r="B1008" t="inlineStr">
        <is>
          <t>kilogram</t>
        </is>
      </c>
    </row>
    <row r="1009">
      <c r="A1009" t="inlineStr">
        <is>
          <t>source</t>
        </is>
      </c>
      <c r="B1009" t="inlineStr">
        <is>
          <t>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t>
        </is>
      </c>
    </row>
    <row r="1010">
      <c r="A1010" t="inlineStr">
        <is>
          <t>comment</t>
        </is>
      </c>
      <c r="B1010" t="inlineStr">
        <is>
          <t>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t>
        </is>
      </c>
    </row>
    <row r="1011">
      <c r="A1011" t="inlineStr">
        <is>
          <t>Exchanges</t>
        </is>
      </c>
    </row>
    <row r="1012">
      <c r="A1012" t="inlineStr">
        <is>
          <t>name</t>
        </is>
      </c>
      <c r="B1012" t="inlineStr">
        <is>
          <t>amount</t>
        </is>
      </c>
      <c r="C1012" t="inlineStr">
        <is>
          <t>location</t>
        </is>
      </c>
      <c r="D1012" t="inlineStr">
        <is>
          <t>unit</t>
        </is>
      </c>
      <c r="E1012" t="inlineStr">
        <is>
          <t>categories</t>
        </is>
      </c>
      <c r="F1012" t="inlineStr">
        <is>
          <t>type</t>
        </is>
      </c>
      <c r="G1012" t="inlineStr">
        <is>
          <t>reference product</t>
        </is>
      </c>
      <c r="H1012" t="inlineStr">
        <is>
          <t>comment</t>
        </is>
      </c>
    </row>
    <row r="1013">
      <c r="A1013" t="inlineStr">
        <is>
          <t>power semiconductor module, rail converter engineering reference</t>
        </is>
      </c>
      <c r="B1013">
        <v>1</v>
      </c>
      <c r="C1013" t="inlineStr">
        <is>
          <t>GLO</t>
        </is>
      </c>
      <c r="D1013" t="inlineStr">
        <is>
          <t>kilogram</t>
        </is>
      </c>
      <c r="F1013" t="inlineStr">
        <is>
          <t>production</t>
        </is>
      </c>
      <c r="G1013" t="inlineStr">
        <is>
          <t>power semiconductor module, rail converter engineering reference</t>
        </is>
      </c>
    </row>
    <row r="1014">
      <c r="A1014" t="inlineStr">
        <is>
          <t>market for copper, cathode</t>
        </is>
      </c>
      <c r="B1014">
        <v>0.5</v>
      </c>
      <c r="C1014" t="inlineStr">
        <is>
          <t>GLO</t>
        </is>
      </c>
      <c r="D1014" t="inlineStr">
        <is>
          <t>kilogram</t>
        </is>
      </c>
      <c r="F1014" t="inlineStr">
        <is>
          <t>technosphere</t>
        </is>
      </c>
      <c r="G1014" t="inlineStr">
        <is>
          <t>copper, cathode</t>
        </is>
      </c>
    </row>
    <row r="1015">
      <c r="A1015" t="inlineStr">
        <is>
          <t>market for aluminium, wrought alloy</t>
        </is>
      </c>
      <c r="B1015">
        <v>0.1</v>
      </c>
      <c r="C1015" t="inlineStr">
        <is>
          <t>GLO</t>
        </is>
      </c>
      <c r="D1015" t="inlineStr">
        <is>
          <t>kilogram</t>
        </is>
      </c>
      <c r="F1015" t="inlineStr">
        <is>
          <t>technosphere</t>
        </is>
      </c>
      <c r="G1015" t="inlineStr">
        <is>
          <t>aluminium, wrought alloy</t>
        </is>
      </c>
    </row>
    <row r="1016">
      <c r="A1016" t="inlineStr">
        <is>
          <t>market for aluminium oxide, non-metallurgical</t>
        </is>
      </c>
      <c r="B1016">
        <v>0.2</v>
      </c>
      <c r="C1016" t="inlineStr">
        <is>
          <t>RoW</t>
        </is>
      </c>
      <c r="D1016" t="inlineStr">
        <is>
          <t>kilogram</t>
        </is>
      </c>
      <c r="F1016" t="inlineStr">
        <is>
          <t>technosphere</t>
        </is>
      </c>
      <c r="G1016" t="inlineStr">
        <is>
          <t>aluminium oxide, non-metallurgical</t>
        </is>
      </c>
    </row>
    <row r="1017">
      <c r="A1017" t="inlineStr">
        <is>
          <t>market for polyphenylene sulfide</t>
        </is>
      </c>
      <c r="B1017">
        <v>0.1</v>
      </c>
      <c r="C1017" t="inlineStr">
        <is>
          <t>GLO</t>
        </is>
      </c>
      <c r="D1017" t="inlineStr">
        <is>
          <t>kilogram</t>
        </is>
      </c>
      <c r="F1017" t="inlineStr">
        <is>
          <t>technosphere</t>
        </is>
      </c>
      <c r="G1017" t="inlineStr">
        <is>
          <t>polyphenylene sulfide</t>
        </is>
      </c>
    </row>
    <row r="1018">
      <c r="A1018" t="inlineStr">
        <is>
          <t>market for silicone product</t>
        </is>
      </c>
      <c r="B1018">
        <v>0.08</v>
      </c>
      <c r="C1018" t="inlineStr">
        <is>
          <t>RER</t>
        </is>
      </c>
      <c r="D1018" t="inlineStr">
        <is>
          <t>kilogram</t>
        </is>
      </c>
      <c r="F1018" t="inlineStr">
        <is>
          <t>technosphere</t>
        </is>
      </c>
      <c r="G1018" t="inlineStr">
        <is>
          <t>silicone product</t>
        </is>
      </c>
    </row>
    <row r="1019">
      <c r="A1019" t="inlineStr">
        <is>
          <t>market for wafer, fabricated, for integrated circuit</t>
        </is>
      </c>
      <c r="B1019">
        <v>0.028612303290414882</v>
      </c>
      <c r="C1019" t="inlineStr">
        <is>
          <t>GLO</t>
        </is>
      </c>
      <c r="D1019" t="inlineStr">
        <is>
          <t>square meter</t>
        </is>
      </c>
      <c r="F1019" t="inlineStr">
        <is>
          <t>technosphere</t>
        </is>
      </c>
      <c r="G1019" t="inlineStr">
        <is>
          <t>wafer, fabricated, for integrated circuit</t>
        </is>
      </c>
    </row>
    <row r="1020">
      <c r="A1020" t="inlineStr">
        <is>
          <t>market group for electricity, medium voltage</t>
        </is>
      </c>
      <c r="B1020">
        <v>1</v>
      </c>
      <c r="C1020" t="inlineStr">
        <is>
          <t>GLO</t>
        </is>
      </c>
      <c r="D1020" t="inlineStr">
        <is>
          <t>kilowatt hour</t>
        </is>
      </c>
      <c r="F1020" t="inlineStr">
        <is>
          <t>technosphere</t>
        </is>
      </c>
      <c r="G1020" t="inlineStr">
        <is>
          <t>electricity, medium voltage</t>
        </is>
      </c>
    </row>
    <row r="1023">
      <c r="A1023" t="inlineStr">
        <is>
          <t>Activity</t>
        </is>
      </c>
      <c r="B1023" t="inlineStr">
        <is>
          <t>traction converter, medium-voltage rail engineering reference</t>
        </is>
      </c>
    </row>
    <row r="1024">
      <c r="A1024" t="inlineStr">
        <is>
          <t>location</t>
        </is>
      </c>
      <c r="B1024" t="inlineStr">
        <is>
          <t>GLO</t>
        </is>
      </c>
    </row>
    <row r="1025">
      <c r="A1025" t="inlineStr">
        <is>
          <t>production amount</t>
        </is>
      </c>
      <c r="B1025">
        <v>1</v>
      </c>
    </row>
    <row r="1026">
      <c r="A1026" t="inlineStr">
        <is>
          <t>reference product</t>
        </is>
      </c>
      <c r="B1026" t="inlineStr">
        <is>
          <t>traction converter, medium-voltage rail engineering reference</t>
        </is>
      </c>
    </row>
    <row r="1027">
      <c r="A1027" t="inlineStr">
        <is>
          <t>unit</t>
        </is>
      </c>
      <c r="B1027" t="inlineStr">
        <is>
          <t>kilogram</t>
        </is>
      </c>
    </row>
    <row r="1028">
      <c r="A1028" t="inlineStr">
        <is>
          <t>source</t>
        </is>
      </c>
      <c r="B1028" t="inlineStr">
        <is>
          <t>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t>
        </is>
      </c>
    </row>
    <row r="1029">
      <c r="A1029" t="inlineStr">
        <is>
          <t>comment</t>
        </is>
      </c>
      <c r="B1029" t="inlineStr">
        <is>
          <t>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t>
        </is>
      </c>
    </row>
    <row r="1030">
      <c r="A1030" t="inlineStr">
        <is>
          <t>Exchanges</t>
        </is>
      </c>
    </row>
    <row r="1031">
      <c r="A1031" t="inlineStr">
        <is>
          <t>name</t>
        </is>
      </c>
      <c r="B1031" t="inlineStr">
        <is>
          <t>amount</t>
        </is>
      </c>
      <c r="C1031" t="inlineStr">
        <is>
          <t>location</t>
        </is>
      </c>
      <c r="D1031" t="inlineStr">
        <is>
          <t>unit</t>
        </is>
      </c>
      <c r="E1031" t="inlineStr">
        <is>
          <t>categories</t>
        </is>
      </c>
      <c r="F1031" t="inlineStr">
        <is>
          <t>type</t>
        </is>
      </c>
      <c r="G1031" t="inlineStr">
        <is>
          <t>reference product</t>
        </is>
      </c>
      <c r="H1031" t="inlineStr">
        <is>
          <t>comment</t>
        </is>
      </c>
    </row>
    <row r="1032">
      <c r="A1032" t="inlineStr">
        <is>
          <t>traction converter, medium-voltage rail engineering reference</t>
        </is>
      </c>
      <c r="B1032">
        <v>1</v>
      </c>
      <c r="C1032" t="inlineStr">
        <is>
          <t>GLO</t>
        </is>
      </c>
      <c r="D1032" t="inlineStr">
        <is>
          <t>kilogram</t>
        </is>
      </c>
      <c r="F1032" t="inlineStr">
        <is>
          <t>production</t>
        </is>
      </c>
      <c r="G1032" t="inlineStr">
        <is>
          <t>traction converter, medium-voltage rail engineering reference</t>
        </is>
      </c>
    </row>
    <row r="1033">
      <c r="A1033" t="inlineStr">
        <is>
          <t>market for steel, low-alloyed</t>
        </is>
      </c>
      <c r="B1033">
        <v>0.5028968713789108</v>
      </c>
      <c r="C1033" t="inlineStr">
        <is>
          <t>GLO</t>
        </is>
      </c>
      <c r="D1033" t="inlineStr">
        <is>
          <t>kilogram</t>
        </is>
      </c>
      <c r="F1033" t="inlineStr">
        <is>
          <t>technosphere</t>
        </is>
      </c>
      <c r="G1033" t="inlineStr">
        <is>
          <t>steel, low-alloyed</t>
        </is>
      </c>
    </row>
    <row r="1034">
      <c r="A1034" t="inlineStr">
        <is>
          <t>market for copper, cathode</t>
        </is>
      </c>
      <c r="B1034">
        <v>0.23638470451911933</v>
      </c>
      <c r="C1034" t="inlineStr">
        <is>
          <t>GLO</t>
        </is>
      </c>
      <c r="D1034" t="inlineStr">
        <is>
          <t>kilogram</t>
        </is>
      </c>
      <c r="F1034" t="inlineStr">
        <is>
          <t>technosphere</t>
        </is>
      </c>
      <c r="G1034" t="inlineStr">
        <is>
          <t>copper, cathode</t>
        </is>
      </c>
    </row>
    <row r="1035">
      <c r="A1035" t="inlineStr">
        <is>
          <t>market for aluminium, wrought alloy</t>
        </is>
      </c>
      <c r="B1035">
        <v>0.026071842410196985</v>
      </c>
      <c r="C1035" t="inlineStr">
        <is>
          <t>GLO</t>
        </is>
      </c>
      <c r="D1035" t="inlineStr">
        <is>
          <t>kilogram</t>
        </is>
      </c>
      <c r="F1035" t="inlineStr">
        <is>
          <t>technosphere</t>
        </is>
      </c>
      <c r="G1035" t="inlineStr">
        <is>
          <t>aluminium, wrought alloy</t>
        </is>
      </c>
    </row>
    <row r="1036">
      <c r="A1036" t="inlineStr">
        <is>
          <t>market for glass fibre reinforced plastic, polyester resin, hand lay-up</t>
        </is>
      </c>
      <c r="B1036">
        <v>0.01969872537659328</v>
      </c>
      <c r="C1036" t="inlineStr">
        <is>
          <t>GLO</t>
        </is>
      </c>
      <c r="D1036" t="inlineStr">
        <is>
          <t>kilogram</t>
        </is>
      </c>
      <c r="F1036" t="inlineStr">
        <is>
          <t>technosphere</t>
        </is>
      </c>
      <c r="G1036" t="inlineStr">
        <is>
          <t>glass fibre reinforced plastic, polyester resin, hand lay-up</t>
        </is>
      </c>
    </row>
    <row r="1037">
      <c r="A1037" t="inlineStr">
        <is>
          <t>market for polyethylene, high density, granulate</t>
        </is>
      </c>
      <c r="B1037">
        <v>0.004634994206257242</v>
      </c>
      <c r="C1037" t="inlineStr">
        <is>
          <t>GLO</t>
        </is>
      </c>
      <c r="D1037" t="inlineStr">
        <is>
          <t>kilogram</t>
        </is>
      </c>
      <c r="F1037" t="inlineStr">
        <is>
          <t>technosphere</t>
        </is>
      </c>
      <c r="G1037" t="inlineStr">
        <is>
          <t>polyethylene, high density, granulate</t>
        </is>
      </c>
    </row>
    <row r="1038">
      <c r="A1038" t="inlineStr">
        <is>
          <t>market for capacitor, film type, for through-hole mounting</t>
        </is>
      </c>
      <c r="B1038">
        <v>0.10463499420625723</v>
      </c>
      <c r="C1038" t="inlineStr">
        <is>
          <t>GLO</t>
        </is>
      </c>
      <c r="D1038" t="inlineStr">
        <is>
          <t>kilogram</t>
        </is>
      </c>
      <c r="F1038" t="inlineStr">
        <is>
          <t>technosphere</t>
        </is>
      </c>
      <c r="G1038" t="inlineStr">
        <is>
          <t>capacitor, film type, for through-hole mounting</t>
        </is>
      </c>
    </row>
    <row r="1039">
      <c r="A1039" t="inlineStr">
        <is>
          <t>power semiconductor module, rail converter engineering reference</t>
        </is>
      </c>
      <c r="B1039">
        <v>0.037369640787949014</v>
      </c>
      <c r="C1039" t="inlineStr">
        <is>
          <t>GLO</t>
        </is>
      </c>
      <c r="D1039" t="inlineStr">
        <is>
          <t>kilogram</t>
        </is>
      </c>
      <c r="F1039" t="inlineStr">
        <is>
          <t>technosphere</t>
        </is>
      </c>
      <c r="G1039" t="inlineStr">
        <is>
          <t>power semiconductor module, rail converter engineering reference</t>
        </is>
      </c>
    </row>
    <row r="1040">
      <c r="A1040" t="inlineStr">
        <is>
          <t>market for printed wiring board, through-hole mounted, unspecified, Pb free</t>
        </is>
      </c>
      <c r="B1040">
        <v>0.0074739281575898035</v>
      </c>
      <c r="C1040" t="inlineStr">
        <is>
          <t>GLO</t>
        </is>
      </c>
      <c r="D1040" t="inlineStr">
        <is>
          <t>kilogram</t>
        </is>
      </c>
      <c r="F1040" t="inlineStr">
        <is>
          <t>technosphere</t>
        </is>
      </c>
      <c r="G1040" t="inlineStr">
        <is>
          <t>printed wiring board, through-hole mounted, unspecified, Pb free</t>
        </is>
      </c>
    </row>
    <row r="1041">
      <c r="A1041" t="inlineStr">
        <is>
          <t>market for sawnwood, board, softwood, raw, dried (u=10%)</t>
        </is>
      </c>
      <c r="B1041">
        <v>0.0003174971031286211</v>
      </c>
      <c r="C1041" t="inlineStr">
        <is>
          <t>Europe without Switzerland</t>
        </is>
      </c>
      <c r="D1041" t="inlineStr">
        <is>
          <t>cubic meter</t>
        </is>
      </c>
      <c r="F1041" t="inlineStr">
        <is>
          <t>technosphere</t>
        </is>
      </c>
      <c r="G1041" t="inlineStr">
        <is>
          <t>sawnwood, board, softwood, raw, dried (u=10%)</t>
        </is>
      </c>
    </row>
    <row r="1042">
      <c r="A1042" t="inlineStr">
        <is>
          <t>market group for electricity, medium voltage</t>
        </is>
      </c>
      <c r="B1042">
        <v>1</v>
      </c>
      <c r="C1042" t="inlineStr">
        <is>
          <t>GLO</t>
        </is>
      </c>
      <c r="D1042" t="inlineStr">
        <is>
          <t>kilowatt hour</t>
        </is>
      </c>
      <c r="F1042" t="inlineStr">
        <is>
          <t>technosphere</t>
        </is>
      </c>
      <c r="G1042" t="inlineStr">
        <is>
          <t>electricity, medium voltage</t>
        </is>
      </c>
    </row>
    <row r="1043">
      <c r="A1043" t="inlineStr">
        <is>
          <t>metal working, average for steel product manufacturing</t>
        </is>
      </c>
      <c r="B1043">
        <v>0.5028968713789108</v>
      </c>
      <c r="C1043" t="inlineStr">
        <is>
          <t>RER</t>
        </is>
      </c>
      <c r="D1043" t="inlineStr">
        <is>
          <t>kilogram</t>
        </is>
      </c>
      <c r="F1043" t="inlineStr">
        <is>
          <t>technosphere</t>
        </is>
      </c>
      <c r="G1043" t="inlineStr">
        <is>
          <t>metal working, average for steel product manufacturing</t>
        </is>
      </c>
    </row>
    <row r="1044">
      <c r="A1044" t="inlineStr">
        <is>
          <t>metal working, average for copper product manufacturing</t>
        </is>
      </c>
      <c r="B1044">
        <v>0.23638470451911933</v>
      </c>
      <c r="C1044" t="inlineStr">
        <is>
          <t>RER</t>
        </is>
      </c>
      <c r="D1044" t="inlineStr">
        <is>
          <t>kilogram</t>
        </is>
      </c>
      <c r="F1044" t="inlineStr">
        <is>
          <t>technosphere</t>
        </is>
      </c>
      <c r="G1044" t="inlineStr">
        <is>
          <t>metal working, average for copper product manufacturing</t>
        </is>
      </c>
    </row>
    <row r="1045">
      <c r="A1045" t="inlineStr">
        <is>
          <t>metal working, average for aluminium product manufacturing</t>
        </is>
      </c>
      <c r="B1045">
        <v>0.026071842410196985</v>
      </c>
      <c r="C1045" t="inlineStr">
        <is>
          <t>RER</t>
        </is>
      </c>
      <c r="D1045" t="inlineStr">
        <is>
          <t>kilogram</t>
        </is>
      </c>
      <c r="F1045" t="inlineStr">
        <is>
          <t>technosphere</t>
        </is>
      </c>
      <c r="G1045" t="inlineStr">
        <is>
          <t>metal working, average for aluminium product manufacturing</t>
        </is>
      </c>
    </row>
    <row r="1048">
      <c r="A1048" t="inlineStr">
        <is>
          <t>Activity</t>
        </is>
      </c>
      <c r="B1048" t="inlineStr">
        <is>
          <t>hydrogen fuel tank, rail700bar TypeIII cylinder, engineering reference</t>
        </is>
      </c>
    </row>
    <row r="1049">
      <c r="A1049" t="inlineStr">
        <is>
          <t>location</t>
        </is>
      </c>
      <c r="B1049" t="inlineStr">
        <is>
          <t>GLO</t>
        </is>
      </c>
    </row>
    <row r="1050">
      <c r="A1050" t="inlineStr">
        <is>
          <t>production amount</t>
        </is>
      </c>
      <c r="B1050">
        <v>1</v>
      </c>
    </row>
    <row r="1051">
      <c r="A1051" t="inlineStr">
        <is>
          <t>reference product</t>
        </is>
      </c>
      <c r="B1051" t="inlineStr">
        <is>
          <t>hydrogen fuel tank, rail700bar TypeIII cylinder, engineering reference</t>
        </is>
      </c>
    </row>
    <row r="1052">
      <c r="A1052" t="inlineStr">
        <is>
          <t>unit</t>
        </is>
      </c>
      <c r="B1052" t="inlineStr">
        <is>
          <t>unit</t>
        </is>
      </c>
    </row>
    <row r="1053">
      <c r="A1053" t="inlineStr">
        <is>
          <t>source</t>
        </is>
      </c>
      <c r="B1053" t="inlineStr">
        <is>
          <t>FCH2RAIL D1.5 railstorage investigation,DLR2021,AnnexBTable20, https://elib.dlr.de/145010/1/FCH2RAIL_D1.5.pdf :TypeIII70MPaTPED surveyreference8.3kgH2,2048x455mm,333Loutervolume,179kgINCLUDINGgas =&gt;170.7kgdry. Supplier surveyreference is not a certifiedcompleteheavyhaullocomotive design.</t>
        </is>
      </c>
    </row>
    <row r="1054">
      <c r="A1054" t="inlineStr">
        <is>
          <t>comment</t>
        </is>
      </c>
      <c r="B1054" t="inlineStr">
        <is>
          <t>APPROVED RAIL-SPECIFIC700BAR STORAGE/LIFE REFERENCE, issue69,2026-10-18. FCH2RAIL D1.5 railstorage investigation,DLR2021,AnnexBTable20, https://elib.dlr.de/145010/1/FCH2RAIL_D1.5.pdf :TypeIII70MPaTPED surveyreference8.3kgH2,2048x455mm,333Loutervolume,179kgINCLUDINGgas =&gt;170.7kgdry. Supplier surveyreference is not a certifiedcompleteheavyhaullocomotive design. Preserve current700barworkingpressure and40yearrailmanufacturinghorizon; do not forcepassenger350barorroadbus/truckvessels intoheavyhaul. Existing30323.845714kg cumulativecar-TypeIIIproxy was4sets over40years,with93kgdry/5.6kgH2. Its impliedinstalledgas=oldmass/4*5.6/93=456.488kg. Retain thisimpliedenergy budget as explicitengineeringreference because no route-specificrefuellingrange is documented; not infergasinventory fromlifetimefuelthroughput. Select55surveycylinders*8.3=456.5kgH2capacity,roundingup only0.012kg. Sourcepreserved860kW/.06185kgH2perkWhe implies8.582hfullpower before reserve; actualroute/peakduty,reserveandrefilling range remainunvalidated. Keep10yearvessellife/foursets as existing conservativeassumption,NOT manufacturerlifecertificate;test10-20years ratherthan invent a lifetime saving. Cylinder dry170.7 excludes8.3kgfuel. MaterialBOMunpublished:6mmAl linerat2700kg/m3 overcapsulearea2*pi*outerradius*length,2kgstainlessbosses,2kgPAprotection,remainingCF/epoxy at60/40vol%(1800/1200kg/m3),69.2308wt%fiber. Outerdiametergeometry,linerthickness,actualalloy/fiber andpressurequalification areengineeringassumptions,not a certifiedpressurevessel design.95%materialretention withmatchingprocesswaste and1kWh/kgforming/curing reference; wovenfiber is filamentwindingmanufacturingproxy. Installedvesseldrymass9388.5kg. Dedicatedsharedrack500kg(one40yearset,80%ordinary steel/20%Al) and100kgvalve/manifold/controls(two20yearsets:50stainless,5Cu,5brass,10PA,29.5Al,0.5auxinterfaceboard) are explicitmountingassumptions; no wholelocomotive,tenderchassis ortrack added. Lifetimevesselmanufacture220units,one rack,twoBoPsets are inside oneunit oflifetimeenergy-equipmentreference. Qtyone atlocomotiveproduction,not count220again in perMJadapter. Nominalinstalledstorageenvelope55*.333=18.315m3beforemounting; availablelocomotive/tenderpackaging is unresolved and not asserted tofit. Preserveexistingroad/railoperatingfuel andcompression path;700barpressureunchanged,no unsubstantiatedcompressionenergy saving. Originalrangeandbodyenergy notresimulated. EOL remainswholevehicleboundary,pressurespecificcylinderrecovery gap,no credits. Refreshstoredhydrogenpassengerrailcoefficients andindependentlynormalizefreightrailservices.</t>
        </is>
      </c>
    </row>
    <row r="1055">
      <c r="A1055" t="inlineStr">
        <is>
          <t>Exchanges</t>
        </is>
      </c>
    </row>
    <row r="1056">
      <c r="A1056" t="inlineStr">
        <is>
          <t>name</t>
        </is>
      </c>
      <c r="B1056" t="inlineStr">
        <is>
          <t>amount</t>
        </is>
      </c>
      <c r="C1056" t="inlineStr">
        <is>
          <t>location</t>
        </is>
      </c>
      <c r="D1056" t="inlineStr">
        <is>
          <t>unit</t>
        </is>
      </c>
      <c r="E1056" t="inlineStr">
        <is>
          <t>categories</t>
        </is>
      </c>
      <c r="F1056" t="inlineStr">
        <is>
          <t>type</t>
        </is>
      </c>
      <c r="G1056" t="inlineStr">
        <is>
          <t>reference product</t>
        </is>
      </c>
      <c r="H1056" t="inlineStr">
        <is>
          <t>comment</t>
        </is>
      </c>
      <c r="I1056" t="inlineStr">
        <is>
          <t>product</t>
        </is>
      </c>
    </row>
    <row r="1057">
      <c r="A1057" t="inlineStr">
        <is>
          <t>hydrogen fuel tank, rail700bar TypeIII cylinder, engineering reference</t>
        </is>
      </c>
      <c r="B1057">
        <v>1</v>
      </c>
      <c r="C1057" t="inlineStr">
        <is>
          <t>GLO</t>
        </is>
      </c>
      <c r="D1057" t="inlineStr">
        <is>
          <t>unit</t>
        </is>
      </c>
      <c r="F1057" t="inlineStr">
        <is>
          <t>production</t>
        </is>
      </c>
      <c r="G1057" t="inlineStr">
        <is>
          <t>hydrogen fuel tank, rail700bar TypeIII cylinder, engineering reference</t>
        </is>
      </c>
      <c r="I1057" t="inlineStr">
        <is>
          <t>hydrogen fuel tank, rail700bar TypeIII cylinder, engineering reference</t>
        </is>
      </c>
    </row>
    <row r="1058">
      <c r="A1058" t="inlineStr">
        <is>
          <t>market for aluminium, wrought alloy</t>
        </is>
      </c>
      <c r="B1058">
        <v>49.92092580294951</v>
      </c>
      <c r="C1058" t="inlineStr">
        <is>
          <t>GLO</t>
        </is>
      </c>
      <c r="D1058" t="inlineStr">
        <is>
          <t>kilogram</t>
        </is>
      </c>
      <c r="F1058" t="inlineStr">
        <is>
          <t>technosphere</t>
        </is>
      </c>
      <c r="G1058" t="inlineStr">
        <is>
          <t>aluminium, wrought alloy</t>
        </is>
      </c>
      <c r="I1058" t="inlineStr">
        <is>
          <t>aluminium, wrought alloy</t>
        </is>
      </c>
    </row>
    <row r="1059">
      <c r="A1059" t="inlineStr">
        <is>
          <t>carbon fiber production, weaved, at factory</t>
        </is>
      </c>
      <c r="B1059">
        <v>86.92114043601472</v>
      </c>
      <c r="C1059" t="inlineStr">
        <is>
          <t>RER</t>
        </is>
      </c>
      <c r="D1059" t="inlineStr">
        <is>
          <t>kilogram</t>
        </is>
      </c>
      <c r="F1059" t="inlineStr">
        <is>
          <t>technosphere</t>
        </is>
      </c>
      <c r="G1059" t="inlineStr">
        <is>
          <t>carbon fiber, weaved</t>
        </is>
      </c>
      <c r="I1059" t="inlineStr">
        <is>
          <t>carbon fiber, weaved</t>
        </is>
      </c>
    </row>
    <row r="1060">
      <c r="A1060" t="inlineStr">
        <is>
          <t>market for epoxy resin, liquid</t>
        </is>
      </c>
      <c r="B1060">
        <v>38.63161797156208</v>
      </c>
      <c r="C1060" t="inlineStr">
        <is>
          <t>RER</t>
        </is>
      </c>
      <c r="D1060" t="inlineStr">
        <is>
          <t>kilogram</t>
        </is>
      </c>
      <c r="F1060" t="inlineStr">
        <is>
          <t>technosphere</t>
        </is>
      </c>
      <c r="G1060" t="inlineStr">
        <is>
          <t>epoxy resin, liquid</t>
        </is>
      </c>
      <c r="I1060" t="inlineStr">
        <is>
          <t>epoxy resin, liquid</t>
        </is>
      </c>
    </row>
    <row r="1061">
      <c r="A1061" t="inlineStr">
        <is>
          <t>market for steel, chromium steel 18/8</t>
        </is>
      </c>
      <c r="B1061">
        <v>2.1052631578947367</v>
      </c>
      <c r="C1061" t="inlineStr">
        <is>
          <t>GLO</t>
        </is>
      </c>
      <c r="D1061" t="inlineStr">
        <is>
          <t>kilogram</t>
        </is>
      </c>
      <c r="F1061" t="inlineStr">
        <is>
          <t>technosphere</t>
        </is>
      </c>
      <c r="G1061" t="inlineStr">
        <is>
          <t>steel, chromium steel 18/8</t>
        </is>
      </c>
      <c r="I1061" t="inlineStr">
        <is>
          <t>steel, chromium steel 18/8</t>
        </is>
      </c>
    </row>
    <row r="1062">
      <c r="A1062" t="inlineStr">
        <is>
          <t>market for nylon 6</t>
        </is>
      </c>
      <c r="B1062">
        <v>2.1052631578947367</v>
      </c>
      <c r="C1062" t="inlineStr">
        <is>
          <t>RER</t>
        </is>
      </c>
      <c r="D1062" t="inlineStr">
        <is>
          <t>kilogram</t>
        </is>
      </c>
      <c r="F1062" t="inlineStr">
        <is>
          <t>technosphere</t>
        </is>
      </c>
      <c r="G1062" t="inlineStr">
        <is>
          <t>nylon 6</t>
        </is>
      </c>
      <c r="I1062" t="inlineStr">
        <is>
          <t>nylon 6</t>
        </is>
      </c>
    </row>
    <row r="1063">
      <c r="A1063" t="inlineStr">
        <is>
          <t>market for hazardous waste, for incineration</t>
        </is>
      </c>
      <c r="B1063">
        <v>-8.98421052631578</v>
      </c>
      <c r="C1063" t="inlineStr">
        <is>
          <t>RoW</t>
        </is>
      </c>
      <c r="D1063" t="inlineStr">
        <is>
          <t>kilogram</t>
        </is>
      </c>
      <c r="F1063" t="inlineStr">
        <is>
          <t>technosphere</t>
        </is>
      </c>
      <c r="G1063" t="inlineStr">
        <is>
          <t>hazardous waste, for incineration</t>
        </is>
      </c>
      <c r="I1063" t="inlineStr">
        <is>
          <t>hazardous waste, for incineration</t>
        </is>
      </c>
    </row>
    <row r="1064">
      <c r="A1064" t="inlineStr">
        <is>
          <t>market group for electricity, medium voltage</t>
        </is>
      </c>
      <c r="B1064">
        <v>170.7</v>
      </c>
      <c r="C1064" t="inlineStr">
        <is>
          <t>GLO</t>
        </is>
      </c>
      <c r="D1064" t="inlineStr">
        <is>
          <t>kilowatt hour</t>
        </is>
      </c>
      <c r="F1064" t="inlineStr">
        <is>
          <t>technosphere</t>
        </is>
      </c>
      <c r="G1064" t="inlineStr">
        <is>
          <t>electricity, medium voltage</t>
        </is>
      </c>
      <c r="I1064" t="inlineStr">
        <is>
          <t>electricity, medium voltage</t>
        </is>
      </c>
    </row>
    <row r="1067">
      <c r="A1067" t="inlineStr">
        <is>
          <t>Activity</t>
        </is>
      </c>
      <c r="B1067" t="inlineStr">
        <is>
          <t>hydrogen fuel tank, rail mounting rack, engineering reference</t>
        </is>
      </c>
    </row>
    <row r="1068">
      <c r="A1068" t="inlineStr">
        <is>
          <t>location</t>
        </is>
      </c>
      <c r="B1068" t="inlineStr">
        <is>
          <t>GLO</t>
        </is>
      </c>
    </row>
    <row r="1069">
      <c r="A1069" t="inlineStr">
        <is>
          <t>production amount</t>
        </is>
      </c>
      <c r="B1069">
        <v>1</v>
      </c>
    </row>
    <row r="1070">
      <c r="A1070" t="inlineStr">
        <is>
          <t>reference product</t>
        </is>
      </c>
      <c r="B1070" t="inlineStr">
        <is>
          <t>hydrogen fuel tank, rail mounting rack, engineering reference</t>
        </is>
      </c>
    </row>
    <row r="1071">
      <c r="A1071" t="inlineStr">
        <is>
          <t>unit</t>
        </is>
      </c>
      <c r="B1071" t="inlineStr">
        <is>
          <t>unit</t>
        </is>
      </c>
    </row>
    <row r="1072">
      <c r="A1072" t="inlineStr">
        <is>
          <t>source</t>
        </is>
      </c>
      <c r="B1072" t="inlineStr">
        <is>
          <t>FCH2RAIL D1.5 railstorage investigation,DLR2021,AnnexBTable20, https://elib.dlr.de/145010/1/FCH2RAIL_D1.5.pdf :TypeIII70MPaTPED surveyreference8.3kgH2,2048x455mm,333Loutervolume,179kgINCLUDINGgas =&gt;170.7kgdry. Supplier surveyreference is not a certifiedcompleteheavyhaullocomotive design.</t>
        </is>
      </c>
    </row>
    <row r="1073">
      <c r="A1073" t="inlineStr">
        <is>
          <t>comment</t>
        </is>
      </c>
      <c r="B1073" t="inlineStr">
        <is>
          <t>APPROVED RAIL-SPECIFIC700BAR STORAGE/LIFE REFERENCE, issue69,2026-10-18. FCH2RAIL D1.5 railstorage investigation,DLR2021,AnnexBTable20, https://elib.dlr.de/145010/1/FCH2RAIL_D1.5.pdf :TypeIII70MPaTPED surveyreference8.3kgH2,2048x455mm,333Loutervolume,179kgINCLUDINGgas =&gt;170.7kgdry. Supplier surveyreference is not a certifiedcompleteheavyhaullocomotive design. Preserve current700barworkingpressure and40yearrailmanufacturinghorizon; do not forcepassenger350barorroadbus/truckvessels intoheavyhaul. Existing30323.845714kg cumulativecar-TypeIIIproxy was4sets over40years,with93kgdry/5.6kgH2. Its impliedinstalledgas=oldmass/4*5.6/93=456.488kg. Retain thisimpliedenergy budget as explicitengineeringreference because no route-specificrefuellingrange is documented; not infergasinventory fromlifetimefuelthroughput. Select55surveycylinders*8.3=456.5kgH2capacity,roundingup only0.012kg. Sourcepreserved860kW/.06185kgH2perkWhe implies8.582hfullpower before reserve; actualroute/peakduty,reserveandrefilling range remainunvalidated. Keep10yearvessellife/foursets as existing conservativeassumption,NOT manufacturerlifecertificate;test10-20years ratherthan invent a lifetime saving. Cylinder dry170.7 excludes8.3kgfuel. MaterialBOMunpublished:6mmAl linerat2700kg/m3 overcapsulearea2*pi*outerradius*length,2kgstainlessbosses,2kgPAprotection,remainingCF/epoxy at60/40vol%(1800/1200kg/m3),69.2308wt%fiber. Outerdiametergeometry,linerthickness,actualalloy/fiber andpressurequalification areengineeringassumptions,not a certifiedpressurevessel design.95%materialretention withmatchingprocesswaste and1kWh/kgforming/curing reference; wovenfiber is filamentwindingmanufacturingproxy. Installedvesseldrymass9388.5kg. Dedicatedsharedrack500kg(one40yearset,80%ordinary steel/20%Al) and100kgvalve/manifold/controls(two20yearsets:50stainless,5Cu,5brass,10PA,29.5Al,0.5auxinterfaceboard) are explicitmountingassumptions; no wholelocomotive,tenderchassis ortrack added. Lifetimevesselmanufacture220units,one rack,twoBoPsets are inside oneunit oflifetimeenergy-equipmentreference. Qtyone atlocomotiveproduction,not count220again in perMJadapter. Nominalinstalledstorageenvelope55*.333=18.315m3beforemounting; availablelocomotive/tenderpackaging is unresolved and not asserted tofit. Preserveexistingroad/railoperatingfuel andcompression path;700barpressureunchanged,no unsubstantiatedcompressionenergy saving. Originalrangeandbodyenergy notresimulated. EOL remainswholevehicleboundary,pressurespecificcylinderrecovery gap,no credits. Refreshstoredhydrogenpassengerrailcoefficients andindependentlynormalizefreightrailservices.</t>
        </is>
      </c>
    </row>
    <row r="1074">
      <c r="A1074" t="inlineStr">
        <is>
          <t>Exchanges</t>
        </is>
      </c>
    </row>
    <row r="1075">
      <c r="A1075" t="inlineStr">
        <is>
          <t>name</t>
        </is>
      </c>
      <c r="B1075" t="inlineStr">
        <is>
          <t>amount</t>
        </is>
      </c>
      <c r="C1075" t="inlineStr">
        <is>
          <t>location</t>
        </is>
      </c>
      <c r="D1075" t="inlineStr">
        <is>
          <t>unit</t>
        </is>
      </c>
      <c r="E1075" t="inlineStr">
        <is>
          <t>categories</t>
        </is>
      </c>
      <c r="F1075" t="inlineStr">
        <is>
          <t>type</t>
        </is>
      </c>
      <c r="G1075" t="inlineStr">
        <is>
          <t>reference product</t>
        </is>
      </c>
      <c r="H1075" t="inlineStr">
        <is>
          <t>comment</t>
        </is>
      </c>
      <c r="I1075" t="inlineStr">
        <is>
          <t>product</t>
        </is>
      </c>
    </row>
    <row r="1076">
      <c r="A1076" t="inlineStr">
        <is>
          <t>hydrogen fuel tank, rail mounting rack, engineering reference</t>
        </is>
      </c>
      <c r="B1076">
        <v>1</v>
      </c>
      <c r="C1076" t="inlineStr">
        <is>
          <t>GLO</t>
        </is>
      </c>
      <c r="D1076" t="inlineStr">
        <is>
          <t>unit</t>
        </is>
      </c>
      <c r="F1076" t="inlineStr">
        <is>
          <t>production</t>
        </is>
      </c>
      <c r="G1076" t="inlineStr">
        <is>
          <t>hydrogen fuel tank, rail mounting rack, engineering reference</t>
        </is>
      </c>
      <c r="I1076" t="inlineStr">
        <is>
          <t>hydrogen fuel tank, rail mounting rack, engineering reference</t>
        </is>
      </c>
    </row>
    <row r="1077">
      <c r="A1077" t="inlineStr">
        <is>
          <t>market for steel, low-alloyed</t>
        </is>
      </c>
      <c r="B1077">
        <v>400</v>
      </c>
      <c r="C1077" t="inlineStr">
        <is>
          <t>GLO</t>
        </is>
      </c>
      <c r="D1077" t="inlineStr">
        <is>
          <t>kilogram</t>
        </is>
      </c>
      <c r="F1077" t="inlineStr">
        <is>
          <t>technosphere</t>
        </is>
      </c>
      <c r="G1077" t="inlineStr">
        <is>
          <t>steel, low-alloyed</t>
        </is>
      </c>
      <c r="I1077" t="inlineStr">
        <is>
          <t>steel, low-alloyed</t>
        </is>
      </c>
    </row>
    <row r="1078">
      <c r="A1078" t="inlineStr">
        <is>
          <t>market for aluminium, wrought alloy</t>
        </is>
      </c>
      <c r="B1078">
        <v>100</v>
      </c>
      <c r="C1078" t="inlineStr">
        <is>
          <t>GLO</t>
        </is>
      </c>
      <c r="D1078" t="inlineStr">
        <is>
          <t>kilogram</t>
        </is>
      </c>
      <c r="F1078" t="inlineStr">
        <is>
          <t>technosphere</t>
        </is>
      </c>
      <c r="G1078" t="inlineStr">
        <is>
          <t>aluminium, wrought alloy</t>
        </is>
      </c>
      <c r="I1078" t="inlineStr">
        <is>
          <t>aluminium, wrought alloy</t>
        </is>
      </c>
    </row>
    <row r="1081">
      <c r="A1081" t="inlineStr">
        <is>
          <t>Activity</t>
        </is>
      </c>
      <c r="B1081" t="inlineStr">
        <is>
          <t>hydrogen fuel tank, rail shared valves and controls, engineering reference</t>
        </is>
      </c>
    </row>
    <row r="1082">
      <c r="A1082" t="inlineStr">
        <is>
          <t>location</t>
        </is>
      </c>
      <c r="B1082" t="inlineStr">
        <is>
          <t>GLO</t>
        </is>
      </c>
    </row>
    <row r="1083">
      <c r="A1083" t="inlineStr">
        <is>
          <t>production amount</t>
        </is>
      </c>
      <c r="B1083">
        <v>1</v>
      </c>
    </row>
    <row r="1084">
      <c r="A1084" t="inlineStr">
        <is>
          <t>reference product</t>
        </is>
      </c>
      <c r="B1084" t="inlineStr">
        <is>
          <t>hydrogen fuel tank, rail shared valves and controls, engineering reference</t>
        </is>
      </c>
    </row>
    <row r="1085">
      <c r="A1085" t="inlineStr">
        <is>
          <t>unit</t>
        </is>
      </c>
      <c r="B1085" t="inlineStr">
        <is>
          <t>unit</t>
        </is>
      </c>
    </row>
    <row r="1086">
      <c r="A1086" t="inlineStr">
        <is>
          <t>source</t>
        </is>
      </c>
      <c r="B1086" t="inlineStr">
        <is>
          <t>FCH2RAIL D1.5 railstorage investigation,DLR2021,AnnexBTable20, https://elib.dlr.de/145010/1/FCH2RAIL_D1.5.pdf :TypeIII70MPaTPED surveyreference8.3kgH2,2048x455mm,333Loutervolume,179kgINCLUDINGgas =&gt;170.7kgdry. Supplier surveyreference is not a certifiedcompleteheavyhaullocomotive design.</t>
        </is>
      </c>
    </row>
    <row r="1087">
      <c r="A1087" t="inlineStr">
        <is>
          <t>comment</t>
        </is>
      </c>
      <c r="B1087" t="inlineStr">
        <is>
          <t>APPROVED RAIL-SPECIFIC700BAR STORAGE/LIFE REFERENCE, issue69,2026-10-18. FCH2RAIL D1.5 railstorage investigation,DLR2021,AnnexBTable20, https://elib.dlr.de/145010/1/FCH2RAIL_D1.5.pdf :TypeIII70MPaTPED surveyreference8.3kgH2,2048x455mm,333Loutervolume,179kgINCLUDINGgas =&gt;170.7kgdry. Supplier surveyreference is not a certifiedcompleteheavyhaullocomotive design. Preserve current700barworkingpressure and40yearrailmanufacturinghorizon; do not forcepassenger350barorroadbus/truckvessels intoheavyhaul. Existing30323.845714kg cumulativecar-TypeIIIproxy was4sets over40years,with93kgdry/5.6kgH2. Its impliedinstalledgas=oldmass/4*5.6/93=456.488kg. Retain thisimpliedenergy budget as explicitengineeringreference because no route-specificrefuellingrange is documented; not infergasinventory fromlifetimefuelthroughput. Select55surveycylinders*8.3=456.5kgH2capacity,roundingup only0.012kg. Sourcepreserved860kW/.06185kgH2perkWhe implies8.582hfullpower before reserve; actualroute/peakduty,reserveandrefilling range remainunvalidated. Keep10yearvessellife/foursets as existing conservativeassumption,NOT manufacturerlifecertificate;test10-20years ratherthan invent a lifetime saving. Cylinder dry170.7 excludes8.3kgfuel. MaterialBOMunpublished:6mmAl linerat2700kg/m3 overcapsulearea2*pi*outerradius*length,2kgstainlessbosses,2kgPAprotection,remainingCF/epoxy at60/40vol%(1800/1200kg/m3),69.2308wt%fiber. Outerdiametergeometry,linerthickness,actualalloy/fiber andpressurequalification areengineeringassumptions,not a certifiedpressurevessel design.95%materialretention withmatchingprocesswaste and1kWh/kgforming/curing reference; wovenfiber is filamentwindingmanufacturingproxy. Installedvesseldrymass9388.5kg. Dedicatedsharedrack500kg(one40yearset,80%ordinary steel/20%Al) and100kgvalve/manifold/controls(two20yearsets:50stainless,5Cu,5brass,10PA,29.5Al,0.5auxinterfaceboard) are explicitmountingassumptions; no wholelocomotive,tenderchassis ortrack added. Lifetimevesselmanufacture220units,one rack,twoBoPsets are inside oneunit oflifetimeenergy-equipmentreference. Qtyone atlocomotiveproduction,not count220again in perMJadapter. Nominalinstalledstorageenvelope55*.333=18.315m3beforemounting; availablelocomotive/tenderpackaging is unresolved and not asserted tofit. Preserveexistingroad/railoperatingfuel andcompression path;700barpressureunchanged,no unsubstantiatedcompressionenergy saving. Originalrangeandbodyenergy notresimulated. EOL remainswholevehicleboundary,pressurespecificcylinderrecovery gap,no credits. Refreshstoredhydrogenpassengerrailcoefficients andindependentlynormalizefreightrailservices.</t>
        </is>
      </c>
    </row>
    <row r="1088">
      <c r="A1088" t="inlineStr">
        <is>
          <t>Exchanges</t>
        </is>
      </c>
    </row>
    <row r="1089">
      <c r="A1089" t="inlineStr">
        <is>
          <t>name</t>
        </is>
      </c>
      <c r="B1089" t="inlineStr">
        <is>
          <t>amount</t>
        </is>
      </c>
      <c r="C1089" t="inlineStr">
        <is>
          <t>location</t>
        </is>
      </c>
      <c r="D1089" t="inlineStr">
        <is>
          <t>unit</t>
        </is>
      </c>
      <c r="E1089" t="inlineStr">
        <is>
          <t>categories</t>
        </is>
      </c>
      <c r="F1089" t="inlineStr">
        <is>
          <t>type</t>
        </is>
      </c>
      <c r="G1089" t="inlineStr">
        <is>
          <t>reference product</t>
        </is>
      </c>
      <c r="H1089" t="inlineStr">
        <is>
          <t>comment</t>
        </is>
      </c>
      <c r="I1089" t="inlineStr">
        <is>
          <t>product</t>
        </is>
      </c>
    </row>
    <row r="1090">
      <c r="A1090" t="inlineStr">
        <is>
          <t>hydrogen fuel tank, rail shared valves and controls, engineering reference</t>
        </is>
      </c>
      <c r="B1090">
        <v>1</v>
      </c>
      <c r="C1090" t="inlineStr">
        <is>
          <t>GLO</t>
        </is>
      </c>
      <c r="D1090" t="inlineStr">
        <is>
          <t>unit</t>
        </is>
      </c>
      <c r="F1090" t="inlineStr">
        <is>
          <t>production</t>
        </is>
      </c>
      <c r="G1090" t="inlineStr">
        <is>
          <t>hydrogen fuel tank, rail shared valves and controls, engineering reference</t>
        </is>
      </c>
      <c r="I1090" t="inlineStr">
        <is>
          <t>hydrogen fuel tank, rail shared valves and controls, engineering reference</t>
        </is>
      </c>
    </row>
    <row r="1091">
      <c r="A1091" t="inlineStr">
        <is>
          <t>market for steel, chromium steel 18/8</t>
        </is>
      </c>
      <c r="B1091">
        <v>50</v>
      </c>
      <c r="C1091" t="inlineStr">
        <is>
          <t>GLO</t>
        </is>
      </c>
      <c r="D1091" t="inlineStr">
        <is>
          <t>kilogram</t>
        </is>
      </c>
      <c r="F1091" t="inlineStr">
        <is>
          <t>technosphere</t>
        </is>
      </c>
      <c r="G1091" t="inlineStr">
        <is>
          <t>steel, chromium steel 18/8</t>
        </is>
      </c>
      <c r="I1091" t="inlineStr">
        <is>
          <t>steel, chromium steel 18/8</t>
        </is>
      </c>
    </row>
    <row r="1092">
      <c r="A1092" t="inlineStr">
        <is>
          <t>market for copper, cathode</t>
        </is>
      </c>
      <c r="B1092">
        <v>5</v>
      </c>
      <c r="C1092" t="inlineStr">
        <is>
          <t>GLO</t>
        </is>
      </c>
      <c r="D1092" t="inlineStr">
        <is>
          <t>kilogram</t>
        </is>
      </c>
      <c r="F1092" t="inlineStr">
        <is>
          <t>technosphere</t>
        </is>
      </c>
      <c r="G1092" t="inlineStr">
        <is>
          <t>copper, cathode</t>
        </is>
      </c>
      <c r="I1092" t="inlineStr">
        <is>
          <t>copper, cathode</t>
        </is>
      </c>
    </row>
    <row r="1093">
      <c r="A1093" t="inlineStr">
        <is>
          <t>market for brass</t>
        </is>
      </c>
      <c r="B1093">
        <v>5</v>
      </c>
      <c r="C1093" t="inlineStr">
        <is>
          <t>RoW</t>
        </is>
      </c>
      <c r="D1093" t="inlineStr">
        <is>
          <t>kilogram</t>
        </is>
      </c>
      <c r="F1093" t="inlineStr">
        <is>
          <t>technosphere</t>
        </is>
      </c>
      <c r="G1093" t="inlineStr">
        <is>
          <t>brass</t>
        </is>
      </c>
      <c r="I1093" t="inlineStr">
        <is>
          <t>brass</t>
        </is>
      </c>
    </row>
    <row r="1094">
      <c r="A1094" t="inlineStr">
        <is>
          <t>market for nylon 6</t>
        </is>
      </c>
      <c r="B1094">
        <v>10</v>
      </c>
      <c r="C1094" t="inlineStr">
        <is>
          <t>RER</t>
        </is>
      </c>
      <c r="D1094" t="inlineStr">
        <is>
          <t>kilogram</t>
        </is>
      </c>
      <c r="F1094" t="inlineStr">
        <is>
          <t>technosphere</t>
        </is>
      </c>
      <c r="G1094" t="inlineStr">
        <is>
          <t>nylon 6</t>
        </is>
      </c>
      <c r="I1094" t="inlineStr">
        <is>
          <t>nylon 6</t>
        </is>
      </c>
    </row>
    <row r="1095">
      <c r="A1095" t="inlineStr">
        <is>
          <t>market for aluminium, wrought alloy</t>
        </is>
      </c>
      <c r="B1095">
        <v>29.5</v>
      </c>
      <c r="C1095" t="inlineStr">
        <is>
          <t>GLO</t>
        </is>
      </c>
      <c r="D1095" t="inlineStr">
        <is>
          <t>kilogram</t>
        </is>
      </c>
      <c r="F1095" t="inlineStr">
        <is>
          <t>technosphere</t>
        </is>
      </c>
      <c r="G1095" t="inlineStr">
        <is>
          <t>aluminium, wrought alloy</t>
        </is>
      </c>
      <c r="I1095" t="inlineStr">
        <is>
          <t>aluminium, wrought alloy</t>
        </is>
      </c>
    </row>
    <row r="1096">
      <c r="A1096" t="inlineStr">
        <is>
          <t>battery auxiliary interface and power conditioning, engineering reference</t>
        </is>
      </c>
      <c r="B1096">
        <v>0.5</v>
      </c>
      <c r="C1096" t="inlineStr">
        <is>
          <t>GLO</t>
        </is>
      </c>
      <c r="D1096" t="inlineStr">
        <is>
          <t>kilogram</t>
        </is>
      </c>
      <c r="F1096" t="inlineStr">
        <is>
          <t>technosphere</t>
        </is>
      </c>
      <c r="G1096" t="inlineStr">
        <is>
          <t>battery auxiliary interface and power conditioning, engineering reference</t>
        </is>
      </c>
      <c r="I1096" t="inlineStr">
        <is>
          <t>battery auxiliary interface and power conditioning, engineering reference</t>
        </is>
      </c>
    </row>
    <row r="1099">
      <c r="A1099" t="inlineStr">
        <is>
          <t>Activity</t>
        </is>
      </c>
      <c r="B1099" t="inlineStr">
        <is>
          <t>hydrogen fuel tank system, rail700bar lifetime reference</t>
        </is>
      </c>
    </row>
    <row r="1100">
      <c r="A1100" t="inlineStr">
        <is>
          <t>location</t>
        </is>
      </c>
      <c r="B1100" t="inlineStr">
        <is>
          <t>GLO</t>
        </is>
      </c>
    </row>
    <row r="1101">
      <c r="A1101" t="inlineStr">
        <is>
          <t>production amount</t>
        </is>
      </c>
      <c r="B1101">
        <v>1</v>
      </c>
    </row>
    <row r="1102">
      <c r="A1102" t="inlineStr">
        <is>
          <t>reference product</t>
        </is>
      </c>
      <c r="B1102" t="inlineStr">
        <is>
          <t>hydrogen fuel tank system, rail700bar lifetime reference</t>
        </is>
      </c>
    </row>
    <row r="1103">
      <c r="A1103" t="inlineStr">
        <is>
          <t>unit</t>
        </is>
      </c>
      <c r="B1103" t="inlineStr">
        <is>
          <t>unit</t>
        </is>
      </c>
    </row>
    <row r="1104">
      <c r="A1104" t="inlineStr">
        <is>
          <t>source</t>
        </is>
      </c>
      <c r="B1104" t="inlineStr">
        <is>
          <t>FCH2RAIL D1.5 railstorage investigation,DLR2021,AnnexBTable20, https://elib.dlr.de/145010/1/FCH2RAIL_D1.5.pdf :TypeIII70MPaTPED surveyreference8.3kgH2,2048x455mm,333Loutervolume,179kgINCLUDINGgas =&gt;170.7kgdry. Supplier surveyreference is not a certifiedcompleteheavyhaullocomotive design.</t>
        </is>
      </c>
    </row>
    <row r="1105">
      <c r="A1105" t="inlineStr">
        <is>
          <t>comment</t>
        </is>
      </c>
      <c r="B1105" t="inlineStr">
        <is>
          <t>APPROVED RAIL-SPECIFIC700BAR STORAGE/LIFE REFERENCE, issue69,2026-10-18. FCH2RAIL D1.5 railstorage investigation,DLR2021,AnnexBTable20, https://elib.dlr.de/145010/1/FCH2RAIL_D1.5.pdf :TypeIII70MPaTPED surveyreference8.3kgH2,2048x455mm,333Loutervolume,179kgINCLUDINGgas =&gt;170.7kgdry. Supplier surveyreference is not a certifiedcompleteheavyhaullocomotive design. Preserve current700barworkingpressure and40yearrailmanufacturinghorizon; do not forcepassenger350barorroadbus/truckvessels intoheavyhaul. Existing30323.845714kg cumulativecar-TypeIIIproxy was4sets over40years,with93kgdry/5.6kgH2. Its impliedinstalledgas=oldmass/4*5.6/93=456.488kg. Retain thisimpliedenergy budget as explicitengineeringreference because no route-specificrefuellingrange is documented; not infergasinventory fromlifetimefuelthroughput. Select55surveycylinders*8.3=456.5kgH2capacity,roundingup only0.012kg. Sourcepreserved860kW/.06185kgH2perkWhe implies8.582hfullpower before reserve; actualroute/peakduty,reserveandrefilling range remainunvalidated. Keep10yearvessellife/foursets as existing conservativeassumption,NOT manufacturerlifecertificate;test10-20years ratherthan invent a lifetime saving. Cylinder dry170.7 excludes8.3kgfuel. MaterialBOMunpublished:6mmAl linerat2700kg/m3 overcapsulearea2*pi*outerradius*length,2kgstainlessbosses,2kgPAprotection,remainingCF/epoxy at60/40vol%(1800/1200kg/m3),69.2308wt%fiber. Outerdiametergeometry,linerthickness,actualalloy/fiber andpressurequalification areengineeringassumptions,not a certifiedpressurevessel design.95%materialretention withmatchingprocesswaste and1kWh/kgforming/curing reference; wovenfiber is filamentwindingmanufacturingproxy. Installedvesseldrymass9388.5kg. Dedicatedsharedrack500kg(one40yearset,80%ordinary steel/20%Al) and100kgvalve/manifold/controls(two20yearsets:50stainless,5Cu,5brass,10PA,29.5Al,0.5auxinterfaceboard) are explicitmountingassumptions; no wholelocomotive,tenderchassis ortrack added. Lifetimevesselmanufacture220units,one rack,twoBoPsets are inside oneunit oflifetimeenergy-equipmentreference. Qtyone atlocomotiveproduction,not count220again in perMJadapter. Nominalinstalledstorageenvelope55*.333=18.315m3beforemounting; availablelocomotive/tenderpackaging is unresolved and not asserted tofit. Preserveexistingroad/railoperatingfuel andcompression path;700barpressureunchanged,no unsubstantiatedcompressionenergy saving. Originalrangeandbodyenergy notresimulated. EOL remainswholevehicleboundary,pressurespecificcylinderrecovery gap,no credits. Refreshstoredhydrogenpassengerrailcoefficients andindependentlynormalizefreightrailservices.</t>
        </is>
      </c>
    </row>
    <row r="1106">
      <c r="A1106" t="inlineStr">
        <is>
          <t>Exchanges</t>
        </is>
      </c>
    </row>
    <row r="1107">
      <c r="A1107" t="inlineStr">
        <is>
          <t>name</t>
        </is>
      </c>
      <c r="B1107" t="inlineStr">
        <is>
          <t>amount</t>
        </is>
      </c>
      <c r="C1107" t="inlineStr">
        <is>
          <t>location</t>
        </is>
      </c>
      <c r="D1107" t="inlineStr">
        <is>
          <t>unit</t>
        </is>
      </c>
      <c r="E1107" t="inlineStr">
        <is>
          <t>categories</t>
        </is>
      </c>
      <c r="F1107" t="inlineStr">
        <is>
          <t>type</t>
        </is>
      </c>
      <c r="G1107" t="inlineStr">
        <is>
          <t>reference product</t>
        </is>
      </c>
      <c r="H1107" t="inlineStr">
        <is>
          <t>comment</t>
        </is>
      </c>
      <c r="I1107" t="inlineStr">
        <is>
          <t>product</t>
        </is>
      </c>
    </row>
    <row r="1108">
      <c r="A1108" t="inlineStr">
        <is>
          <t>hydrogen fuel tank system, rail700bar lifetime reference</t>
        </is>
      </c>
      <c r="B1108">
        <v>1</v>
      </c>
      <c r="C1108" t="inlineStr">
        <is>
          <t>GLO</t>
        </is>
      </c>
      <c r="D1108" t="inlineStr">
        <is>
          <t>unit</t>
        </is>
      </c>
      <c r="F1108" t="inlineStr">
        <is>
          <t>production</t>
        </is>
      </c>
      <c r="G1108" t="inlineStr">
        <is>
          <t>hydrogen fuel tank system, rail700bar lifetime reference</t>
        </is>
      </c>
      <c r="I1108" t="inlineStr">
        <is>
          <t>hydrogen fuel tank system, rail700bar lifetime reference</t>
        </is>
      </c>
    </row>
    <row r="1109">
      <c r="A1109" t="inlineStr">
        <is>
          <t>hydrogen fuel tank, rail700bar TypeIII cylinder, engineering reference</t>
        </is>
      </c>
      <c r="B1109">
        <v>220</v>
      </c>
      <c r="C1109" t="inlineStr">
        <is>
          <t>GLO</t>
        </is>
      </c>
      <c r="D1109" t="inlineStr">
        <is>
          <t>unit</t>
        </is>
      </c>
      <c r="F1109" t="inlineStr">
        <is>
          <t>technosphere</t>
        </is>
      </c>
      <c r="G1109" t="inlineStr">
        <is>
          <t>hydrogen fuel tank, rail700bar TypeIII cylinder, engineering reference</t>
        </is>
      </c>
      <c r="I1109" t="inlineStr">
        <is>
          <t>hydrogen fuel tank, rail700bar TypeIII cylinder, engineering reference</t>
        </is>
      </c>
    </row>
    <row r="1110">
      <c r="A1110" t="inlineStr">
        <is>
          <t>hydrogen fuel tank, rail mounting rack, engineering reference</t>
        </is>
      </c>
      <c r="B1110">
        <v>1</v>
      </c>
      <c r="C1110" t="inlineStr">
        <is>
          <t>GLO</t>
        </is>
      </c>
      <c r="D1110" t="inlineStr">
        <is>
          <t>unit</t>
        </is>
      </c>
      <c r="F1110" t="inlineStr">
        <is>
          <t>technosphere</t>
        </is>
      </c>
      <c r="G1110" t="inlineStr">
        <is>
          <t>hydrogen fuel tank, rail mounting rack, engineering reference</t>
        </is>
      </c>
      <c r="I1110" t="inlineStr">
        <is>
          <t>hydrogen fuel tank, rail mounting rack, engineering reference</t>
        </is>
      </c>
    </row>
    <row r="1111">
      <c r="A1111" t="inlineStr">
        <is>
          <t>hydrogen fuel tank, rail shared valves and controls, engineering reference</t>
        </is>
      </c>
      <c r="B1111">
        <v>2</v>
      </c>
      <c r="C1111" t="inlineStr">
        <is>
          <t>GLO</t>
        </is>
      </c>
      <c r="D1111" t="inlineStr">
        <is>
          <t>unit</t>
        </is>
      </c>
      <c r="F1111" t="inlineStr">
        <is>
          <t>technosphere</t>
        </is>
      </c>
      <c r="G1111" t="inlineStr">
        <is>
          <t>hydrogen fuel tank, rail shared valves and controls, engineering reference</t>
        </is>
      </c>
      <c r="I1111" t="inlineStr">
        <is>
          <t>hydrogen fuel tank, rail shared valves and controls, engineering reference</t>
        </is>
      </c>
    </row>
    <row r="1114">
      <c r="A1114" t="inlineStr">
        <is>
          <t>Activity</t>
        </is>
      </c>
      <c r="B1114" t="inlineStr">
        <is>
          <t>rail generator analog excitation controller, engineering material reference</t>
        </is>
      </c>
    </row>
    <row r="1115">
      <c r="A1115" t="inlineStr">
        <is>
          <t>location</t>
        </is>
      </c>
      <c r="B1115" t="inlineStr">
        <is>
          <t>GLO</t>
        </is>
      </c>
    </row>
    <row r="1116">
      <c r="A1116" t="inlineStr">
        <is>
          <t>production amount</t>
        </is>
      </c>
      <c r="B1116">
        <v>1</v>
      </c>
    </row>
    <row r="1117">
      <c r="A1117" t="inlineStr">
        <is>
          <t>reference product</t>
        </is>
      </c>
      <c r="B1117" t="inlineStr">
        <is>
          <t>rail generator analog excitation controller, engineering material reference</t>
        </is>
      </c>
    </row>
    <row r="1118">
      <c r="A1118" t="inlineStr">
        <is>
          <t>unit</t>
        </is>
      </c>
      <c r="B1118" t="inlineStr">
        <is>
          <t>unit</t>
        </is>
      </c>
    </row>
    <row r="1119">
      <c r="A1119" t="inlineStr">
        <is>
          <t>source</t>
        </is>
      </c>
      <c r="B1119" t="inlineStr">
        <is>
          <t>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t>
        </is>
      </c>
    </row>
    <row r="1120">
      <c r="A1120" t="inlineStr">
        <is>
          <t>comment</t>
        </is>
      </c>
      <c r="B1120" t="inlineStr">
        <is>
          <t>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t>
        </is>
      </c>
    </row>
    <row r="1121">
      <c r="A1121" t="inlineStr">
        <is>
          <t>Exchanges</t>
        </is>
      </c>
    </row>
    <row r="1122">
      <c r="A1122" t="inlineStr">
        <is>
          <t>name</t>
        </is>
      </c>
      <c r="B1122" t="inlineStr">
        <is>
          <t>amount</t>
        </is>
      </c>
      <c r="C1122" t="inlineStr">
        <is>
          <t>location</t>
        </is>
      </c>
      <c r="D1122" t="inlineStr">
        <is>
          <t>unit</t>
        </is>
      </c>
      <c r="E1122" t="inlineStr">
        <is>
          <t>categories</t>
        </is>
      </c>
      <c r="F1122" t="inlineStr">
        <is>
          <t>type</t>
        </is>
      </c>
      <c r="G1122" t="inlineStr">
        <is>
          <t>reference product</t>
        </is>
      </c>
      <c r="H1122" t="inlineStr">
        <is>
          <t>comment</t>
        </is>
      </c>
      <c r="I1122" t="inlineStr">
        <is>
          <t>product</t>
        </is>
      </c>
    </row>
    <row r="1123">
      <c r="A1123" t="inlineStr">
        <is>
          <t>rail generator analog excitation controller, engineering material reference</t>
        </is>
      </c>
      <c r="B1123">
        <v>1</v>
      </c>
      <c r="C1123" t="inlineStr">
        <is>
          <t>GLO</t>
        </is>
      </c>
      <c r="D1123" t="inlineStr">
        <is>
          <t>unit</t>
        </is>
      </c>
      <c r="F1123" t="inlineStr">
        <is>
          <t>production</t>
        </is>
      </c>
      <c r="G1123" t="inlineStr">
        <is>
          <t>rail generator analog excitation controller, engineering material reference</t>
        </is>
      </c>
      <c r="I1123" t="inlineStr">
        <is>
          <t>rail generator analog excitation controller, engineering material reference</t>
        </is>
      </c>
    </row>
    <row r="1124">
      <c r="A1124" t="inlineStr">
        <is>
          <t>market for printed wiring board, for surface mounting, Pb free surface</t>
        </is>
      </c>
      <c r="B1124">
        <v>0.05</v>
      </c>
      <c r="C1124" t="inlineStr">
        <is>
          <t>GLO</t>
        </is>
      </c>
      <c r="D1124" t="inlineStr">
        <is>
          <t>square meter</t>
        </is>
      </c>
      <c r="F1124" t="inlineStr">
        <is>
          <t>technosphere</t>
        </is>
      </c>
      <c r="G1124" t="inlineStr">
        <is>
          <t>printed wiring board, for surface mounting, Pb free surface</t>
        </is>
      </c>
      <c r="I1124" t="inlineStr">
        <is>
          <t>printed wiring board, for surface mounting, Pb free surface</t>
        </is>
      </c>
    </row>
    <row r="1125">
      <c r="A1125" t="inlineStr">
        <is>
          <t>market for diode, glass-, for through-hole mounting</t>
        </is>
      </c>
      <c r="B1125">
        <v>0.0035759999999999998</v>
      </c>
      <c r="C1125" t="inlineStr">
        <is>
          <t>GLO</t>
        </is>
      </c>
      <c r="D1125" t="inlineStr">
        <is>
          <t>kilogram</t>
        </is>
      </c>
      <c r="F1125" t="inlineStr">
        <is>
          <t>technosphere</t>
        </is>
      </c>
      <c r="G1125" t="inlineStr">
        <is>
          <t>diode, glass-, for through-hole mounting</t>
        </is>
      </c>
      <c r="I1125" t="inlineStr">
        <is>
          <t>diode, glass-, for through-hole mounting</t>
        </is>
      </c>
    </row>
    <row r="1126">
      <c r="A1126" t="inlineStr">
        <is>
          <t>market for inductor, ring core choke type</t>
        </is>
      </c>
      <c r="B1126">
        <v>0.05</v>
      </c>
      <c r="C1126" t="inlineStr">
        <is>
          <t>GLO</t>
        </is>
      </c>
      <c r="D1126" t="inlineStr">
        <is>
          <t>kilogram</t>
        </is>
      </c>
      <c r="F1126" t="inlineStr">
        <is>
          <t>technosphere</t>
        </is>
      </c>
      <c r="G1126" t="inlineStr">
        <is>
          <t>inductor, ring core choke type</t>
        </is>
      </c>
      <c r="I1126" t="inlineStr">
        <is>
          <t>inductor, ring core choke type</t>
        </is>
      </c>
    </row>
    <row r="1127">
      <c r="A1127" t="inlineStr">
        <is>
          <t>market for capacitor, film type, for through-hole mounting</t>
        </is>
      </c>
      <c r="B1127">
        <v>0.03</v>
      </c>
      <c r="C1127" t="inlineStr">
        <is>
          <t>GLO</t>
        </is>
      </c>
      <c r="D1127" t="inlineStr">
        <is>
          <t>kilogram</t>
        </is>
      </c>
      <c r="F1127" t="inlineStr">
        <is>
          <t>technosphere</t>
        </is>
      </c>
      <c r="G1127" t="inlineStr">
        <is>
          <t>capacitor, film type, for through-hole mounting</t>
        </is>
      </c>
      <c r="I1127" t="inlineStr">
        <is>
          <t>capacitor, film type, for through-hole mounting</t>
        </is>
      </c>
    </row>
    <row r="1128">
      <c r="A1128" t="inlineStr">
        <is>
          <t>market for resistor, metal film type, through-hole mounting</t>
        </is>
      </c>
      <c r="B1128">
        <v>0.01</v>
      </c>
      <c r="C1128" t="inlineStr">
        <is>
          <t>GLO</t>
        </is>
      </c>
      <c r="D1128" t="inlineStr">
        <is>
          <t>kilogram</t>
        </is>
      </c>
      <c r="F1128" t="inlineStr">
        <is>
          <t>technosphere</t>
        </is>
      </c>
      <c r="G1128" t="inlineStr">
        <is>
          <t>resistor, metal film type, through-hole mounting</t>
        </is>
      </c>
      <c r="I1128" t="inlineStr">
        <is>
          <t>resistor, metal film type, through-hole mounting</t>
        </is>
      </c>
    </row>
    <row r="1129">
      <c r="A1129" t="inlineStr">
        <is>
          <t>market for transistor, surface-mounted</t>
        </is>
      </c>
      <c r="B1129">
        <v>0.005</v>
      </c>
      <c r="C1129" t="inlineStr">
        <is>
          <t>GLO</t>
        </is>
      </c>
      <c r="D1129" t="inlineStr">
        <is>
          <t>kilogram</t>
        </is>
      </c>
      <c r="F1129" t="inlineStr">
        <is>
          <t>technosphere</t>
        </is>
      </c>
      <c r="G1129" t="inlineStr">
        <is>
          <t>transistor, surface-mounted</t>
        </is>
      </c>
      <c r="I1129" t="inlineStr">
        <is>
          <t>transistor, surface-mounted</t>
        </is>
      </c>
    </row>
    <row r="1130">
      <c r="A1130" t="inlineStr">
        <is>
          <t>market for copper, cathode</t>
        </is>
      </c>
      <c r="B1130">
        <v>0.1</v>
      </c>
      <c r="C1130" t="inlineStr">
        <is>
          <t>GLO</t>
        </is>
      </c>
      <c r="D1130" t="inlineStr">
        <is>
          <t>kilogram</t>
        </is>
      </c>
      <c r="F1130" t="inlineStr">
        <is>
          <t>technosphere</t>
        </is>
      </c>
      <c r="G1130" t="inlineStr">
        <is>
          <t>copper, cathode</t>
        </is>
      </c>
      <c r="I1130" t="inlineStr">
        <is>
          <t>copper, cathode</t>
        </is>
      </c>
    </row>
    <row r="1131">
      <c r="A1131" t="inlineStr">
        <is>
          <t>market for aluminium, wrought alloy</t>
        </is>
      </c>
      <c r="B1131">
        <v>0.4</v>
      </c>
      <c r="C1131" t="inlineStr">
        <is>
          <t>GLO</t>
        </is>
      </c>
      <c r="D1131" t="inlineStr">
        <is>
          <t>kilogram</t>
        </is>
      </c>
      <c r="F1131" t="inlineStr">
        <is>
          <t>technosphere</t>
        </is>
      </c>
      <c r="G1131" t="inlineStr">
        <is>
          <t>aluminium, wrought alloy</t>
        </is>
      </c>
      <c r="I1131" t="inlineStr">
        <is>
          <t>aluminium, wrought alloy</t>
        </is>
      </c>
    </row>
    <row r="1132">
      <c r="A1132" t="inlineStr">
        <is>
          <t>market for epoxy resin, liquid</t>
        </is>
      </c>
      <c r="B1132">
        <v>0.1</v>
      </c>
      <c r="C1132" t="inlineStr">
        <is>
          <t>RER</t>
        </is>
      </c>
      <c r="D1132" t="inlineStr">
        <is>
          <t>kilogram</t>
        </is>
      </c>
      <c r="F1132" t="inlineStr">
        <is>
          <t>technosphere</t>
        </is>
      </c>
      <c r="G1132" t="inlineStr">
        <is>
          <t>epoxy resin, liquid</t>
        </is>
      </c>
      <c r="I1132" t="inlineStr">
        <is>
          <t>epoxy resin, liquid</t>
        </is>
      </c>
    </row>
    <row r="1133">
      <c r="A1133" t="inlineStr">
        <is>
          <t>market for steel, low-alloyed</t>
        </is>
      </c>
      <c r="B1133">
        <v>0.14742399999999986</v>
      </c>
      <c r="C1133" t="inlineStr">
        <is>
          <t>GLO</t>
        </is>
      </c>
      <c r="D1133" t="inlineStr">
        <is>
          <t>kilogram</t>
        </is>
      </c>
      <c r="F1133" t="inlineStr">
        <is>
          <t>technosphere</t>
        </is>
      </c>
      <c r="G1133" t="inlineStr">
        <is>
          <t>steel, low-alloyed</t>
        </is>
      </c>
      <c r="I1133" t="inlineStr">
        <is>
          <t>steel, low-alloyed</t>
        </is>
      </c>
    </row>
    <row r="1134">
      <c r="A1134" t="inlineStr">
        <is>
          <t>market group for electricity, medium voltage</t>
        </is>
      </c>
      <c r="B1134">
        <v>1</v>
      </c>
      <c r="C1134" t="inlineStr">
        <is>
          <t>GLO</t>
        </is>
      </c>
      <c r="D1134" t="inlineStr">
        <is>
          <t>kilowatt hour</t>
        </is>
      </c>
      <c r="F1134" t="inlineStr">
        <is>
          <t>technosphere</t>
        </is>
      </c>
      <c r="G1134" t="inlineStr">
        <is>
          <t>electricity, medium voltage</t>
        </is>
      </c>
      <c r="I1134" t="inlineStr">
        <is>
          <t>electricity, medium voltage</t>
        </is>
      </c>
    </row>
    <row r="1137">
      <c r="A1137" t="inlineStr">
        <is>
          <t>Activity</t>
        </is>
      </c>
      <c r="B1137" t="inlineStr">
        <is>
          <t>rail powertrain generator, synchronous engineering reference</t>
        </is>
      </c>
    </row>
    <row r="1138">
      <c r="A1138" t="inlineStr">
        <is>
          <t>location</t>
        </is>
      </c>
      <c r="B1138" t="inlineStr">
        <is>
          <t>GLO</t>
        </is>
      </c>
    </row>
    <row r="1139">
      <c r="A1139" t="inlineStr">
        <is>
          <t>production amount</t>
        </is>
      </c>
      <c r="B1139">
        <v>1</v>
      </c>
    </row>
    <row r="1140">
      <c r="A1140" t="inlineStr">
        <is>
          <t>reference product</t>
        </is>
      </c>
      <c r="B1140" t="inlineStr">
        <is>
          <t>rail powertrain generator, synchronous engineering reference</t>
        </is>
      </c>
    </row>
    <row r="1141">
      <c r="A1141" t="inlineStr">
        <is>
          <t>unit</t>
        </is>
      </c>
      <c r="B1141" t="inlineStr">
        <is>
          <t>kilogram</t>
        </is>
      </c>
    </row>
    <row r="1142">
      <c r="A1142" t="inlineStr">
        <is>
          <t>source</t>
        </is>
      </c>
      <c r="B1142" t="inlineStr">
        <is>
          <t>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t>
        </is>
      </c>
    </row>
    <row r="1143">
      <c r="A1143" t="inlineStr">
        <is>
          <t>comment</t>
        </is>
      </c>
      <c r="B1143" t="inlineStr">
        <is>
          <t>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t>
        </is>
      </c>
    </row>
    <row r="1144">
      <c r="A1144" t="inlineStr">
        <is>
          <t>Exchanges</t>
        </is>
      </c>
    </row>
    <row r="1145">
      <c r="A1145" t="inlineStr">
        <is>
          <t>name</t>
        </is>
      </c>
      <c r="B1145" t="inlineStr">
        <is>
          <t>amount</t>
        </is>
      </c>
      <c r="C1145" t="inlineStr">
        <is>
          <t>location</t>
        </is>
      </c>
      <c r="D1145" t="inlineStr">
        <is>
          <t>unit</t>
        </is>
      </c>
      <c r="E1145" t="inlineStr">
        <is>
          <t>categories</t>
        </is>
      </c>
      <c r="F1145" t="inlineStr">
        <is>
          <t>type</t>
        </is>
      </c>
      <c r="G1145" t="inlineStr">
        <is>
          <t>reference product</t>
        </is>
      </c>
      <c r="H1145" t="inlineStr">
        <is>
          <t>comment</t>
        </is>
      </c>
      <c r="I1145" t="inlineStr">
        <is>
          <t>product</t>
        </is>
      </c>
    </row>
    <row r="1146">
      <c r="A1146" t="inlineStr">
        <is>
          <t>rail powertrain generator, synchronous engineering reference</t>
        </is>
      </c>
      <c r="B1146">
        <v>1</v>
      </c>
      <c r="C1146" t="inlineStr">
        <is>
          <t>GLO</t>
        </is>
      </c>
      <c r="D1146" t="inlineStr">
        <is>
          <t>kilogram</t>
        </is>
      </c>
      <c r="F1146" t="inlineStr">
        <is>
          <t>production</t>
        </is>
      </c>
      <c r="G1146" t="inlineStr">
        <is>
          <t>rail powertrain generator, synchronous engineering reference</t>
        </is>
      </c>
      <c r="I1146" t="inlineStr">
        <is>
          <t>rail powertrain generator, synchronous engineering reference</t>
        </is>
      </c>
    </row>
    <row r="1147">
      <c r="A1147" t="inlineStr">
        <is>
          <t>non-oriented electrical steel, engineering alloy reference</t>
        </is>
      </c>
      <c r="B1147">
        <v>0.2713339966810987</v>
      </c>
      <c r="C1147" t="inlineStr">
        <is>
          <t>GLO</t>
        </is>
      </c>
      <c r="D1147" t="inlineStr">
        <is>
          <t>kilogram</t>
        </is>
      </c>
      <c r="F1147" t="inlineStr">
        <is>
          <t>technosphere</t>
        </is>
      </c>
      <c r="G1147" t="inlineStr">
        <is>
          <t>non-oriented electrical steel, engineering alloy reference</t>
        </is>
      </c>
      <c r="I1147" t="inlineStr">
        <is>
          <t>non-oriented electrical steel, engineering alloy reference</t>
        </is>
      </c>
    </row>
    <row r="1148">
      <c r="A1148" t="inlineStr">
        <is>
          <t>market for steel, low-alloyed</t>
        </is>
      </c>
      <c r="B1148">
        <v>0.6182375601344753</v>
      </c>
      <c r="C1148" t="inlineStr">
        <is>
          <t>GLO</t>
        </is>
      </c>
      <c r="D1148" t="inlineStr">
        <is>
          <t>kilogram</t>
        </is>
      </c>
      <c r="F1148" t="inlineStr">
        <is>
          <t>technosphere</t>
        </is>
      </c>
      <c r="G1148" t="inlineStr">
        <is>
          <t>steel, low-alloyed</t>
        </is>
      </c>
      <c r="I1148" t="inlineStr">
        <is>
          <t>steel, low-alloyed</t>
        </is>
      </c>
    </row>
    <row r="1149">
      <c r="A1149" t="inlineStr">
        <is>
          <t>market for aluminium, wrought alloy</t>
        </is>
      </c>
      <c r="B1149">
        <v>0.0004954131961873992</v>
      </c>
      <c r="C1149" t="inlineStr">
        <is>
          <t>GLO</t>
        </is>
      </c>
      <c r="D1149" t="inlineStr">
        <is>
          <t>kilogram</t>
        </is>
      </c>
      <c r="F1149" t="inlineStr">
        <is>
          <t>technosphere</t>
        </is>
      </c>
      <c r="G1149" t="inlineStr">
        <is>
          <t>aluminium, wrought alloy</t>
        </is>
      </c>
      <c r="I1149" t="inlineStr">
        <is>
          <t>aluminium, wrought alloy</t>
        </is>
      </c>
    </row>
    <row r="1150">
      <c r="A1150" t="inlineStr">
        <is>
          <t>market for copper, cathode</t>
        </is>
      </c>
      <c r="B1150">
        <v>0.09378552890901458</v>
      </c>
      <c r="C1150" t="inlineStr">
        <is>
          <t>GLO</t>
        </is>
      </c>
      <c r="D1150" t="inlineStr">
        <is>
          <t>kilogram</t>
        </is>
      </c>
      <c r="F1150" t="inlineStr">
        <is>
          <t>technosphere</t>
        </is>
      </c>
      <c r="G1150" t="inlineStr">
        <is>
          <t>copper, cathode</t>
        </is>
      </c>
      <c r="I1150" t="inlineStr">
        <is>
          <t>copper, cathode</t>
        </is>
      </c>
    </row>
    <row r="1151">
      <c r="A1151" t="inlineStr">
        <is>
          <t>market for glass fibre</t>
        </is>
      </c>
      <c r="B1151">
        <v>0.00590684964684976</v>
      </c>
      <c r="C1151" t="inlineStr">
        <is>
          <t>GLO</t>
        </is>
      </c>
      <c r="D1151" t="inlineStr">
        <is>
          <t>kilogram</t>
        </is>
      </c>
      <c r="F1151" t="inlineStr">
        <is>
          <t>technosphere</t>
        </is>
      </c>
      <c r="G1151" t="inlineStr">
        <is>
          <t>glass fibre</t>
        </is>
      </c>
      <c r="I1151" t="inlineStr">
        <is>
          <t>glass fibre</t>
        </is>
      </c>
    </row>
    <row r="1152">
      <c r="A1152" t="inlineStr">
        <is>
          <t>market for epoxy resin, liquid</t>
        </is>
      </c>
      <c r="B1152">
        <v>0.00857445916478191</v>
      </c>
      <c r="C1152" t="inlineStr">
        <is>
          <t>RER</t>
        </is>
      </c>
      <c r="D1152" t="inlineStr">
        <is>
          <t>kilogram</t>
        </is>
      </c>
      <c r="F1152" t="inlineStr">
        <is>
          <t>technosphere</t>
        </is>
      </c>
      <c r="G1152" t="inlineStr">
        <is>
          <t>epoxy resin, liquid</t>
        </is>
      </c>
      <c r="I1152" t="inlineStr">
        <is>
          <t>epoxy resin, liquid</t>
        </is>
      </c>
    </row>
    <row r="1153">
      <c r="A1153" t="inlineStr">
        <is>
          <t>market for alkyd paint, white, without solvent, in 60% solution state</t>
        </is>
      </c>
      <c r="B1153">
        <v>0.0015243482959612284</v>
      </c>
      <c r="C1153" t="inlineStr">
        <is>
          <t>RER</t>
        </is>
      </c>
      <c r="D1153" t="inlineStr">
        <is>
          <t>kilogram</t>
        </is>
      </c>
      <c r="F1153" t="inlineStr">
        <is>
          <t>technosphere</t>
        </is>
      </c>
      <c r="G1153" t="inlineStr">
        <is>
          <t>alkyd paint, white, without solvent, in 60% solution state</t>
        </is>
      </c>
      <c r="I1153" t="inlineStr">
        <is>
          <t>alkyd paint, white, without solvent, in 60% solution state</t>
        </is>
      </c>
    </row>
    <row r="1154">
      <c r="A1154" t="inlineStr">
        <is>
          <t>rail generator analog excitation controller, engineering material reference</t>
        </is>
      </c>
      <c r="B1154">
        <v>0.00014184397163120567</v>
      </c>
      <c r="C1154" t="inlineStr">
        <is>
          <t>GLO</t>
        </is>
      </c>
      <c r="D1154" t="inlineStr">
        <is>
          <t>unit</t>
        </is>
      </c>
      <c r="F1154" t="inlineStr">
        <is>
          <t>technosphere</t>
        </is>
      </c>
      <c r="G1154" t="inlineStr">
        <is>
          <t>rail generator analog excitation controller, engineering material reference</t>
        </is>
      </c>
      <c r="I1154" t="inlineStr">
        <is>
          <t>rail generator analog excitation controller, engineering material reference</t>
        </is>
      </c>
    </row>
    <row r="1155">
      <c r="A1155" t="inlineStr">
        <is>
          <t>market group for electricity, medium voltage</t>
        </is>
      </c>
      <c r="B1155">
        <v>1.529214468117544</v>
      </c>
      <c r="C1155" t="inlineStr">
        <is>
          <t>GLO</t>
        </is>
      </c>
      <c r="D1155" t="inlineStr">
        <is>
          <t>kilowatt hour</t>
        </is>
      </c>
      <c r="F1155" t="inlineStr">
        <is>
          <t>technosphere</t>
        </is>
      </c>
      <c r="G1155" t="inlineStr">
        <is>
          <t>electricity, medium voltage</t>
        </is>
      </c>
      <c r="I1155" t="inlineStr">
        <is>
          <t>electricity, medium voltage</t>
        </is>
      </c>
    </row>
    <row r="1156">
      <c r="A1156" t="inlineStr">
        <is>
          <t>market for heat, district or industrial, natural gas</t>
        </is>
      </c>
      <c r="B1156">
        <v>1.3253192057018715</v>
      </c>
      <c r="C1156" t="inlineStr">
        <is>
          <t>RoW</t>
        </is>
      </c>
      <c r="D1156" t="inlineStr">
        <is>
          <t>megajoule</t>
        </is>
      </c>
      <c r="F1156" t="inlineStr">
        <is>
          <t>technosphere</t>
        </is>
      </c>
      <c r="G1156" t="inlineStr">
        <is>
          <t>heat, district or industrial, natural gas</t>
        </is>
      </c>
      <c r="I1156" t="inlineStr">
        <is>
          <t>heat, district or industrial, natural gas</t>
        </is>
      </c>
    </row>
    <row r="1157">
      <c r="A1157" t="inlineStr">
        <is>
          <t>market for waste electric and electronic equipment</t>
        </is>
      </c>
      <c r="B1157">
        <v>-1</v>
      </c>
      <c r="C1157" t="inlineStr">
        <is>
          <t>GLO</t>
        </is>
      </c>
      <c r="D1157" t="inlineStr">
        <is>
          <t>kilogram</t>
        </is>
      </c>
      <c r="F1157" t="inlineStr">
        <is>
          <t>technosphere</t>
        </is>
      </c>
      <c r="G1157" t="inlineStr">
        <is>
          <t>waste electric and electronic equipment</t>
        </is>
      </c>
      <c r="I1157" t="inlineStr">
        <is>
          <t>waste electric and electronic equipment</t>
        </is>
      </c>
    </row>
  </sheetData>
  <autoFilter ref="A1:H983" ns2:uid="{2A08E695-FC79-4DF0-ACCB-3B3F78317B74}"/>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Jonas Klimt</dc:creator>
  <cp:lastModifiedBy>Romain Sacchi</cp:lastModifiedBy>
  <dcterms:created xsi:type="dcterms:W3CDTF">2024-04-17T07:54:07Z</dcterms:created>
  <dcterms:modified xsi:type="dcterms:W3CDTF">2025-04-10T07:50:27Z</dcterms:modified>
</cp:coreProperties>
</file>