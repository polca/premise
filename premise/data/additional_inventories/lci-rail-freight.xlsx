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<sst xmlns="http://schemas.openxmlformats.org/spreadsheetml/2006/main" count="4397" uniqueCount="280">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</sst>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3" spans="1:8" ns3:dyDescent="0.2">
      <c r="A13" t="s">
        <v>270</v>
      </c>
      <c r="B13">
        <v>91.16651797151124</v>
      </c>
      <c r="C13" t="s">
        <v>23</v>
      </c>
      <c r="D13" t="s">
        <v>24</v>
      </c>
      <c r="F13" t="s">
        <v>20</v>
      </c>
      <c r="G13" t="s">
        <v>25</v>
      </c>
      <c r="H13" t="s">
        <v>26</v>
      </c>
    </row>
    <row r="14" spans="1:8" ns3:dyDescent="0.2">
      <c r="A14" t="s">
        <v>266</v>
      </c>
      <c r="B14">
        <v>12500.0</v>
      </c>
      <c r="C14" t="s">
        <v>23</v>
      </c>
      <c r="D14" t="s">
        <v>24</v>
      </c>
      <c r="F14" t="s">
        <v>20</v>
      </c>
      <c r="G14" t="s">
        <v>27</v>
      </c>
      <c r="H1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5" spans="1:8" ns3:dyDescent="0.2">
      <c r="A15" t="inlineStr">
        <is>
          <t xml:space="preserve">traction generator production, synchronous, rail</t>
        </is>
      </c>
      <c r="B15">
        <v>7050.0</v>
      </c>
      <c r="C15" t="inlineStr">
        <is>
          <t>GLO</t>
        </is>
      </c>
      <c r="D15" t="s">
        <v>24</v>
      </c>
      <c r="F15" t="s">
        <v>20</v>
      </c>
      <c r="G15" t="inlineStr">
        <is>
          <t xml:space="preserve">traction generator, synchronous, rail</t>
        </is>
      </c>
      <c r="H15" t="s">
        <v>29</v>
      </c>
    </row>
    <row r="16" spans="1:8" ns3:dyDescent="0.2">
      <c r="A16" t="inlineStr">
        <is>
          <t xml:space="preserve">electric motor production, asynchronous, traction</t>
        </is>
      </c>
      <c r="B16">
        <f>24*53</f>
        <v>1272</v>
      </c>
      <c r="C16" t="s">
        <v>3</v>
      </c>
      <c r="D16" t="s">
        <v>24</v>
      </c>
      <c r="F16" t="s">
        <v>20</v>
      </c>
      <c r="G16" t="inlineStr">
        <is>
          <t xml:space="preserve">electric motor, asynchronous, traction</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 xml:space="preserve">traction converter production, rail, medium voltage</t>
        </is>
      </c>
      <c r="B17">
        <f>1013.33333333333*4.5</f>
        <v>4559.9999999999845</v>
      </c>
      <c r="C17" t="s">
        <v>3</v>
      </c>
      <c r="D17" t="s">
        <v>24</v>
      </c>
      <c r="F17" t="s">
        <v>20</v>
      </c>
      <c r="G17" t="inlineStr">
        <is>
          <t xml:space="preserve">traction converter, rail, medium voltage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 xml:space="preserve">electric motor production, asynchronous, traction</t>
        </is>
      </c>
      <c r="B31">
        <f>70*53</f>
        <v>3710</v>
      </c>
      <c r="C31" t="s">
        <v>3</v>
      </c>
      <c r="D31" t="s">
        <v>24</v>
      </c>
      <c r="F31" t="s">
        <v>20</v>
      </c>
      <c r="G31" t="inlineStr">
        <is>
          <t xml:space="preserve">electric motor, asynchronous, traction</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 xml:space="preserve">traction converter production, rail, medium voltage</t>
        </is>
      </c>
      <c r="B32">
        <f>2302.22222222222*4.5</f>
        <v>10359.999999999989</v>
      </c>
      <c r="C32" t="s">
        <v>3</v>
      </c>
      <c r="D32" t="s">
        <v>24</v>
      </c>
      <c r="F32" t="s">
        <v>20</v>
      </c>
      <c r="G32" t="inlineStr">
        <is>
          <t xml:space="preserve">traction converter, rail, medium voltage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 xml:space="preserve">electric motor production, asynchronous, traction</t>
        </is>
      </c>
      <c r="B45">
        <f>25*53</f>
        <v>1325</v>
      </c>
      <c r="C45" t="s">
        <v>3</v>
      </c>
      <c r="D45" t="s">
        <v>24</v>
      </c>
      <c r="F45" t="s">
        <v>20</v>
      </c>
      <c r="G45" t="inlineStr">
        <is>
          <t xml:space="preserve">electric motor, asynchronous, traction</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 xml:space="preserve">traction converter production, rail, medium voltage</t>
        </is>
      </c>
      <c r="B46">
        <f>506.666666666667*4.5</f>
        <v>2280.0000000000018</v>
      </c>
      <c r="C46" t="s">
        <v>3</v>
      </c>
      <c r="D46" t="s">
        <v>24</v>
      </c>
      <c r="F46" t="s">
        <v>20</v>
      </c>
      <c r="G46" t="inlineStr">
        <is>
          <t xml:space="preserve">traction converter, rail, medium voltage</t>
        </is>
      </c>
      <c r="H46" t="s">
        <v>48</v>
      </c>
    </row>
    <row r="47" spans="1:8" ns3:dyDescent="0.2">
      <c r="A47" t="inlineStr">
        <is>
          <t xml:space="preserve">fuel cell system assembly production, rail transport, 860 kWe</t>
        </is>
      </c>
      <c r="B47">
        <v>8.0</v>
      </c>
      <c r="C47" t="s">
        <v>3</v>
      </c>
      <c r="D47" t="s">
        <v>9</v>
      </c>
      <c r="F47" t="s">
        <v>20</v>
      </c>
      <c r="G47" t="inlineStr">
        <is>
          <t xml:space="preserve">fuel cell system assembly, rail transport, 860 kWe</t>
        </is>
      </c>
      <c r="H47" t="inlineStr">
        <is>
          <t xml:space="preserve">APPROVED REFERENCE-UNIT CORRECTION, 2026-10-19. Current reference: One complete 860 kWe rail fuel-cell system, retaining the existing stack/BoP replacement attribution. Unit field: unit. Former reference: 1 unit = 0.0011627906976744186 unit on the current basis. All supplier/product references and direct purchasers are updated together. Recipes are divided by this conversion factor and consumer doses multiplied by it; physical inputs, emissions and waste per original functional unit are preserved. One complete 860 kWe system uses 860 one-kWe stack references and 1290 one-kWe BoP references over the existing 30000 h stack interval. The locomotive buys eight lifetime system sets, preserving eight full-power stack sets and twelve full-power BoP sets. Its per-MJ purchase and structured allocation provenance are divided by 860. Fractional BoP remains expected lifetime attribution. No new unit vocabulary, design, lifetime, manufacturing yield, recycling credit, primary/secondary share or runtime code change. Earlier source notes below retain their historical normalization; the current reference and amounts above supersede that normalization.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 xml:space="preserve">hydrogen fuel tank system production, rail, 700 bar</t>
        </is>
      </c>
      <c r="B48">
        <v>1</v>
      </c>
      <c r="C48" t="inlineStr">
        <is>
          <t>GLO</t>
        </is>
      </c>
      <c r="D48" t="inlineStr">
        <is>
          <t>unit</t>
        </is>
      </c>
      <c r="F48" t="s">
        <v>20</v>
      </c>
      <c r="G48" t="inlineStr">
        <is>
          <t xml:space="preserve">hydrogen fuel tank system, rail, 700 bar</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 xml:space="preserve">market for electricity storage capacity, battery, Li-ion, LFP, hydrogen train</t>
        </is>
      </c>
      <c r="B49">
        <v>9600.0</v>
      </c>
      <c r="C49" t="s">
        <v>3</v>
      </c>
      <c r="D49" t="inlineStr">
        <is>
          <t>kilowatt hour</t>
        </is>
      </c>
      <c r="F49" t="s">
        <v>20</v>
      </c>
      <c r="G49" t="inlineStr">
        <is>
          <t xml:space="preserve">electricity storage capacity, Li-ion, LFP, hydrogen train</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
PREVIOUS NOTES (retained as history; the correction above takes precedence):
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0.045</v>
      </c>
      <c r="C927" t="s">
        <v>23</v>
      </c>
      <c r="D927" t="s">
        <v>24</v>
      </c>
      <c r="E927" t="s">
        <v>13</v>
      </c>
      <c r="F927" t="s">
        <v>20</v>
      </c>
      <c r="G927" t="s">
        <v>265</v>
      </c>
      <c r="H927"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
PREVIOUS NOTES (retained as history; the correction above takes precedence):
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
PREVIOUS NOTES (retained as history; the correction above takes precedence):
Wolff et al. 2020, Sustainability, DOI: 10.3390/su12135396</t>
        </is>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t="inlineStr">
        <is>
          <t>comment</t>
        </is>
      </c>
    </row>
    <row r="939" spans="1:8" ns3:dyDescent="0.2">
      <c r="A939" t="s">
        <v>238</v>
      </c>
      <c r="B939">
        <v>1</v>
      </c>
      <c r="C939" t="s">
        <v>23</v>
      </c>
      <c r="D939" t="s">
        <v>24</v>
      </c>
      <c r="E939" t="s">
        <v>13</v>
      </c>
      <c r="F939" t="s">
        <v>20</v>
      </c>
      <c r="G939" t="s">
        <v>238</v>
      </c>
      <c r="H939"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inlineStr">
        <is>
          <t>market for aluminium, wrought alloy</t>
        </is>
      </c>
      <c r="B942">
        <v>1</v>
      </c>
      <c r="C942" t="inlineStr">
        <is>
          <t>GLO</t>
        </is>
      </c>
      <c r="D942" t="s">
        <v>24</v>
      </c>
      <c r="E942" t="s">
        <v>13</v>
      </c>
      <c r="F942" t="s">
        <v>20</v>
      </c>
      <c r="G942" t="inlineStr">
        <is>
          <t>aluminium, wrought alloy</t>
        </is>
      </c>
      <c r="H942"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t>
        </is>
      </c>
    </row>
    <row r="943" spans="1:8" ns3:dyDescent="0.2">
      <c r="A943" t="s">
        <v>268</v>
      </c>
      <c r="B943">
        <v>0.09671179883945841</v>
      </c>
      <c r="C943" t="s">
        <v>23</v>
      </c>
      <c r="D943" t="s">
        <v>269</v>
      </c>
      <c r="E943" t="s">
        <v>13</v>
      </c>
      <c r="F943" t="s">
        <v>20</v>
      </c>
      <c r="G943" t="s">
        <v>268</v>
      </c>
      <c r="H943"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 xml:space="preserve">electrical steel production, non-oriented</t>
        </is>
      </c>
    </row>
    <row r="969">
      <c r="A969" t="inlineStr">
        <is>
          <t>location</t>
        </is>
      </c>
      <c r="B969" t="inlineStr">
        <is>
          <t>GLO</t>
        </is>
      </c>
    </row>
    <row r="970">
      <c r="A970" t="inlineStr">
        <is>
          <t>production amount</t>
        </is>
      </c>
      <c r="B970">
        <v>1</v>
      </c>
    </row>
    <row r="971">
      <c r="A971" t="inlineStr">
        <is>
          <t>reference product</t>
        </is>
      </c>
      <c r="B971" t="inlineStr">
        <is>
          <t xml:space="preserve">electrical steel, non-oriented</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 xml:space="preserve">Nomenclature revision, 2026-10-19. Former activity name: non-oriented electrical steel, engineering alloy reference. Former reference product: non-oriented electrical steel, engineering alloy reference. Activity/product labels and supplier references only; coefficients, formulas, uncertainty, declared output and unit are unchanged. Original engineering assumptions, functional-unit basis and limitations remain below.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 xml:space="preserve">electrical steel production, non-oriented</t>
        </is>
      </c>
      <c r="B977">
        <v>1</v>
      </c>
      <c r="C977" t="inlineStr">
        <is>
          <t>GLO</t>
        </is>
      </c>
      <c r="D977" t="inlineStr">
        <is>
          <t>kilogram</t>
        </is>
      </c>
      <c r="F977" t="inlineStr">
        <is>
          <t>production</t>
        </is>
      </c>
      <c r="G977" t="inlineStr">
        <is>
          <t xml:space="preserve">electrical steel, non-oriented</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 xml:space="preserve">electric motor production, asynchronous, traction</t>
        </is>
      </c>
    </row>
    <row r="984">
      <c r="A984" t="inlineStr">
        <is>
          <t>location</t>
        </is>
      </c>
      <c r="B984" t="inlineStr">
        <is>
          <t>GLO</t>
        </is>
      </c>
    </row>
    <row r="985">
      <c r="A985" t="inlineStr">
        <is>
          <t>production amount</t>
        </is>
      </c>
      <c r="B985">
        <v>1</v>
      </c>
    </row>
    <row r="986">
      <c r="A986" t="inlineStr">
        <is>
          <t>reference product</t>
        </is>
      </c>
      <c r="B986" t="inlineStr">
        <is>
          <t xml:space="preserve">electric motor, asynchronous, traction</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 xml:space="preserve">Nomenclature revision, 2026-10-19. Former activity name: electric motor, asynchronous traction, engineering reference. Former reference product: electric motor, asynchronous traction, engineering reference. Activity/product labels and supplier references only; coefficients, formulas, uncertainty, declared output and unit are unchanged. Original engineering assumptions, functional-unit basis and limitations remain below.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 xml:space="preserve">electric motor production, asynchronous, traction</t>
        </is>
      </c>
      <c r="B992">
        <v>1</v>
      </c>
      <c r="C992" t="inlineStr">
        <is>
          <t>GLO</t>
        </is>
      </c>
      <c r="D992" t="inlineStr">
        <is>
          <t>kilogram</t>
        </is>
      </c>
      <c r="F992" t="inlineStr">
        <is>
          <t>production</t>
        </is>
      </c>
      <c r="G992" t="inlineStr">
        <is>
          <t xml:space="preserve">electric motor, asynchronous, traction</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 xml:space="preserve">electrical steel production, non-oriented</t>
        </is>
      </c>
      <c r="B994">
        <v>0.4627686156921539</v>
      </c>
      <c r="C994" t="inlineStr">
        <is>
          <t>GLO</t>
        </is>
      </c>
      <c r="D994" t="inlineStr">
        <is>
          <t>kilogram</t>
        </is>
      </c>
      <c r="F994" t="inlineStr">
        <is>
          <t>technosphere</t>
        </is>
      </c>
      <c r="G994" t="inlineStr">
        <is>
          <t xml:space="preserve">electrical steel, non-oriented</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 xml:space="preserve">power semiconductor module production, rail converter</t>
        </is>
      </c>
    </row>
    <row r="1005">
      <c r="A1005" t="inlineStr">
        <is>
          <t>location</t>
        </is>
      </c>
      <c r="B1005" t="inlineStr">
        <is>
          <t>GLO</t>
        </is>
      </c>
    </row>
    <row r="1006">
      <c r="A1006" t="inlineStr">
        <is>
          <t>production amount</t>
        </is>
      </c>
      <c r="B1006">
        <v>1</v>
      </c>
    </row>
    <row r="1007">
      <c r="A1007" t="inlineStr">
        <is>
          <t>reference product</t>
        </is>
      </c>
      <c r="B1007" t="inlineStr">
        <is>
          <t xml:space="preserve">power semiconductor module, rail converter</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 xml:space="preserve">Nomenclature revision, 2026-10-19. Former activity name: power semiconductor module, rail converter engineering reference. Former reference product: power semiconductor module, rail converter engineering reference. Activity/product labels and supplier references only; coefficients, formulas, uncertainty, declared output and unit are unchanged. Original engineering assumptions, functional-unit basis and limitations remain below.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 xml:space="preserve">power semiconductor module production, rail converter</t>
        </is>
      </c>
      <c r="B1013">
        <v>1</v>
      </c>
      <c r="C1013" t="inlineStr">
        <is>
          <t>GLO</t>
        </is>
      </c>
      <c r="D1013" t="inlineStr">
        <is>
          <t>kilogram</t>
        </is>
      </c>
      <c r="F1013" t="inlineStr">
        <is>
          <t>production</t>
        </is>
      </c>
      <c r="G1013" t="inlineStr">
        <is>
          <t xml:space="preserve">power semiconductor module, rail converter</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 xml:space="preserve">traction converter production, rail, medium voltage</t>
        </is>
      </c>
    </row>
    <row r="1024">
      <c r="A1024" t="inlineStr">
        <is>
          <t>location</t>
        </is>
      </c>
      <c r="B1024" t="inlineStr">
        <is>
          <t>GLO</t>
        </is>
      </c>
    </row>
    <row r="1025">
      <c r="A1025" t="inlineStr">
        <is>
          <t>production amount</t>
        </is>
      </c>
      <c r="B1025">
        <v>1</v>
      </c>
    </row>
    <row r="1026">
      <c r="A1026" t="inlineStr">
        <is>
          <t>reference product</t>
        </is>
      </c>
      <c r="B1026" t="inlineStr">
        <is>
          <t xml:space="preserve">traction converter, rail, medium voltage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 xml:space="preserve">Nomenclature revision, 2026-10-19. Former activity name: traction converter, medium-voltage rail engineering reference. Former reference product: traction converter, medium-voltage rail engineering reference. Activity/product labels and supplier references only; coefficients, formulas, uncertainty, declared output and unit are unchanged. Original engineering assumptions, functional-unit basis and limitations remain below.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 xml:space="preserve">traction converter production, rail, medium voltage</t>
        </is>
      </c>
      <c r="B1032">
        <v>1</v>
      </c>
      <c r="C1032" t="inlineStr">
        <is>
          <t>GLO</t>
        </is>
      </c>
      <c r="D1032" t="inlineStr">
        <is>
          <t>kilogram</t>
        </is>
      </c>
      <c r="F1032" t="inlineStr">
        <is>
          <t>production</t>
        </is>
      </c>
      <c r="G1032" t="inlineStr">
        <is>
          <t xml:space="preserve">traction converter, rail, medium voltage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 xml:space="preserve">power semiconductor module production, rail converter</t>
        </is>
      </c>
      <c r="B1039">
        <v>0.037369640787949014</v>
      </c>
      <c r="C1039" t="inlineStr">
        <is>
          <t>GLO</t>
        </is>
      </c>
      <c r="D1039" t="inlineStr">
        <is>
          <t>kilogram</t>
        </is>
      </c>
      <c r="F1039" t="inlineStr">
        <is>
          <t>technosphere</t>
        </is>
      </c>
      <c r="G1039" t="inlineStr">
        <is>
          <t xml:space="preserve">power semiconductor module, rail converter</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 xml:space="preserve">hydrogen fuel tank production, rail, type III cylinder, 700 bar</t>
        </is>
      </c>
    </row>
    <row r="1049">
      <c r="A1049" t="inlineStr">
        <is>
          <t>location</t>
        </is>
      </c>
      <c r="B1049" t="inlineStr">
        <is>
          <t>GLO</t>
        </is>
      </c>
    </row>
    <row r="1050">
      <c r="A1050" t="inlineStr">
        <is>
          <t>production amount</t>
        </is>
      </c>
      <c r="B1050">
        <v>1</v>
      </c>
    </row>
    <row r="1051">
      <c r="A1051" t="inlineStr">
        <is>
          <t>reference product</t>
        </is>
      </c>
      <c r="B1051" t="inlineStr">
        <is>
          <t xml:space="preserve">hydrogen fuel tank, rail, type III cylinder, 700 bar</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 xml:space="preserve">Nomenclature revision, 2026-10-19. Former activity name: hydrogen fuel tank, rail700bar TypeIII cylinder, engineering reference. Former reference product: hydrogen fuel tank, rail700bar TypeIII cylinder,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 xml:space="preserve">hydrogen fuel tank production, rail, type III cylinder, 700 bar</t>
        </is>
      </c>
      <c r="B1057">
        <v>1</v>
      </c>
      <c r="C1057" t="inlineStr">
        <is>
          <t>GLO</t>
        </is>
      </c>
      <c r="D1057" t="inlineStr">
        <is>
          <t>unit</t>
        </is>
      </c>
      <c r="F1057" t="inlineStr">
        <is>
          <t>production</t>
        </is>
      </c>
      <c r="G1057" t="inlineStr">
        <is>
          <t xml:space="preserve">hydrogen fuel tank, rail, type III cylinder, 700 bar</t>
        </is>
      </c>
      <c r="I1057" t="inlineStr">
        <is>
          <t xml:space="preserve">hydrogen fuel tank, rail, type III cylinder, 700 bar</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 xml:space="preserve">hydrogen fuel tank mounting rack production, rail</t>
        </is>
      </c>
    </row>
    <row r="1068">
      <c r="A1068" t="inlineStr">
        <is>
          <t>location</t>
        </is>
      </c>
      <c r="B1068" t="inlineStr">
        <is>
          <t>GLO</t>
        </is>
      </c>
    </row>
    <row r="1069">
      <c r="A1069" t="inlineStr">
        <is>
          <t>production amount</t>
        </is>
      </c>
      <c r="B1069">
        <v>1</v>
      </c>
    </row>
    <row r="1070">
      <c r="A1070" t="inlineStr">
        <is>
          <t>reference product</t>
        </is>
      </c>
      <c r="B1070" t="inlineStr">
        <is>
          <t xml:space="preserve">hydrogen fuel tank mounting rack, rail</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 xml:space="preserve">Nomenclature revision, 2026-10-19. Former activity name: hydrogen fuel tank, rail mounting rack, engineering reference. Former reference product: hydrogen fuel tank, rail mounting rack,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 xml:space="preserve">hydrogen fuel tank mounting rack production, rail</t>
        </is>
      </c>
      <c r="B1076">
        <v>1</v>
      </c>
      <c r="C1076" t="inlineStr">
        <is>
          <t>GLO</t>
        </is>
      </c>
      <c r="D1076" t="inlineStr">
        <is>
          <t>unit</t>
        </is>
      </c>
      <c r="F1076" t="inlineStr">
        <is>
          <t>production</t>
        </is>
      </c>
      <c r="G1076" t="inlineStr">
        <is>
          <t xml:space="preserve">hydrogen fuel tank mounting rack, rail</t>
        </is>
      </c>
      <c r="I1076" t="inlineStr">
        <is>
          <t xml:space="preserve">hydrogen fuel tank mounting rack, rail</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 xml:space="preserve">hydrogen fuel tank valve and control system production, rail</t>
        </is>
      </c>
    </row>
    <row r="1082">
      <c r="A1082" t="inlineStr">
        <is>
          <t>location</t>
        </is>
      </c>
      <c r="B1082" t="inlineStr">
        <is>
          <t>GLO</t>
        </is>
      </c>
    </row>
    <row r="1083">
      <c r="A1083" t="inlineStr">
        <is>
          <t>production amount</t>
        </is>
      </c>
      <c r="B1083">
        <v>1</v>
      </c>
    </row>
    <row r="1084">
      <c r="A1084" t="inlineStr">
        <is>
          <t>reference product</t>
        </is>
      </c>
      <c r="B1084" t="inlineStr">
        <is>
          <t xml:space="preserve">hydrogen fuel tank valve and control system, rail</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 xml:space="preserve">Nomenclature revision, 2026-10-19. Former activity name: hydrogen fuel tank, rail shared valves and controls, engineering reference. Former reference product: hydrogen fuel tank, rail shared valves and controls,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 xml:space="preserve">hydrogen fuel tank valve and control system production, rail</t>
        </is>
      </c>
      <c r="B1090">
        <v>1</v>
      </c>
      <c r="C1090" t="inlineStr">
        <is>
          <t>GLO</t>
        </is>
      </c>
      <c r="D1090" t="inlineStr">
        <is>
          <t>unit</t>
        </is>
      </c>
      <c r="F1090" t="inlineStr">
        <is>
          <t>production</t>
        </is>
      </c>
      <c r="G1090" t="inlineStr">
        <is>
          <t xml:space="preserve">hydrogen fuel tank valve and control system, rail</t>
        </is>
      </c>
      <c r="I1090" t="inlineStr">
        <is>
          <t xml:space="preserve">hydrogen fuel tank valve and control system, rail</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 xml:space="preserve">battery auxiliary interface and power conditioning unit production</t>
        </is>
      </c>
      <c r="B1096">
        <v>0.5</v>
      </c>
      <c r="C1096" t="inlineStr">
        <is>
          <t>GLO</t>
        </is>
      </c>
      <c r="D1096" t="inlineStr">
        <is>
          <t>kilogram</t>
        </is>
      </c>
      <c r="F1096" t="inlineStr">
        <is>
          <t>technosphere</t>
        </is>
      </c>
      <c r="G1096" t="inlineStr">
        <is>
          <t xml:space="preserve">battery auxiliary interface and power conditioning unit</t>
        </is>
      </c>
      <c r="I1096" t="inlineStr">
        <is>
          <t xml:space="preserve">battery auxiliary interface and power conditioning unit</t>
        </is>
      </c>
    </row>
    <row r="1099">
      <c r="A1099" t="inlineStr">
        <is>
          <t>Activity</t>
        </is>
      </c>
      <c r="B1099" t="inlineStr">
        <is>
          <t xml:space="preserve">hydrogen fuel tank system production, rail, 700 bar</t>
        </is>
      </c>
    </row>
    <row r="1100">
      <c r="A1100" t="inlineStr">
        <is>
          <t>location</t>
        </is>
      </c>
      <c r="B1100" t="inlineStr">
        <is>
          <t>GLO</t>
        </is>
      </c>
    </row>
    <row r="1101">
      <c r="A1101" t="inlineStr">
        <is>
          <t>production amount</t>
        </is>
      </c>
      <c r="B1101">
        <v>1</v>
      </c>
    </row>
    <row r="1102">
      <c r="A1102" t="inlineStr">
        <is>
          <t>reference product</t>
        </is>
      </c>
      <c r="B1102" t="inlineStr">
        <is>
          <t xml:space="preserve">hydrogen fuel tank system, rail, 700 bar</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 xml:space="preserve">Nomenclature revision, 2026-10-19. Former activity name: hydrogen fuel tank system, rail700bar lifetime reference. Former reference product: hydrogen fuel tank system, rail700bar lifetime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 xml:space="preserve">hydrogen fuel tank system production, rail, 700 bar</t>
        </is>
      </c>
      <c r="B1108">
        <v>1</v>
      </c>
      <c r="C1108" t="inlineStr">
        <is>
          <t>GLO</t>
        </is>
      </c>
      <c r="D1108" t="inlineStr">
        <is>
          <t>unit</t>
        </is>
      </c>
      <c r="F1108" t="inlineStr">
        <is>
          <t>production</t>
        </is>
      </c>
      <c r="G1108" t="inlineStr">
        <is>
          <t xml:space="preserve">hydrogen fuel tank system, rail, 700 bar</t>
        </is>
      </c>
      <c r="I1108" t="inlineStr">
        <is>
          <t xml:space="preserve">hydrogen fuel tank system, rail, 700 bar</t>
        </is>
      </c>
    </row>
    <row r="1109">
      <c r="A1109" t="inlineStr">
        <is>
          <t xml:space="preserve">hydrogen fuel tank production, rail, type III cylinder, 700 bar</t>
        </is>
      </c>
      <c r="B1109">
        <v>220</v>
      </c>
      <c r="C1109" t="inlineStr">
        <is>
          <t>GLO</t>
        </is>
      </c>
      <c r="D1109" t="inlineStr">
        <is>
          <t>unit</t>
        </is>
      </c>
      <c r="F1109" t="inlineStr">
        <is>
          <t>technosphere</t>
        </is>
      </c>
      <c r="G1109" t="inlineStr">
        <is>
          <t xml:space="preserve">hydrogen fuel tank, rail, type III cylinder, 700 bar</t>
        </is>
      </c>
      <c r="I1109" t="inlineStr">
        <is>
          <t xml:space="preserve">hydrogen fuel tank, rail, type III cylinder, 700 bar</t>
        </is>
      </c>
    </row>
    <row r="1110">
      <c r="A1110" t="inlineStr">
        <is>
          <t xml:space="preserve">hydrogen fuel tank mounting rack production, rail</t>
        </is>
      </c>
      <c r="B1110">
        <v>1</v>
      </c>
      <c r="C1110" t="inlineStr">
        <is>
          <t>GLO</t>
        </is>
      </c>
      <c r="D1110" t="inlineStr">
        <is>
          <t>unit</t>
        </is>
      </c>
      <c r="F1110" t="inlineStr">
        <is>
          <t>technosphere</t>
        </is>
      </c>
      <c r="G1110" t="inlineStr">
        <is>
          <t xml:space="preserve">hydrogen fuel tank mounting rack, rail</t>
        </is>
      </c>
      <c r="I1110" t="inlineStr">
        <is>
          <t xml:space="preserve">hydrogen fuel tank mounting rack, rail</t>
        </is>
      </c>
    </row>
    <row r="1111">
      <c r="A1111" t="inlineStr">
        <is>
          <t xml:space="preserve">hydrogen fuel tank valve and control system production, rail</t>
        </is>
      </c>
      <c r="B1111">
        <v>2</v>
      </c>
      <c r="C1111" t="inlineStr">
        <is>
          <t>GLO</t>
        </is>
      </c>
      <c r="D1111" t="inlineStr">
        <is>
          <t>unit</t>
        </is>
      </c>
      <c r="F1111" t="inlineStr">
        <is>
          <t>technosphere</t>
        </is>
      </c>
      <c r="G1111" t="inlineStr">
        <is>
          <t xml:space="preserve">hydrogen fuel tank valve and control system, rail</t>
        </is>
      </c>
      <c r="I1111" t="inlineStr">
        <is>
          <t xml:space="preserve">hydrogen fuel tank valve and control system, rail</t>
        </is>
      </c>
    </row>
    <row r="1114">
      <c r="A1114" t="inlineStr">
        <is>
          <t>Activity</t>
        </is>
      </c>
      <c r="B1114" t="inlineStr">
        <is>
          <t xml:space="preserve">excitation controller production, rail generator, analog</t>
        </is>
      </c>
    </row>
    <row r="1115">
      <c r="A1115" t="inlineStr">
        <is>
          <t>location</t>
        </is>
      </c>
      <c r="B1115" t="inlineStr">
        <is>
          <t>GLO</t>
        </is>
      </c>
    </row>
    <row r="1116">
      <c r="A1116" t="inlineStr">
        <is>
          <t>production amount</t>
        </is>
      </c>
      <c r="B1116">
        <v>1</v>
      </c>
    </row>
    <row r="1117">
      <c r="A1117" t="inlineStr">
        <is>
          <t>reference product</t>
        </is>
      </c>
      <c r="B1117" t="inlineStr">
        <is>
          <t xml:space="preserve">excitation controller, rail generator, analog</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 xml:space="preserve">Nomenclature revision, 2026-10-19. Former activity name: rail generator analog excitation controller, engineering material reference. Former reference product: rail generator analog excitation controller, engineering material reference. Activity/product labels and supplier references only; coefficients, formulas, uncertainty, declared output and unit are unchanged. Original engineering assumptions, functional-unit basis and limitations remain below.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 xml:space="preserve">excitation controller production, rail generator, analog</t>
        </is>
      </c>
      <c r="B1123">
        <v>1</v>
      </c>
      <c r="C1123" t="inlineStr">
        <is>
          <t>GLO</t>
        </is>
      </c>
      <c r="D1123" t="inlineStr">
        <is>
          <t>unit</t>
        </is>
      </c>
      <c r="F1123" t="inlineStr">
        <is>
          <t>production</t>
        </is>
      </c>
      <c r="G1123" t="inlineStr">
        <is>
          <t xml:space="preserve">excitation controller, rail generator, analog</t>
        </is>
      </c>
      <c r="I1123" t="inlineStr">
        <is>
          <t xml:space="preserve">excitation controller, rail generator, analog</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 xml:space="preserve">traction generator production, synchronous, rail</t>
        </is>
      </c>
    </row>
    <row r="1138">
      <c r="A1138" t="inlineStr">
        <is>
          <t>location</t>
        </is>
      </c>
      <c r="B1138" t="inlineStr">
        <is>
          <t>GLO</t>
        </is>
      </c>
    </row>
    <row r="1139">
      <c r="A1139" t="inlineStr">
        <is>
          <t>production amount</t>
        </is>
      </c>
      <c r="B1139">
        <v>1</v>
      </c>
    </row>
    <row r="1140">
      <c r="A1140" t="inlineStr">
        <is>
          <t>reference product</t>
        </is>
      </c>
      <c r="B1140" t="inlineStr">
        <is>
          <t xml:space="preserve">traction generator, synchronous, rail</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 xml:space="preserve">Nomenclature revision, 2026-10-19. Former activity name: rail powertrain generator, synchronous engineering reference. Former reference product: rail powertrain generator, synchronous engineering reference. Activity/product labels and supplier references only; coefficients, formulas, uncertainty, declared output and unit are unchanged. Original engineering assumptions, functional-unit basis and limitations remain below.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 xml:space="preserve">traction generator production, synchronous, rail</t>
        </is>
      </c>
      <c r="B1146">
        <v>1</v>
      </c>
      <c r="C1146" t="inlineStr">
        <is>
          <t>GLO</t>
        </is>
      </c>
      <c r="D1146" t="inlineStr">
        <is>
          <t>kilogram</t>
        </is>
      </c>
      <c r="F1146" t="inlineStr">
        <is>
          <t>production</t>
        </is>
      </c>
      <c r="G1146" t="inlineStr">
        <is>
          <t xml:space="preserve">traction generator, synchronous, rail</t>
        </is>
      </c>
      <c r="I1146" t="inlineStr">
        <is>
          <t xml:space="preserve">traction generator, synchronous, rail</t>
        </is>
      </c>
    </row>
    <row r="1147">
      <c r="A1147" t="inlineStr">
        <is>
          <t xml:space="preserve">electrical steel production, non-oriented</t>
        </is>
      </c>
      <c r="B1147">
        <v>0.2713339966810987</v>
      </c>
      <c r="C1147" t="inlineStr">
        <is>
          <t>GLO</t>
        </is>
      </c>
      <c r="D1147" t="inlineStr">
        <is>
          <t>kilogram</t>
        </is>
      </c>
      <c r="F1147" t="inlineStr">
        <is>
          <t>technosphere</t>
        </is>
      </c>
      <c r="G1147" t="inlineStr">
        <is>
          <t xml:space="preserve">electrical steel, non-oriented</t>
        </is>
      </c>
      <c r="I1147" t="inlineStr">
        <is>
          <t xml:space="preserve">electrical steel, non-oriented</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 xml:space="preserve">excitation controller production, rail generator, analog</t>
        </is>
      </c>
      <c r="B1154">
        <v>0.00014184397163120567</v>
      </c>
      <c r="C1154" t="inlineStr">
        <is>
          <t>GLO</t>
        </is>
      </c>
      <c r="D1154" t="inlineStr">
        <is>
          <t>unit</t>
        </is>
      </c>
      <c r="F1154" t="inlineStr">
        <is>
          <t>technosphere</t>
        </is>
      </c>
      <c r="G1154" t="inlineStr">
        <is>
          <t xml:space="preserve">excitation controller, rail generator, analog</t>
        </is>
      </c>
      <c r="I1154" t="inlineStr">
        <is>
          <t xml:space="preserve">excitation controller, rail generator, analog</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