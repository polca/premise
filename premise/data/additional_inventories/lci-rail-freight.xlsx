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<sst xmlns="http://schemas.openxmlformats.org/spreadsheetml/2006/main" count="4397" uniqueCount="280">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</sst>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966"/>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s">
        <v>11</v>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s">
        <v>22</v>
      </c>
    </row>
    <row r="13" spans="1:8" ns3:dyDescent="0.2">
      <c r="A13" t="s">
        <v>270</v>
      </c>
      <c r="B13">
        <v>91.16651797151124</v>
      </c>
      <c r="C13" t="s">
        <v>23</v>
      </c>
      <c r="D13" t="s">
        <v>24</v>
      </c>
      <c r="F13" t="s">
        <v>20</v>
      </c>
      <c r="G13" t="s">
        <v>25</v>
      </c>
      <c r="H13" t="s">
        <v>26</v>
      </c>
    </row>
    <row r="14" spans="1:8" ns3:dyDescent="0.2">
      <c r="A14" t="s">
        <v>266</v>
      </c>
      <c r="B14">
        <v>9593.181818181818</v>
      </c>
      <c r="C14" t="s">
        <v>23</v>
      </c>
      <c r="D14" t="s">
        <v>24</v>
      </c>
      <c r="F14" t="s">
        <v>20</v>
      </c>
      <c r="G14" t="s">
        <v>27</v>
      </c>
      <c r="H14" t="s">
        <v>28</v>
      </c>
    </row>
    <row r="15" spans="1:8" ns3:dyDescent="0.2">
      <c r="A15" t="s">
        <v>271</v>
      </c>
      <c r="B15">
        <v>4410</v>
      </c>
      <c r="C15" t="s">
        <v>3</v>
      </c>
      <c r="D15" t="s">
        <v>24</v>
      </c>
      <c r="F15" t="s">
        <v>20</v>
      </c>
      <c r="G15" t="s">
        <v>272</v>
      </c>
      <c r="H15" t="s">
        <v>29</v>
      </c>
    </row>
    <row r="16" spans="1:8" ns3:dyDescent="0.2">
      <c r="A16" t="s">
        <v>30</v>
      </c>
      <c r="B16">
        <f>24*53</f>
        <v>1272</v>
      </c>
      <c r="C16" t="s">
        <v>3</v>
      </c>
      <c r="D16" t="s">
        <v>24</v>
      </c>
      <c r="F16" t="s">
        <v>20</v>
      </c>
      <c r="G16" t="s">
        <v>31</v>
      </c>
      <c r="H16" t="s">
        <v>32</v>
      </c>
    </row>
    <row r="17" spans="1:8" ns3:dyDescent="0.2">
      <c r="A17" t="s">
        <v>33</v>
      </c>
      <c r="B17">
        <f>1013.33333333333*4.5</f>
        <v>4559.9999999999845</v>
      </c>
      <c r="C17" t="s">
        <v>3</v>
      </c>
      <c r="D17" t="s">
        <v>24</v>
      </c>
      <c r="F17" t="s">
        <v>20</v>
      </c>
      <c r="G17" t="s">
        <v>34</v>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s">
        <v>39</v>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s">
        <v>30</v>
      </c>
      <c r="B31">
        <f>70*53</f>
        <v>3710</v>
      </c>
      <c r="C31" t="s">
        <v>3</v>
      </c>
      <c r="D31" t="s">
        <v>24</v>
      </c>
      <c r="F31" t="s">
        <v>20</v>
      </c>
      <c r="G31" t="s">
        <v>31</v>
      </c>
      <c r="H31" t="s">
        <v>43</v>
      </c>
    </row>
    <row r="32" spans="1:8" ns3:dyDescent="0.2">
      <c r="A32" t="s">
        <v>33</v>
      </c>
      <c r="B32">
        <f>2302.22222222222*4.5</f>
        <v>10359.999999999989</v>
      </c>
      <c r="C32" t="s">
        <v>3</v>
      </c>
      <c r="D32" t="s">
        <v>24</v>
      </c>
      <c r="F32" t="s">
        <v>20</v>
      </c>
      <c r="G32" t="s">
        <v>34</v>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s">
        <v>276</v>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s">
        <v>30</v>
      </c>
      <c r="B45">
        <f>25*53</f>
        <v>1325</v>
      </c>
      <c r="C45" t="s">
        <v>3</v>
      </c>
      <c r="D45" t="s">
        <v>24</v>
      </c>
      <c r="F45" t="s">
        <v>20</v>
      </c>
      <c r="G45" t="s">
        <v>31</v>
      </c>
      <c r="H45" t="s">
        <v>47</v>
      </c>
    </row>
    <row r="46" spans="1:8" ns3:dyDescent="0.2">
      <c r="A46" t="s">
        <v>33</v>
      </c>
      <c r="B46">
        <f>506.666666666667*4.5</f>
        <v>2280.0000000000018</v>
      </c>
      <c r="C46" t="s">
        <v>3</v>
      </c>
      <c r="D46" t="s">
        <v>24</v>
      </c>
      <c r="F46" t="s">
        <v>20</v>
      </c>
      <c r="G46" t="s">
        <v>34</v>
      </c>
      <c r="H46" t="s">
        <v>48</v>
      </c>
    </row>
    <row r="47" spans="1:8" ns3:dyDescent="0.2">
      <c r="A47" t="s">
        <v>49</v>
      </c>
      <c r="B47">
        <v>6880</v>
      </c>
      <c r="C47" t="s">
        <v>3</v>
      </c>
      <c r="D47" t="s">
        <v>9</v>
      </c>
      <c r="F47" t="s">
        <v>20</v>
      </c>
      <c r="G47" t="s">
        <v>50</v>
      </c>
      <c r="H47" t="s">
        <v>51</v>
      </c>
    </row>
    <row r="48" spans="1:8" ns3:dyDescent="0.2">
      <c r="A48" t="s">
        <v>52</v>
      </c>
      <c r="B48">
        <v>30323.845714285719</v>
      </c>
      <c r="C48" t="s">
        <v>23</v>
      </c>
      <c r="D48" t="s">
        <v>24</v>
      </c>
      <c r="F48" t="s">
        <v>20</v>
      </c>
      <c r="G48" t="s">
        <v>53</v>
      </c>
      <c r="H48" t="s">
        <v>54</v>
      </c>
    </row>
    <row r="49" spans="1:8" ns3:dyDescent="0.2">
      <c r="A49" t="s">
        <v>273</v>
      </c>
      <c r="B49">
        <v>67404.255319148942</v>
      </c>
      <c r="C49" t="s">
        <v>3</v>
      </c>
      <c r="D49" t="s">
        <v>24</v>
      </c>
      <c r="F49" t="s">
        <v>20</v>
      </c>
      <c r="G49" t="s">
        <v>274</v>
      </c>
      <c r="H49" t="s">
        <v>55</v>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s">
        <v>65</v>
      </c>
      <c r="H62" t="s">
        <v>66</v>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s">
        <v>121</v>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s">
        <v>126</v>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s">
        <v>65</v>
      </c>
      <c r="H160" t="s">
        <v>128</v>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s">
        <v>121</v>
      </c>
      <c r="H201" t="s">
        <v>134</v>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s">
        <v>65</v>
      </c>
      <c r="H242" t="s">
        <v>135</v>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s">
        <v>65</v>
      </c>
      <c r="H281" t="s">
        <v>137</v>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s">
        <v>65</v>
      </c>
      <c r="H321" t="s">
        <v>138</v>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s">
        <v>65</v>
      </c>
      <c r="H362" t="s">
        <v>139</v>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s">
        <v>65</v>
      </c>
      <c r="H401" t="s">
        <v>141</v>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s">
        <v>65</v>
      </c>
      <c r="H442" t="s">
        <v>144</v>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s">
        <v>65</v>
      </c>
      <c r="H483" t="s">
        <v>145</v>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s">
        <v>65</v>
      </c>
      <c r="H522" t="s">
        <v>149</v>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s">
        <v>65</v>
      </c>
      <c r="H563" t="s">
        <v>149</v>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s">
        <v>65</v>
      </c>
      <c r="H604" t="s">
        <v>152</v>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s">
        <v>65</v>
      </c>
      <c r="H643" t="s">
        <v>153</v>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s">
        <v>65</v>
      </c>
      <c r="H824" t="s">
        <v>226</v>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s">
        <v>65</v>
      </c>
      <c r="H865" t="s">
        <v>227</v>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s">
        <v>234</v>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row>
    <row r="905" spans="1:8" ns3:dyDescent="0.2">
      <c r="A905" t="s">
        <v>236</v>
      </c>
      <c r="B905">
        <v>0.01</v>
      </c>
      <c r="C905" t="s">
        <v>3</v>
      </c>
      <c r="D905" t="s">
        <v>24</v>
      </c>
      <c r="E905" t="s">
        <v>13</v>
      </c>
      <c r="F905" t="s">
        <v>20</v>
      </c>
      <c r="G905" t="s">
        <v>237</v>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s">
        <v>260</v>
      </c>
      <c r="B922">
        <v>0.15</v>
      </c>
      <c r="C922" t="s">
        <v>3</v>
      </c>
      <c r="D922" t="s">
        <v>24</v>
      </c>
      <c r="E922" t="s">
        <v>13</v>
      </c>
      <c r="F922" t="s">
        <v>20</v>
      </c>
      <c r="G922" t="s">
        <v>261</v>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0.45</v>
      </c>
      <c r="C927" t="s">
        <v>23</v>
      </c>
      <c r="D927" t="s">
        <v>24</v>
      </c>
      <c r="E927" t="s">
        <v>13</v>
      </c>
      <c r="F927" t="s">
        <v>20</v>
      </c>
      <c r="G927" t="s">
        <v>265</v>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s">
        <v>234</v>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row>
    <row r="939" spans="1:8" ns3:dyDescent="0.2">
      <c r="A939" t="s">
        <v>238</v>
      </c>
      <c r="B939">
        <v>1</v>
      </c>
      <c r="C939" t="s">
        <v>23</v>
      </c>
      <c r="D939" t="s">
        <v>24</v>
      </c>
      <c r="E939" t="s">
        <v>13</v>
      </c>
      <c r="F939" t="s">
        <v>20</v>
      </c>
      <c r="G939" t="s">
        <v>238</v>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s">
        <v>260</v>
      </c>
      <c r="B942">
        <v>1</v>
      </c>
      <c r="C942" t="s">
        <v>3</v>
      </c>
      <c r="D942" t="s">
        <v>24</v>
      </c>
      <c r="E942" t="s">
        <v>13</v>
      </c>
      <c r="F942" t="s">
        <v>20</v>
      </c>
      <c r="G942" t="s">
        <v>261</v>
      </c>
    </row>
    <row r="943" spans="1:8" ns3:dyDescent="0.2">
      <c r="A943" t="s">
        <v>268</v>
      </c>
      <c r="B943">
        <v>5</v>
      </c>
      <c r="C943" t="s">
        <v>23</v>
      </c>
      <c r="D943" t="s">
        <v>269</v>
      </c>
      <c r="E943" t="s">
        <v>13</v>
      </c>
      <c r="F943" t="s">
        <v>20</v>
      </c>
      <c r="G943" t="s">
        <v>268</v>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carbon fiber production, weaved, at factory, carculator regional truck 2020</t>
        </is>
      </c>
      <c r="B960">
        <v>0.1756046267087277</v>
      </c>
      <c r="C960" t="inlineStr">
        <is>
          <t>RER</t>
        </is>
      </c>
      <c r="D960" t="inlineStr">
        <is>
          <t>kilogram</t>
        </is>
      </c>
      <c r="F960" t="inlineStr">
        <is>
          <t>technosphere</t>
        </is>
      </c>
      <c r="G960" t="inlineStr">
        <is>
          <t>carbon fiber, weaved</t>
        </is>
      </c>
      <c r="H960" t="inlineStr">
        <is>
          <t>(19.873) kg / 113.169 kg dry assembly = 0.175604626709 kg/kg. Material input. Evangelisti et al. (2017), supplementary Hydrogen tank (Scenario S17). Preserve existing supplier proxy. Linked to the retained canonical regional-truck component supplier.</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