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rlouw_t\Documents\Projects\premise_trails\dev\trails\"/>
    </mc:Choice>
  </mc:AlternateContent>
  <xr:revisionPtr revIDLastSave="0" documentId="13_ncr:1_{D9DDCD3C-FB8A-4CB8-85D1-936911740A2D}" xr6:coauthVersionLast="47" xr6:coauthVersionMax="47" xr10:uidLastSave="{00000000-0000-0000-0000-000000000000}"/>
  <bookViews>
    <workbookView xWindow="2940" yWindow="-21600" windowWidth="26010" windowHeight="20985" activeTab="1" xr2:uid="{00000000-000D-0000-FFFF-FFFF00000000}"/>
  </bookViews>
  <sheets>
    <sheet name="README" sheetId="1" r:id="rId1"/>
    <sheet name="Group_Assumptions" sheetId="2" r:id="rId2"/>
    <sheet name="Keyword_Mapping" sheetId="3" r:id="rId3"/>
    <sheet name="PreCodex_Rules" sheetId="4" r:id="rId4"/>
    <sheet name="PreCodex_Examp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J5" i="5" s="1"/>
  <c r="E5" i="5"/>
  <c r="G4" i="5"/>
  <c r="J4" i="5" s="1"/>
  <c r="E4" i="5"/>
  <c r="G3" i="5"/>
  <c r="J3" i="5" s="1"/>
  <c r="G2" i="5"/>
  <c r="J2" i="5" s="1"/>
  <c r="E2" i="5"/>
  <c r="I2" i="5" l="1"/>
  <c r="I4" i="5"/>
  <c r="I5" i="5"/>
</calcChain>
</file>

<file path=xl/sharedStrings.xml><?xml version="1.0" encoding="utf-8"?>
<sst xmlns="http://schemas.openxmlformats.org/spreadsheetml/2006/main" count="542" uniqueCount="329">
  <si>
    <t>Stock asset grouped temporal defaults</t>
  </si>
  <si>
    <t>What this workbook does</t>
  </si>
  <si>
    <t>1) Provides grouped default temporal distributions for common stock-asset classes.</t>
  </si>
  <si>
    <t>2) Adds keyword-to-group mappings for reference-product matching.</t>
  </si>
  <si>
    <t>3) Interprets distribution type / loc / min / max as a grouped stock-age / fleet-vintage proxy: loc is the modal installation age of the in-service fleet before the analysis year.</t>
  </si>
  <si>
    <t>4) Uses grouped fleet-age assumptions before Codex review; operational energy, fuel, chemicals, and process emissions remain out of scope for these stock-asset defaults.</t>
  </si>
  <si>
    <t>5) Keeps newest assets earlier than operation start (group maximum should stay earlier than -1 year, and usually several years earlier for infrastructure).</t>
  </si>
  <si>
    <t>Recommended precedence</t>
  </si>
  <si>
    <t>1) ecoinvent_direct_lifetime_years (binding if available and plausible)</t>
  </si>
  <si>
    <t>2) ecoinvent_inferred_median_years</t>
  </si>
  <si>
    <t>3) iedc_lifetime_median_years</t>
  </si>
  <si>
    <t>4) grouped preliminary temporal defaults</t>
  </si>
  <si>
    <t>5) current TRAILS lifetime / parameters</t>
  </si>
  <si>
    <t>How to interpret the grouped profiles</t>
  </si>
  <si>
    <t>Triangular (type 5): use when emissions are front-loaded at manufacture/construction or replacement, with at most a small later tail.</t>
  </si>
  <si>
    <t>Uniform (type 4): keep only as a legacy option when burdens truly need to be approximated as spread over the service life; it is no longer used for short-life replaceables in this workbook.</t>
  </si>
  <si>
    <t>Normal / lognormal: reserve for special cases; now used for vehicle groups where production timing is positive/right-skewed and triangular is mainly a fallback when only min/mode/max can be defended.</t>
  </si>
  <si>
    <t>Lognormal (type 2) in this workbook is interpreted as a mirrored pre-commissioning timing proxy: loc = median lag before commissioning (negative years), scale = geometric spread factor (GSD), truncated to the lifetime interval.</t>
  </si>
  <si>
    <t>Important note</t>
  </si>
  <si>
    <t>These defaults are grouped priors for pre-Codex support. They are not meant to override direct ecoinvent evidence, and they should be read as timing proxies for asset-related burdens.</t>
  </si>
  <si>
    <t>group</t>
  </si>
  <si>
    <t>lifetime</t>
  </si>
  <si>
    <t>age distribution type</t>
  </si>
  <si>
    <t>age distribution description</t>
  </si>
  <si>
    <t>loc</t>
  </si>
  <si>
    <t>scale</t>
  </si>
  <si>
    <t>minimum</t>
  </si>
  <si>
    <t>maximum</t>
  </si>
  <si>
    <t>param_confidence</t>
  </si>
  <si>
    <t>basis_type</t>
  </si>
  <si>
    <t>confidence</t>
  </si>
  <si>
    <t>source_short</t>
  </si>
  <si>
    <t>source_url</t>
  </si>
  <si>
    <t>notes</t>
  </si>
  <si>
    <t>buildings</t>
  </si>
  <si>
    <t>5: triangular | Uses loc, minimum, and maximum. | Installed stock assets are concentrated around a modal fleet vintage (loc) within the age interval; loc is years before the analysis year.</t>
  </si>
  <si>
    <t>medium</t>
  </si>
  <si>
    <t>average fleet vintage proxy from older building stock</t>
  </si>
  <si>
    <t>BUILD UP EU building stock age; BPIE building stock age</t>
  </si>
  <si>
    <t>https://build-up.ec.europa.eu/en/resources-and-tools/articles/overview-decarbonising-non-residential-building-stock ; https://www.bpie.eu/wp-content/uploads/2015/10/EU-B-under-the-mic_executive-summary.pdf</t>
  </si>
  <si>
    <t>Reinterpreted as fleet age, not emission timing. EU building stocks are old: 45.4% of stock was built before 1969 and 75.4% before 1990, so a modal in-service vintage around 40–50 years before the analysis year is more plausible than a near-construction pulse.</t>
  </si>
  <si>
    <t>roads_pavements</t>
  </si>
  <si>
    <t>average fleet vintage proxy from mature road stocks</t>
  </si>
  <si>
    <t>StatsCan infrastructure age; WTW ageing infrastructure</t>
  </si>
  <si>
    <t>https://housing-infrastructure.canada.ca/prog/doc/booklet-livret02-fig02-eng.html ; https://www.wtwco.com/-/media/wtw/insights/2018/11/ageing-infrastructure-more-than-a-bump-in-the-road.pdf</t>
  </si>
  <si>
    <t>Road and highway stocks are mature rather than newly built: Statistics Canada reported roads/highways at roughly 16 years average age in 2003, while mature economies often run road networks for decades. Use a moderately old modal fleet vintage rather than a strongly front-loaded profile.</t>
  </si>
  <si>
    <t>rail_infrastructure</t>
  </si>
  <si>
    <t>average fleet vintage proxy from observed track ages</t>
  </si>
  <si>
    <t>France rail network age; rail asset management guidance</t>
  </si>
  <si>
    <t>https://www.autorite-transports.fr/wp-content/uploads/2024/03/main_report_rail-market_monitoring_france_2022.pdf ; https://www.transport-community.org/wp-content/uploads/2019/12/Railway-Infrastructure-Asset-Management-System-RI-AMS-CONNECTA.pdf</t>
  </si>
  <si>
    <t>A direct rail-infrastructure anchor exists: the French national rail network had an average track age of 28.4 years in 2022 against a theoretical track life of about 51 years. A modal vintage in the high-20s is therefore a reasonable grouped proxy.</t>
  </si>
  <si>
    <t>bridges_tunnels_civil_structures</t>
  </si>
  <si>
    <t>average fleet vintage proxy from bridge asset age</t>
  </si>
  <si>
    <t>ASCE/Global X bridge age; long-life civil structures</t>
  </si>
  <si>
    <t>https://www.globalxetfs.com/articles/america-s-infrastructure-report-card-in-2025-still-behind-still-underfunded/ ; https://www.ucs.org/sites/default/files/attach/gw-smart-infrastructure-table-life-expectancy.pdf</t>
  </si>
  <si>
    <t>Bridge stocks in mature networks are old; recent infrastructure summaries cite average bridge asset age around 47 years, while bridges and major civil structures commonly have 50–100 year service lives. Use a modal vintage around the mid-life of the current fleet.</t>
  </si>
  <si>
    <t>waterways_canals_harbours</t>
  </si>
  <si>
    <t>average fleet vintage proxy from long-lived navigation structures</t>
  </si>
  <si>
    <t>USACE navigation structure age; WTW ageing infrastructure</t>
  </si>
  <si>
    <t>https://www.iwr.usace.army.mil/Missions/Value-to-the-Nation/Fast-Facts/Capital-Stock/Infrastructure-Age/ ; https://www.wtwco.com/-/media/wtw/insights/2018/11/ageing-infrastructure-more-than-a-bump-in-the-road.pdf</t>
  </si>
  <si>
    <t>Navigation and harbour assets are typically very old in-service stocks; USACE reports median age of navigation structures around 60 years. Use an older modal fleet vintage with a long historical tail.</t>
  </si>
  <si>
    <t>pipelines_buried_pipe_networks</t>
  </si>
  <si>
    <t>average fleet vintage proxy from old buried network stocks</t>
  </si>
  <si>
    <t>IOM3 ageing water infrastructure; TEPPFA pipe lifetime</t>
  </si>
  <si>
    <t>https://www.iom3.org/resource/reviving-ageing-infrastructure.html ; https://www.teppfa.eu/wp-content/uploads/2024-04-25-Meta-study-100-years-of-lifetime-of-plastic-pipes.pdf</t>
  </si>
  <si>
    <t>Buried pipe and water-main stocks are typically old and slowly replaced; recent engineering summaries note that around 60% of mains infrastructure in England and Wales was built before 1981. Use a modal fleet vintage around the mid-40s for long-lived buried networks.</t>
  </si>
  <si>
    <t>electricity_grids_substations</t>
  </si>
  <si>
    <t>average fleet vintage proxy from ageing grid assets</t>
  </si>
  <si>
    <t>Robeco grid age; WJARR ageing electrical infrastructure</t>
  </si>
  <si>
    <t>https://www.robeco.com/en-int/insights/2024/07/in-the-ai-race-electricity-grids-are-showing-their-age ; https://wjarr.com/sites/default/files/WJARR-2023-1723.pdf</t>
  </si>
  <si>
    <t>Grid assets are mature fleets: the majority of distribution lines in industrialized countries are more than 20 years old, and the U.S. grid is often characterized as roughly 40 years old on average. Use a modal fleet vintage around 30 years with newer additions still bounded before operation start.</t>
  </si>
  <si>
    <t>power_plants_general</t>
  </si>
  <si>
    <t>low</t>
  </si>
  <si>
    <t>average fleet vintage proxy from ageing generation fleets</t>
  </si>
  <si>
    <t>Ageing power fleets; NIESR service-life context</t>
  </si>
  <si>
    <t>https://visualizingenergy.org/age-of-nuclear-reactor-fleets-by-country/ ; https://www.niesr.ac.uk/wp-content/uploads/2021/10/DP474.pdf</t>
  </si>
  <si>
    <t>Generic generation assets are heterogeneous, so this remains a coarse grouped proxy. Ageing power-fleet evidence suggests modal vintages around the high teens to low twenties are more credible than a near-new stock assumption.</t>
  </si>
  <si>
    <t>wind_farms_turbines</t>
  </si>
  <si>
    <t>high</t>
  </si>
  <si>
    <t>average fleet vintage proxy from observed EU wind age</t>
  </si>
  <si>
    <t>SETIS/JRC wind fleet age</t>
  </si>
  <si>
    <t>https://setis.ec.europa.eu/document/download/6dfe5811-a603-42da-8298-2cc636ae1579_en?filename=JRC131723_wind_energy_circularity_challenges_v7.pdf&amp;prefLang=pt</t>
  </si>
  <si>
    <t>As of 2022, the average age of wind turbines in the EU was 13.7 years against an operational lifetime of 20–25 years. Use a modal fleet vintage around 14 years and keep the newest in-service assets at least two years before the analysis year.</t>
  </si>
  <si>
    <t>pv_systems</t>
  </si>
  <si>
    <t>average fleet vintage proxy from rapidly growing PV stock</t>
  </si>
  <si>
    <t>First Solar PV fleet age; Fraunhofer PV facts</t>
  </si>
  <si>
    <t>https://www.firstsolar.com/-/media/First-Solar/Knowledge-Center/Articles/The-Value-of-Stability-in-PV.pdf ; https://www.ise.fraunhofer.de/content/dam/ise/en/documents/publications/studies/recent-facts-about-photovoltaics-in-germany.pdf</t>
  </si>
  <si>
    <t>Large-scale PV fleets are still relatively young: recent literature shows a low average fleet age during rapid growth (around 13.2 years under continued expansion). Use a young-to-midlife modal fleet vintage, not a near-construction pulse.</t>
  </si>
  <si>
    <t>industrial_machinery_plant</t>
  </si>
  <si>
    <t>stable replacement-cycle fleet vintage proxy</t>
  </si>
  <si>
    <t>NIESR service-life context; engineering proxy</t>
  </si>
  <si>
    <t>https://www.niesr.ac.uk/wp-content/uploads/2021/10/DP474.pdf</t>
  </si>
  <si>
    <t>Direct stock-age benchmarks are scarce for generic industrial plant equipment, so this remains a grouped engineering proxy anchored to service-life context. A modal fleet vintage around half-life is more consistent with an operating installed base than the prior front-loaded interpretation.</t>
  </si>
  <si>
    <t>water_wastewater_treatment_equipment</t>
  </si>
  <si>
    <t>installed treatment-equipment fleet vintage proxy</t>
  </si>
  <si>
    <t>StatsCan wastewater asset age; engineering equipment proxy</t>
  </si>
  <si>
    <t>https://housing-infrastructure.canada.ca/prog/doc/booklet-livret02-fig02-eng.html</t>
  </si>
  <si>
    <t>Wastewater-treatment assets were around 19 years old on average in Canadian public-capital data, but equipment within plants is generally younger than civil basins. Use a modal vintage near 12 years as a practical grouped equipment proxy.</t>
  </si>
  <si>
    <t>hvac_systems</t>
  </si>
  <si>
    <t>building-services fleet vintage proxy</t>
  </si>
  <si>
    <t>Building-services engineering proxy; ETH Zurich context</t>
  </si>
  <si>
    <t>https://www.research-collection.ethz.ch/bitstreams/83770dc5-8a36-4715-9ded-395c3e21fb72/download</t>
  </si>
  <si>
    <t>HVAC systems turn over faster than the building shell but are still stock assets with an installed-age distribution. In the absence of harmonized fleet-age datasets, use a midlife modal vintage around 10 years for grouped pre-Codex defaults.</t>
  </si>
  <si>
    <t>filters_replaceable</t>
  </si>
  <si>
    <t>4: uniform | Uses minimum and maximum. | Installed stock assets are spread approximately evenly over the replacement cycle between the oldest and newest in-service units.</t>
  </si>
  <si>
    <t>staggered replacement-cycle stock proxy</t>
  </si>
  <si>
    <t>Engineering replacement-cycle proxy</t>
  </si>
  <si>
    <t/>
  </si>
  <si>
    <t>Replaceable filters are routinely staggered through short replacement cycles. A uniform stock-age proxy is appropriate when many units in service are distributed across the 1–3 year replacement window.</t>
  </si>
  <si>
    <t>uv_lamps_equipment</t>
  </si>
  <si>
    <t>EPA water disinfection context; engineering replacement-cycle proxy</t>
  </si>
  <si>
    <t>https://www.researchgate.net/publication/316992173_Environmental_and_Cost_Life_Cycle_Assessment_of_Disinfection_Options_for_Municipal_Drinking_Water_Treatment</t>
  </si>
  <si>
    <t>UV lamps are short-lived components with staggered replacement vintages in the installed stock. A uniform stock-age proxy across the in-service replacement cycle is more appropriate than an emission-timing interpretation.</t>
  </si>
  <si>
    <t>vehicles_cars_vans_buses</t>
  </si>
  <si>
    <t>observed fleet-age proxy for light road vehicles</t>
  </si>
  <si>
    <t>ACEA average fleet age</t>
  </si>
  <si>
    <t>https://www.acea.auto/figure/average-age-of-eu-vehicle-fleet-by-country/</t>
  </si>
  <si>
    <t>vehicles_trucks_heavy_duty</t>
  </si>
  <si>
    <t>observed fleet-age proxy for heavy-duty vehicles</t>
  </si>
  <si>
    <t>EU truck fleets average 13.9 years old, so a grouped stock lifetime of 16 years with a modal vintage around 12 years is more plausible than a shorter lifetime with the same old fleet.</t>
  </si>
  <si>
    <t>ships_vessels</t>
  </si>
  <si>
    <t>observed fleet-age proxy for operating vessel stocks</t>
  </si>
  <si>
    <t>UNCTAD fleet age</t>
  </si>
  <si>
    <t>https://unctad.org/system/files/official-document/rmt2024ch2_en.pdf</t>
  </si>
  <si>
    <t>The global fleet averaged 12.5 years by deadweight tonnage and 22.4 years by vessel count at the start of 2024. A 30-year grouped life with a modal in-service vintage around 15 years is a reasonable cross-segment proxy.</t>
  </si>
  <si>
    <t>aircraft</t>
  </si>
  <si>
    <t>observed fleet-age proxy for commercial aircraft</t>
  </si>
  <si>
    <t>IATA global commercial aircraft fleet</t>
  </si>
  <si>
    <t>https://www.iata.org/en/iata-repository/publications/economic-reports/the-global-commercial-aircraft-fleet/</t>
  </si>
  <si>
    <t>IATA reports an average global commercial fleet age of about 15 years. Use a 25-year grouped life with a modal fleet vintage around 15 years and keep the newest installed assets several years before the analysis year.</t>
  </si>
  <si>
    <t>charging_infrastructure_equipment</t>
  </si>
  <si>
    <t>young stock proxy for charging infrastructure</t>
  </si>
  <si>
    <t>Engineering fleet-vintage proxy</t>
  </si>
  <si>
    <t>Charging infrastructure fleets are still young because deployment has accelerated only in the last decade. Use a recent modal vintage around five years before the analysis year and do not allow assets newer than two years before operation start.</t>
  </si>
  <si>
    <t xml:space="preserve"> pantograph chargers</t>
  </si>
  <si>
    <t xml:space="preserve"> DC fast chargers</t>
  </si>
  <si>
    <t xml:space="preserve"> charging cabinets</t>
  </si>
  <si>
    <t xml:space="preserve"> and similar installed electrical equipment. Stock-asset proxy only; operational electricity excluded."</t>
  </si>
  <si>
    <t>compressed_air_equipment_small</t>
  </si>
  <si>
    <t>small equipment fleet-vintage proxy</t>
  </si>
  <si>
    <t>Small screw and piston compressors behave more like standalone equipment fleets than broad industrial plants. Use a midlife modal installed age around eight years as the grouped prior.</t>
  </si>
  <si>
    <t xml:space="preserve"> especially screw and piston compressors. Stock-asset proxy only; electricity use excluded."</t>
  </si>
  <si>
    <t>pumps_small_medium</t>
  </si>
  <si>
    <t>Standalone pumps and similar electromechanical units are typically renewed on shorter cycles than civil infrastructure. Use a modal in-service vintage around eight years.</t>
  </si>
  <si>
    <t>electrical_cabinet_control_equipment</t>
  </si>
  <si>
    <t>installed electrical-equipment fleet-vintage proxy</t>
  </si>
  <si>
    <t>Switchgear, control cabinets, converters and related installed electrical equipment are typically replaced on medium-term cycles. Use a modal in-service vintage around eight years.</t>
  </si>
  <si>
    <t xml:space="preserve"> control cabinets</t>
  </si>
  <si>
    <t xml:space="preserve"> power electronics cabinets</t>
  </si>
  <si>
    <t xml:space="preserve"> converters</t>
  </si>
  <si>
    <t xml:space="preserve"> and similar installed electrical equipment. Stock-asset proxy only."</t>
  </si>
  <si>
    <t>keyword</t>
  </si>
  <si>
    <t>priority</t>
  </si>
  <si>
    <t>example_match</t>
  </si>
  <si>
    <t>building</t>
  </si>
  <si>
    <t>building construction; residential building; office building</t>
  </si>
  <si>
    <t>plural building references</t>
  </si>
  <si>
    <t>dwelling</t>
  </si>
  <si>
    <t>residential dwelling</t>
  </si>
  <si>
    <t>house</t>
  </si>
  <si>
    <t>house construction</t>
  </si>
  <si>
    <t>road</t>
  </si>
  <si>
    <t>road; street; highway</t>
  </si>
  <si>
    <t>street</t>
  </si>
  <si>
    <t>street pavement</t>
  </si>
  <si>
    <t>highway</t>
  </si>
  <si>
    <t>highway infrastructure</t>
  </si>
  <si>
    <t>pavement</t>
  </si>
  <si>
    <t>asphalt</t>
  </si>
  <si>
    <t>asphalt pavement</t>
  </si>
  <si>
    <t>rail</t>
  </si>
  <si>
    <t>railway construction; rail track</t>
  </si>
  <si>
    <t>railway</t>
  </si>
  <si>
    <t>rail infrastructure</t>
  </si>
  <si>
    <t>track</t>
  </si>
  <si>
    <t>rail track</t>
  </si>
  <si>
    <t>bridge</t>
  </si>
  <si>
    <t>bridge; viaduct</t>
  </si>
  <si>
    <t>tunnel</t>
  </si>
  <si>
    <t>tunnel infrastructure</t>
  </si>
  <si>
    <t>viaduct</t>
  </si>
  <si>
    <t>quay</t>
  </si>
  <si>
    <t>quay walls</t>
  </si>
  <si>
    <t>canal</t>
  </si>
  <si>
    <t>canal construction</t>
  </si>
  <si>
    <t>harbour</t>
  </si>
  <si>
    <t>harbour facilities</t>
  </si>
  <si>
    <t>harbor</t>
  </si>
  <si>
    <t>harbor facilities</t>
  </si>
  <si>
    <t>waterway</t>
  </si>
  <si>
    <t>inland waterway</t>
  </si>
  <si>
    <t>lock</t>
  </si>
  <si>
    <t>locks and dams</t>
  </si>
  <si>
    <t>port</t>
  </si>
  <si>
    <t>port infrastructure</t>
  </si>
  <si>
    <t>pipe</t>
  </si>
  <si>
    <t>buried pipe; sewer; water pipe</t>
  </si>
  <si>
    <t>pipeline</t>
  </si>
  <si>
    <t>sewer</t>
  </si>
  <si>
    <t>sewer network</t>
  </si>
  <si>
    <t>piping</t>
  </si>
  <si>
    <t>industrial piping</t>
  </si>
  <si>
    <t>grid</t>
  </si>
  <si>
    <t>electricity grid</t>
  </si>
  <si>
    <t>transmission line</t>
  </si>
  <si>
    <t>substation</t>
  </si>
  <si>
    <t>transformer</t>
  </si>
  <si>
    <t>power transformer</t>
  </si>
  <si>
    <t>distribution line</t>
  </si>
  <si>
    <t>power plant</t>
  </si>
  <si>
    <t>thermal/hydro/nuclear plant</t>
  </si>
  <si>
    <t>plant</t>
  </si>
  <si>
    <t>generic large process plant</t>
  </si>
  <si>
    <t>wind turbine</t>
  </si>
  <si>
    <t>wind farm</t>
  </si>
  <si>
    <t>photovoltaic</t>
  </si>
  <si>
    <t>PV system</t>
  </si>
  <si>
    <t>pv</t>
  </si>
  <si>
    <t>PV</t>
  </si>
  <si>
    <t>solar</t>
  </si>
  <si>
    <t>solar PV</t>
  </si>
  <si>
    <t>machinery</t>
  </si>
  <si>
    <t>industrial machinery</t>
  </si>
  <si>
    <t>machine</t>
  </si>
  <si>
    <t>industrial plant</t>
  </si>
  <si>
    <t>compressor</t>
  </si>
  <si>
    <t>pump</t>
  </si>
  <si>
    <t>treatment</t>
  </si>
  <si>
    <t>water treatment plant equipment</t>
  </si>
  <si>
    <t>wastewater</t>
  </si>
  <si>
    <t>wastewater treatment</t>
  </si>
  <si>
    <t>sewage</t>
  </si>
  <si>
    <t>sewage treatment</t>
  </si>
  <si>
    <t>water treatment</t>
  </si>
  <si>
    <t>hvac</t>
  </si>
  <si>
    <t>HVAC</t>
  </si>
  <si>
    <t>ventilation</t>
  </si>
  <si>
    <t>ventilation system</t>
  </si>
  <si>
    <t>heat pump</t>
  </si>
  <si>
    <t>air handling</t>
  </si>
  <si>
    <t>air handling unit</t>
  </si>
  <si>
    <t>filter</t>
  </si>
  <si>
    <t>filter equipment</t>
  </si>
  <si>
    <t>air filter</t>
  </si>
  <si>
    <t>ultraviolet</t>
  </si>
  <si>
    <t>UV treatment equipment</t>
  </si>
  <si>
    <t>uv</t>
  </si>
  <si>
    <t>uv lamp</t>
  </si>
  <si>
    <t>UV lamp</t>
  </si>
  <si>
    <t>car</t>
  </si>
  <si>
    <t>van</t>
  </si>
  <si>
    <t>bus</t>
  </si>
  <si>
    <t>truck</t>
  </si>
  <si>
    <t>lorry</t>
  </si>
  <si>
    <t>heavy duty</t>
  </si>
  <si>
    <t>heavy-duty vehicle</t>
  </si>
  <si>
    <t>ship</t>
  </si>
  <si>
    <t>vessel</t>
  </si>
  <si>
    <t>boat</t>
  </si>
  <si>
    <t>airplane</t>
  </si>
  <si>
    <t>aeroplane</t>
  </si>
  <si>
    <t>ev charger</t>
  </si>
  <si>
    <t>charger</t>
  </si>
  <si>
    <t>charging station</t>
  </si>
  <si>
    <t>fast charger</t>
  </si>
  <si>
    <t>dc fast charger</t>
  </si>
  <si>
    <t>pantograph</t>
  </si>
  <si>
    <t>pantograph charger</t>
  </si>
  <si>
    <t>level 3</t>
  </si>
  <si>
    <t>plugin</t>
  </si>
  <si>
    <t>plug in</t>
  </si>
  <si>
    <t>air compressor</t>
  </si>
  <si>
    <t>screw compressor</t>
  </si>
  <si>
    <t>piston compressor</t>
  </si>
  <si>
    <t>compressed air</t>
  </si>
  <si>
    <t>water pump</t>
  </si>
  <si>
    <t>circulation pump</t>
  </si>
  <si>
    <t>centrifugal pump</t>
  </si>
  <si>
    <t>vacuum pump</t>
  </si>
  <si>
    <t>switchgear</t>
  </si>
  <si>
    <t>control cabinet</t>
  </si>
  <si>
    <t>converter</t>
  </si>
  <si>
    <t>power electronics</t>
  </si>
  <si>
    <t>rectifier</t>
  </si>
  <si>
    <t>inverter</t>
  </si>
  <si>
    <t>Rule</t>
  </si>
  <si>
    <t>Priority</t>
  </si>
  <si>
    <t>Description</t>
  </si>
  <si>
    <t>Lifetime source</t>
  </si>
  <si>
    <t>If ecoinvent_direct_lifetime_years exists and is plausible, use it as chosen lifetime.</t>
  </si>
  <si>
    <t>Else if ecoinvent_inferred_median_years exists, use it as chosen lifetime.</t>
  </si>
  <si>
    <t>Else if iedc_lifetime_median_years exists, use it as chosen lifetime.</t>
  </si>
  <si>
    <t>Else use the grouped lifetime from Group_Assumptions.</t>
  </si>
  <si>
    <t>Distribution type</t>
  </si>
  <si>
    <t>Use the grouped age distribution type as the default pre-Codex fleet-vintage shape for stock assets only.</t>
  </si>
  <si>
    <t>Parameter rescaling</t>
  </si>
  <si>
    <t>For grouped triangular defaults, preserve both the loc share and maximum share of lifetime when the chosen lifetime differs from the grouped lifetime.</t>
  </si>
  <si>
    <t>Formula</t>
  </si>
  <si>
    <t>loc_share = ABS(group_loc / group_lifetime)</t>
  </si>
  <si>
    <t>max_share = ABS(group_maximum / group_lifetime)</t>
  </si>
  <si>
    <t>chosen_loc = - chosen_lifetime * loc_share</t>
  </si>
  <si>
    <t>chosen_minimum = - chosen_lifetime</t>
  </si>
  <si>
    <t>chosen_maximum = MIN(-1, - chosen_lifetime * max_share)</t>
  </si>
  <si>
    <t>Uniform groups</t>
  </si>
  <si>
    <t>For uniform groups, spread in-service vintages across the replacement cycle with maximum kept earlier than -1 year; loc and scale remain blank.</t>
  </si>
  <si>
    <t>Lognormal groups</t>
  </si>
  <si>
    <t>For grouped lognormal timing defaults, interpret loc as the median lag before commissioning (negative years) and scale as geometric spread factor (GSD); preserve loc share of lifetime when chosen_lifetime differs, and keep chosen_scale = group_scale.</t>
  </si>
  <si>
    <t>Interpretation</t>
  </si>
  <si>
    <t>For short-life replaceables such as filters and UV lamps, triangular is preferred over uniform when replacement timing is already modeled separately, because burdens are concentrated at each production/replacement event.</t>
  </si>
  <si>
    <t>reference_product</t>
  </si>
  <si>
    <t>matched_group</t>
  </si>
  <si>
    <t>group_lifetime</t>
  </si>
  <si>
    <t>group_loc</t>
  </si>
  <si>
    <t>loc_share</t>
  </si>
  <si>
    <t>ecoinvent_direct_lifetime</t>
  </si>
  <si>
    <t>chosen_lifetime</t>
  </si>
  <si>
    <t>chosen_type</t>
  </si>
  <si>
    <t>chosen_loc</t>
  </si>
  <si>
    <t>chosen_minimum</t>
  </si>
  <si>
    <t>chosen_maximum</t>
  </si>
  <si>
    <t>comment</t>
  </si>
  <si>
    <t>Long-lived infrastructure example; fleet-age interpretation uses an older modal installed vintage, not an emission pulse. Maximum remains several years before operation.</t>
  </si>
  <si>
    <t>Short-lived replacement-stock example; a uniform age spread across in-service vintages is a practical grouped proxy.</t>
  </si>
  <si>
    <t>wastewater treatment equipment</t>
  </si>
  <si>
    <t>Installed treatment equipment example; use a modal fleet vintage around mid-life rather than an emission-timing profile.</t>
  </si>
  <si>
    <t>passenger vehicle / bus</t>
  </si>
  <si>
    <t>Vehicle-stock example; grouped defaults now represent average fleet vintage with the newest in-service assets still older than one year.</t>
  </si>
  <si>
    <t>EU fleets are mature: cars average 12.3 years, vans 12.5 years and buses 12.5 years. A 12-year grouped lifetime with a modal installed age.</t>
  </si>
  <si>
    <t xml:space="preserve">2: lognormal | Uses loc as median lag before commissioning (negative years) and scale as geometric spread factor (GSD).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</si>
</sst>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C55A11"/>
      <name val="Calibri"/>
      <family val="2"/>
    </font>
    <font>
      <sz val="11"/>
      <color rgb="FF808080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7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956310</xdr:colOff>
      <xdr:row>4</xdr:row>
      <xdr:rowOff>712470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AC5B3F98-7D35-05FB-5738-8BA0D5EA474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956310</xdr:colOff>
      <xdr:row>4</xdr:row>
      <xdr:rowOff>712470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58E65544-3951-430B-F747-A9CBC61662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00" cy="381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956310</xdr:colOff>
      <xdr:row>4</xdr:row>
      <xdr:rowOff>712470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6AA290AB-E25A-C852-0FCC-2FD7E792F4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00" cy="381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956310</xdr:colOff>
      <xdr:row>4</xdr:row>
      <xdr:rowOff>712470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CEC5C25-0187-11D7-3710-3AA81339DD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00" cy="381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956310</xdr:colOff>
      <xdr:row>4</xdr:row>
      <xdr:rowOff>712470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302CA48E-D60C-A4CD-D41F-F432004F90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00" cy="381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956310</xdr:colOff>
      <xdr:row>4</xdr:row>
      <xdr:rowOff>712470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E1A1D850-AF32-DD2B-6C28-ECFA258B24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3810000" cy="381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upAssumptionsTable" displayName="GroupAssumptionsTable" ref="A1:N18">
  <autoFilter ref="A1:N18" xr:uid="{00000000-0009-0000-0100-000001000000}"/>
  <tableColumns count="14">
    <tableColumn id="1" xr3:uid="{00000000-0010-0000-0000-000001000000}" name="group"/>
    <tableColumn id="2" xr3:uid="{00000000-0010-0000-0000-000002000000}" name="lifetime"/>
    <tableColumn id="3" xr3:uid="{00000000-0010-0000-0000-000003000000}" name="age distribution type"/>
    <tableColumn id="4" xr3:uid="{00000000-0010-0000-0000-000004000000}" name="age distribution description"/>
    <tableColumn id="5" xr3:uid="{00000000-0010-0000-0000-000005000000}" name="loc"/>
    <tableColumn id="6" xr3:uid="{00000000-0010-0000-0000-000006000000}" name="scale"/>
    <tableColumn id="7" xr3:uid="{00000000-0010-0000-0000-000007000000}" name="minimum"/>
    <tableColumn id="8" xr3:uid="{00000000-0010-0000-0000-000008000000}" name="maximum"/>
    <tableColumn id="9" xr3:uid="{00000000-0010-0000-0000-000009000000}" name="param_confidence"/>
    <tableColumn id="10" xr3:uid="{00000000-0010-0000-0000-00000A000000}" name="basis_type"/>
    <tableColumn id="11" xr3:uid="{00000000-0010-0000-0000-00000B000000}" name="confidence"/>
    <tableColumn id="12" xr3:uid="{00000000-0010-0000-0000-00000C000000}" name="source_short"/>
    <tableColumn id="13" xr3:uid="{00000000-0010-0000-0000-00000D000000}" name="source_url"/>
    <tableColumn id="14" xr3:uid="{00000000-0010-0000-0000-00000E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ywordMappingTable" displayName="KeywordMappingTable" ref="A1:D57">
  <autoFilter ref="A1:D57" xr:uid="{00000000-0009-0000-0100-000002000000}"/>
  <tableColumns count="4">
    <tableColumn id="1" xr3:uid="{00000000-0010-0000-0100-000001000000}" name="keyword"/>
    <tableColumn id="2" xr3:uid="{00000000-0010-0000-0100-000002000000}" name="group"/>
    <tableColumn id="3" xr3:uid="{00000000-0010-0000-0100-000003000000}" name="priority"/>
    <tableColumn id="4" xr3:uid="{00000000-0010-0000-0100-000004000000}" name="example_matc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eCodexRulesTable" displayName="PreCodexRulesTable" ref="A1:C12">
  <autoFilter ref="A1:C12" xr:uid="{00000000-0009-0000-0100-000003000000}"/>
  <tableColumns count="3">
    <tableColumn id="1" xr3:uid="{00000000-0010-0000-0200-000001000000}" name="Rule"/>
    <tableColumn id="2" xr3:uid="{00000000-0010-0000-0200-000002000000}" name="Priority"/>
    <tableColumn id="3" xr3:uid="{00000000-0010-0000-0200-000003000000}" name="Descript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eCodexExamplesTable" displayName="PreCodexExamplesTable" ref="A1:L3">
  <autoFilter ref="A1:L3" xr:uid="{00000000-0009-0000-0100-000004000000}"/>
  <tableColumns count="12">
    <tableColumn id="1" xr3:uid="{00000000-0010-0000-0300-000001000000}" name="reference_product"/>
    <tableColumn id="2" xr3:uid="{00000000-0010-0000-0300-000002000000}" name="matched_group"/>
    <tableColumn id="3" xr3:uid="{00000000-0010-0000-0300-000003000000}" name="group_lifetime"/>
    <tableColumn id="4" xr3:uid="{00000000-0010-0000-0300-000004000000}" name="group_loc"/>
    <tableColumn id="5" xr3:uid="{00000000-0010-0000-0300-000005000000}" name="loc_share"/>
    <tableColumn id="6" xr3:uid="{00000000-0010-0000-0300-000006000000}" name="ecoinvent_direct_lifetime"/>
    <tableColumn id="7" xr3:uid="{00000000-0010-0000-0300-000007000000}" name="chosen_lifetime"/>
    <tableColumn id="8" xr3:uid="{00000000-0010-0000-0300-000008000000}" name="chosen_type"/>
    <tableColumn id="9" xr3:uid="{00000000-0010-0000-0300-000009000000}" name="chosen_loc"/>
    <tableColumn id="10" xr3:uid="{00000000-0010-0000-0300-00000A000000}" name="chosen_minimum"/>
    <tableColumn id="11" xr3:uid="{00000000-0010-0000-0300-00000B000000}" name="chosen_maximum"/>
    <tableColumn id="12" xr3:uid="{00000000-0010-0000-0300-00000C000000}" name="commen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workbookViewId="0"/>
  </sheetViews>
  <sheetFormatPr defaultRowHeight="14.4" x14ac:dyDescent="0.55000000000000004"/>
  <cols>
    <col min="1" max="1" width="120" customWidth="1"/>
  </cols>
  <sheetData>
    <row r="1" spans="1:1" ht="20.350000000000001" customHeight="1" x14ac:dyDescent="0.55000000000000004">
      <c r="A1" s="1" t="s">
        <v>0</v>
      </c>
    </row>
    <row r="2" spans="1:1" x14ac:dyDescent="0.55000000000000004">
      <c r="A2" s="2"/>
    </row>
    <row r="3" spans="1:1" x14ac:dyDescent="0.55000000000000004">
      <c r="A3" s="3" t="s">
        <v>1</v>
      </c>
    </row>
    <row r="4" spans="1:1" x14ac:dyDescent="0.55000000000000004">
      <c r="A4" s="2" t="s">
        <v>2</v>
      </c>
    </row>
    <row r="5" spans="1:1" x14ac:dyDescent="0.55000000000000004">
      <c r="A5" s="2" t="s">
        <v>3</v>
      </c>
    </row>
    <row r="6" spans="1:1" ht="28.8" x14ac:dyDescent="0.55000000000000004">
      <c r="A6" s="2" t="s">
        <v>4</v>
      </c>
    </row>
    <row r="7" spans="1:1" ht="28.8" x14ac:dyDescent="0.55000000000000004">
      <c r="A7" s="2" t="s">
        <v>5</v>
      </c>
    </row>
    <row r="8" spans="1:1" ht="28.8" x14ac:dyDescent="0.55000000000000004">
      <c r="A8" s="3" t="s">
        <v>6</v>
      </c>
    </row>
    <row r="9" spans="1:1" x14ac:dyDescent="0.55000000000000004">
      <c r="A9" s="2"/>
    </row>
    <row r="10" spans="1:1" x14ac:dyDescent="0.55000000000000004">
      <c r="A10" s="2" t="s">
        <v>7</v>
      </c>
    </row>
    <row r="11" spans="1:1" x14ac:dyDescent="0.55000000000000004">
      <c r="A11" s="3" t="s">
        <v>8</v>
      </c>
    </row>
    <row r="12" spans="1:1" x14ac:dyDescent="0.55000000000000004">
      <c r="A12" s="2" t="s">
        <v>9</v>
      </c>
    </row>
    <row r="13" spans="1:1" x14ac:dyDescent="0.55000000000000004">
      <c r="A13" t="s">
        <v>10</v>
      </c>
    </row>
    <row r="14" spans="1:1" x14ac:dyDescent="0.55000000000000004">
      <c r="A14" t="s">
        <v>11</v>
      </c>
    </row>
    <row r="15" spans="1:1" x14ac:dyDescent="0.55000000000000004">
      <c r="A15" t="s">
        <v>12</v>
      </c>
    </row>
    <row r="16" spans="1:1" x14ac:dyDescent="0.55000000000000004">
      <c r="A16" t="s">
        <v>13</v>
      </c>
    </row>
    <row r="17" spans="1:1" x14ac:dyDescent="0.55000000000000004">
      <c r="A17" t="s">
        <v>14</v>
      </c>
    </row>
    <row r="18" spans="1:1" x14ac:dyDescent="0.55000000000000004">
      <c r="A18" t="s">
        <v>15</v>
      </c>
    </row>
    <row r="19" spans="1:1" x14ac:dyDescent="0.55000000000000004">
      <c r="A19" t="s">
        <v>16</v>
      </c>
    </row>
    <row r="20" spans="1:1" x14ac:dyDescent="0.55000000000000004">
      <c r="A20" t="s">
        <v>17</v>
      </c>
    </row>
    <row r="21" spans="1:1" x14ac:dyDescent="0.55000000000000004">
      <c r="A21" t="s">
        <v>18</v>
      </c>
    </row>
    <row r="22" spans="1:1" x14ac:dyDescent="0.55000000000000004">
      <c r="A2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showGridLines="0" tabSelected="1" workbookViewId="0">
      <selection activeCell="G18" sqref="G18"/>
    </sheetView>
  </sheetViews>
  <sheetFormatPr defaultRowHeight="14.4" x14ac:dyDescent="0.55000000000000004"/>
  <cols>
    <col min="1" max="1" width="18.1015625" customWidth="1"/>
    <col min="2" max="2" width="11" customWidth="1"/>
    <col min="3" max="3" width="10.3125" customWidth="1"/>
    <col min="4" max="4" width="47.83984375" customWidth="1"/>
    <col min="5" max="5" width="10" customWidth="1"/>
    <col min="6" max="6" width="5.89453125" customWidth="1"/>
    <col min="7" max="7" width="5.3671875" customWidth="1"/>
    <col min="8" max="8" width="10" customWidth="1"/>
    <col min="9" max="9" width="6.05078125" customWidth="1"/>
    <col min="10" max="10" width="28" customWidth="1"/>
    <col min="11" max="11" width="12" customWidth="1"/>
    <col min="12" max="12" width="23.734375" customWidth="1"/>
    <col min="13" max="13" width="52" customWidth="1"/>
    <col min="14" max="14" width="78" customWidth="1"/>
  </cols>
  <sheetData>
    <row r="1" spans="1:14" ht="57.55" customHeight="1" x14ac:dyDescent="0.55000000000000004">
      <c r="A1" s="4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</row>
    <row r="2" spans="1:14" ht="72" customHeight="1" x14ac:dyDescent="0.55000000000000004">
      <c r="A2" s="2" t="s">
        <v>34</v>
      </c>
      <c r="B2" s="6">
        <v>80</v>
      </c>
      <c r="C2" s="7">
        <v>5</v>
      </c>
      <c r="D2" s="2" t="s">
        <v>35</v>
      </c>
      <c r="E2" s="7">
        <v>-45</v>
      </c>
      <c r="F2" s="2"/>
      <c r="G2" s="7">
        <v>-80</v>
      </c>
      <c r="H2" s="7">
        <v>-1</v>
      </c>
      <c r="I2" s="8" t="s">
        <v>36</v>
      </c>
      <c r="J2" s="2" t="s">
        <v>37</v>
      </c>
      <c r="K2" s="8" t="s">
        <v>36</v>
      </c>
      <c r="L2" s="2" t="s">
        <v>38</v>
      </c>
      <c r="M2" s="2" t="s">
        <v>39</v>
      </c>
      <c r="N2" s="2" t="s">
        <v>40</v>
      </c>
    </row>
    <row r="3" spans="1:14" ht="57.55" customHeight="1" x14ac:dyDescent="0.55000000000000004">
      <c r="A3" s="2" t="s">
        <v>41</v>
      </c>
      <c r="B3" s="6">
        <v>40</v>
      </c>
      <c r="C3" s="7">
        <v>5</v>
      </c>
      <c r="D3" s="2" t="s">
        <v>35</v>
      </c>
      <c r="E3" s="7">
        <v>-18</v>
      </c>
      <c r="F3" s="2"/>
      <c r="G3" s="7">
        <v>-40</v>
      </c>
      <c r="H3" s="7">
        <v>-1</v>
      </c>
      <c r="I3" s="8" t="s">
        <v>36</v>
      </c>
      <c r="J3" s="2" t="s">
        <v>42</v>
      </c>
      <c r="K3" s="8" t="s">
        <v>36</v>
      </c>
      <c r="L3" s="2" t="s">
        <v>43</v>
      </c>
      <c r="M3" s="2" t="s">
        <v>44</v>
      </c>
      <c r="N3" s="2" t="s">
        <v>45</v>
      </c>
    </row>
    <row r="4" spans="1:14" ht="57.55" customHeight="1" x14ac:dyDescent="0.55000000000000004">
      <c r="A4" s="2" t="s">
        <v>46</v>
      </c>
      <c r="B4" s="6">
        <v>50</v>
      </c>
      <c r="C4" s="7">
        <v>5</v>
      </c>
      <c r="D4" s="2" t="s">
        <v>35</v>
      </c>
      <c r="E4" s="7">
        <v>-28</v>
      </c>
      <c r="F4" s="2"/>
      <c r="G4" s="7">
        <v>-50</v>
      </c>
      <c r="H4" s="7">
        <v>-1</v>
      </c>
      <c r="I4" s="8" t="s">
        <v>36</v>
      </c>
      <c r="J4" s="2" t="s">
        <v>47</v>
      </c>
      <c r="K4" s="8" t="s">
        <v>36</v>
      </c>
      <c r="L4" s="2" t="s">
        <v>48</v>
      </c>
      <c r="M4" s="2" t="s">
        <v>49</v>
      </c>
      <c r="N4" s="2" t="s">
        <v>50</v>
      </c>
    </row>
    <row r="5" spans="1:14" ht="57.55" customHeight="1" x14ac:dyDescent="0.55000000000000004">
      <c r="A5" s="2" t="s">
        <v>51</v>
      </c>
      <c r="B5" s="6">
        <v>100</v>
      </c>
      <c r="C5" s="7">
        <v>5</v>
      </c>
      <c r="D5" s="2" t="s">
        <v>35</v>
      </c>
      <c r="E5" s="7">
        <v>-47</v>
      </c>
      <c r="F5" s="2"/>
      <c r="G5" s="7">
        <v>-100</v>
      </c>
      <c r="H5" s="7">
        <v>-1</v>
      </c>
      <c r="I5" s="8" t="s">
        <v>36</v>
      </c>
      <c r="J5" s="2" t="s">
        <v>52</v>
      </c>
      <c r="K5" s="8" t="s">
        <v>36</v>
      </c>
      <c r="L5" s="2" t="s">
        <v>53</v>
      </c>
      <c r="M5" s="2" t="s">
        <v>54</v>
      </c>
      <c r="N5" s="2" t="s">
        <v>55</v>
      </c>
    </row>
    <row r="6" spans="1:14" ht="57.55" customHeight="1" x14ac:dyDescent="0.55000000000000004">
      <c r="A6" s="2" t="s">
        <v>56</v>
      </c>
      <c r="B6" s="6">
        <v>110</v>
      </c>
      <c r="C6" s="7">
        <v>5</v>
      </c>
      <c r="D6" s="2" t="s">
        <v>35</v>
      </c>
      <c r="E6" s="7">
        <v>-60</v>
      </c>
      <c r="F6" s="2"/>
      <c r="G6" s="7">
        <v>-110</v>
      </c>
      <c r="H6" s="7">
        <v>-1</v>
      </c>
      <c r="I6" s="8" t="s">
        <v>36</v>
      </c>
      <c r="J6" s="2" t="s">
        <v>57</v>
      </c>
      <c r="K6" s="8" t="s">
        <v>36</v>
      </c>
      <c r="L6" s="2" t="s">
        <v>58</v>
      </c>
      <c r="M6" s="2" t="s">
        <v>59</v>
      </c>
      <c r="N6" s="2" t="s">
        <v>60</v>
      </c>
    </row>
    <row r="7" spans="1:14" ht="57.55" customHeight="1" x14ac:dyDescent="0.55000000000000004">
      <c r="A7" s="2" t="s">
        <v>61</v>
      </c>
      <c r="B7" s="6">
        <v>100</v>
      </c>
      <c r="C7" s="7">
        <v>5</v>
      </c>
      <c r="D7" s="2" t="s">
        <v>35</v>
      </c>
      <c r="E7" s="7">
        <v>-45</v>
      </c>
      <c r="F7" s="2"/>
      <c r="G7" s="7">
        <v>-100</v>
      </c>
      <c r="H7" s="7">
        <v>-1</v>
      </c>
      <c r="I7" s="8" t="s">
        <v>36</v>
      </c>
      <c r="J7" s="2" t="s">
        <v>62</v>
      </c>
      <c r="K7" s="8" t="s">
        <v>36</v>
      </c>
      <c r="L7" s="2" t="s">
        <v>63</v>
      </c>
      <c r="M7" s="2" t="s">
        <v>64</v>
      </c>
      <c r="N7" s="2" t="s">
        <v>65</v>
      </c>
    </row>
    <row r="8" spans="1:14" ht="57.55" customHeight="1" x14ac:dyDescent="0.55000000000000004">
      <c r="A8" s="2" t="s">
        <v>66</v>
      </c>
      <c r="B8" s="6">
        <v>50</v>
      </c>
      <c r="C8" s="7">
        <v>5</v>
      </c>
      <c r="D8" s="2" t="s">
        <v>35</v>
      </c>
      <c r="E8" s="7">
        <v>-30</v>
      </c>
      <c r="F8" s="2"/>
      <c r="G8" s="7">
        <v>-50</v>
      </c>
      <c r="H8" s="7">
        <v>-1</v>
      </c>
      <c r="I8" s="8" t="s">
        <v>36</v>
      </c>
      <c r="J8" s="2" t="s">
        <v>67</v>
      </c>
      <c r="K8" s="8" t="s">
        <v>36</v>
      </c>
      <c r="L8" s="2" t="s">
        <v>68</v>
      </c>
      <c r="M8" s="2" t="s">
        <v>69</v>
      </c>
      <c r="N8" s="2" t="s">
        <v>70</v>
      </c>
    </row>
    <row r="9" spans="1:14" ht="57.55" customHeight="1" x14ac:dyDescent="0.55000000000000004">
      <c r="A9" s="2" t="s">
        <v>71</v>
      </c>
      <c r="B9" s="6">
        <v>35</v>
      </c>
      <c r="C9" s="7">
        <v>5</v>
      </c>
      <c r="D9" s="2" t="s">
        <v>35</v>
      </c>
      <c r="E9" s="7">
        <v>-20</v>
      </c>
      <c r="F9" s="2"/>
      <c r="G9" s="7">
        <v>-35</v>
      </c>
      <c r="H9" s="7">
        <v>-1</v>
      </c>
      <c r="I9" s="8" t="s">
        <v>72</v>
      </c>
      <c r="J9" s="2" t="s">
        <v>73</v>
      </c>
      <c r="K9" s="8" t="s">
        <v>72</v>
      </c>
      <c r="L9" s="2" t="s">
        <v>74</v>
      </c>
      <c r="M9" s="2" t="s">
        <v>75</v>
      </c>
      <c r="N9" s="2" t="s">
        <v>76</v>
      </c>
    </row>
    <row r="10" spans="1:14" ht="100.8" customHeight="1" x14ac:dyDescent="0.55000000000000004">
      <c r="A10" s="2" t="s">
        <v>77</v>
      </c>
      <c r="B10" s="6">
        <v>25</v>
      </c>
      <c r="C10" s="7">
        <v>5</v>
      </c>
      <c r="D10" s="2" t="s">
        <v>35</v>
      </c>
      <c r="E10" s="7">
        <v>-14</v>
      </c>
      <c r="F10" s="2"/>
      <c r="G10" s="7">
        <v>-25</v>
      </c>
      <c r="H10" s="7">
        <v>-1</v>
      </c>
      <c r="I10" s="8" t="s">
        <v>78</v>
      </c>
      <c r="J10" s="2" t="s">
        <v>79</v>
      </c>
      <c r="K10" s="8" t="s">
        <v>78</v>
      </c>
      <c r="L10" s="2" t="s">
        <v>80</v>
      </c>
      <c r="M10" s="2" t="s">
        <v>81</v>
      </c>
      <c r="N10" s="2" t="s">
        <v>82</v>
      </c>
    </row>
    <row r="11" spans="1:14" ht="28.75" customHeight="1" x14ac:dyDescent="0.55000000000000004">
      <c r="A11" s="2" t="s">
        <v>83</v>
      </c>
      <c r="B11" s="6">
        <v>30</v>
      </c>
      <c r="C11" s="7">
        <v>5</v>
      </c>
      <c r="D11" s="2" t="s">
        <v>35</v>
      </c>
      <c r="E11" s="7">
        <v>-13</v>
      </c>
      <c r="F11" s="2"/>
      <c r="G11" s="7">
        <v>-30</v>
      </c>
      <c r="H11" s="7">
        <v>-1</v>
      </c>
      <c r="I11" s="8" t="s">
        <v>36</v>
      </c>
      <c r="J11" s="2" t="s">
        <v>84</v>
      </c>
      <c r="K11" s="8" t="s">
        <v>36</v>
      </c>
      <c r="L11" s="2" t="s">
        <v>85</v>
      </c>
      <c r="M11" s="2" t="s">
        <v>86</v>
      </c>
      <c r="N11" s="2" t="s">
        <v>87</v>
      </c>
    </row>
    <row r="12" spans="1:14" ht="57.55" customHeight="1" x14ac:dyDescent="0.55000000000000004">
      <c r="A12" s="2" t="s">
        <v>88</v>
      </c>
      <c r="B12" s="6">
        <v>25</v>
      </c>
      <c r="C12" s="7">
        <v>5</v>
      </c>
      <c r="D12" s="2" t="s">
        <v>35</v>
      </c>
      <c r="E12" s="7">
        <v>-12</v>
      </c>
      <c r="F12" s="2"/>
      <c r="G12" s="7">
        <v>-25</v>
      </c>
      <c r="H12" s="7">
        <v>-1</v>
      </c>
      <c r="I12" s="8" t="s">
        <v>36</v>
      </c>
      <c r="J12" s="2" t="s">
        <v>89</v>
      </c>
      <c r="K12" s="8" t="s">
        <v>36</v>
      </c>
      <c r="L12" s="2" t="s">
        <v>90</v>
      </c>
      <c r="M12" s="2" t="s">
        <v>91</v>
      </c>
      <c r="N12" s="2" t="s">
        <v>92</v>
      </c>
    </row>
    <row r="13" spans="1:14" ht="57.55" customHeight="1" x14ac:dyDescent="0.55000000000000004">
      <c r="A13" s="2" t="s">
        <v>93</v>
      </c>
      <c r="B13" s="6">
        <v>25</v>
      </c>
      <c r="C13" s="7">
        <v>5</v>
      </c>
      <c r="D13" s="2" t="s">
        <v>35</v>
      </c>
      <c r="E13" s="7">
        <v>-12</v>
      </c>
      <c r="F13" s="2"/>
      <c r="G13" s="7">
        <v>-25</v>
      </c>
      <c r="H13" s="7">
        <v>-1</v>
      </c>
      <c r="I13" s="8" t="s">
        <v>36</v>
      </c>
      <c r="J13" s="2" t="s">
        <v>94</v>
      </c>
      <c r="K13" s="8" t="s">
        <v>36</v>
      </c>
      <c r="L13" s="2" t="s">
        <v>95</v>
      </c>
      <c r="M13" s="2" t="s">
        <v>96</v>
      </c>
      <c r="N13" s="2" t="s">
        <v>97</v>
      </c>
    </row>
    <row r="14" spans="1:14" ht="57.55" customHeight="1" x14ac:dyDescent="0.55000000000000004">
      <c r="A14" s="2" t="s">
        <v>98</v>
      </c>
      <c r="B14" s="6">
        <v>20</v>
      </c>
      <c r="C14" s="7">
        <v>5</v>
      </c>
      <c r="D14" s="2" t="s">
        <v>35</v>
      </c>
      <c r="E14" s="7">
        <v>-10</v>
      </c>
      <c r="F14" s="2"/>
      <c r="G14" s="7">
        <v>-20</v>
      </c>
      <c r="H14" s="7">
        <v>-1</v>
      </c>
      <c r="I14" s="8" t="s">
        <v>36</v>
      </c>
      <c r="J14" s="2" t="s">
        <v>99</v>
      </c>
      <c r="K14" s="8" t="s">
        <v>36</v>
      </c>
      <c r="L14" s="2" t="s">
        <v>100</v>
      </c>
      <c r="M14" s="2" t="s">
        <v>101</v>
      </c>
      <c r="N14" s="2" t="s">
        <v>102</v>
      </c>
    </row>
    <row r="15" spans="1:14" ht="43.2" customHeight="1" x14ac:dyDescent="0.55000000000000004">
      <c r="A15" s="2" t="s">
        <v>103</v>
      </c>
      <c r="B15" s="6">
        <v>3</v>
      </c>
      <c r="C15" s="7">
        <v>4</v>
      </c>
      <c r="D15" s="2" t="s">
        <v>104</v>
      </c>
      <c r="E15" s="7"/>
      <c r="F15" s="2"/>
      <c r="G15" s="14">
        <v>-3</v>
      </c>
      <c r="H15" s="7">
        <v>-1.2</v>
      </c>
      <c r="I15" s="8" t="s">
        <v>78</v>
      </c>
      <c r="J15" s="2" t="s">
        <v>105</v>
      </c>
      <c r="K15" s="8" t="s">
        <v>78</v>
      </c>
      <c r="L15" s="2" t="s">
        <v>106</v>
      </c>
      <c r="M15" s="2" t="s">
        <v>107</v>
      </c>
      <c r="N15" s="2" t="s">
        <v>108</v>
      </c>
    </row>
    <row r="16" spans="1:14" ht="43.2" customHeight="1" x14ac:dyDescent="0.55000000000000004">
      <c r="A16" s="2" t="s">
        <v>109</v>
      </c>
      <c r="B16" s="6">
        <v>2</v>
      </c>
      <c r="C16" s="7">
        <v>4</v>
      </c>
      <c r="D16" s="2" t="s">
        <v>104</v>
      </c>
      <c r="E16" s="7"/>
      <c r="F16" s="2"/>
      <c r="G16" s="14">
        <v>-2</v>
      </c>
      <c r="H16" s="7">
        <v>-1.1000000000000001</v>
      </c>
      <c r="I16" s="8" t="s">
        <v>78</v>
      </c>
      <c r="J16" s="2" t="s">
        <v>105</v>
      </c>
      <c r="K16" s="8" t="s">
        <v>78</v>
      </c>
      <c r="L16" s="2" t="s">
        <v>110</v>
      </c>
      <c r="M16" s="2" t="s">
        <v>111</v>
      </c>
      <c r="N16" s="2" t="s">
        <v>112</v>
      </c>
    </row>
    <row r="17" spans="1:18" ht="115.15" customHeight="1" x14ac:dyDescent="0.55000000000000004">
      <c r="A17" s="2" t="s">
        <v>113</v>
      </c>
      <c r="B17" s="6">
        <v>12</v>
      </c>
      <c r="C17" s="7">
        <v>2</v>
      </c>
      <c r="D17" s="2" t="s">
        <v>328</v>
      </c>
      <c r="E17" s="7">
        <v>-10</v>
      </c>
      <c r="F17" s="2">
        <v>1.5</v>
      </c>
      <c r="G17" s="7">
        <v>-12</v>
      </c>
      <c r="H17" s="7">
        <v>-1</v>
      </c>
      <c r="I17" s="8" t="s">
        <v>78</v>
      </c>
      <c r="J17" s="2" t="s">
        <v>114</v>
      </c>
      <c r="K17" s="8" t="s">
        <v>78</v>
      </c>
      <c r="L17" s="2" t="s">
        <v>115</v>
      </c>
      <c r="M17" s="2" t="s">
        <v>116</v>
      </c>
      <c r="N17" s="2" t="s">
        <v>327</v>
      </c>
    </row>
    <row r="18" spans="1:18" ht="144" customHeight="1" x14ac:dyDescent="0.55000000000000004">
      <c r="A18" s="2" t="s">
        <v>117</v>
      </c>
      <c r="B18" s="6">
        <v>16</v>
      </c>
      <c r="C18" s="7">
        <v>2</v>
      </c>
      <c r="D18" s="2" t="s">
        <v>328</v>
      </c>
      <c r="E18" s="7">
        <v>-12</v>
      </c>
      <c r="F18" s="2">
        <v>1.5</v>
      </c>
      <c r="G18" s="7">
        <v>-16</v>
      </c>
      <c r="H18" s="7">
        <v>-1</v>
      </c>
      <c r="I18" s="8" t="s">
        <v>78</v>
      </c>
      <c r="J18" s="2" t="s">
        <v>118</v>
      </c>
      <c r="K18" s="8" t="s">
        <v>78</v>
      </c>
      <c r="L18" s="2" t="s">
        <v>115</v>
      </c>
      <c r="M18" s="2" t="s">
        <v>116</v>
      </c>
      <c r="N18" s="2" t="s">
        <v>119</v>
      </c>
    </row>
    <row r="19" spans="1:18" x14ac:dyDescent="0.55000000000000004">
      <c r="A19" t="s">
        <v>120</v>
      </c>
      <c r="B19">
        <v>30</v>
      </c>
      <c r="C19">
        <v>5</v>
      </c>
      <c r="D19" t="s">
        <v>35</v>
      </c>
      <c r="E19">
        <v>-15</v>
      </c>
      <c r="G19">
        <v>-30</v>
      </c>
      <c r="H19">
        <v>-1</v>
      </c>
      <c r="I19" t="s">
        <v>36</v>
      </c>
      <c r="J19" t="s">
        <v>121</v>
      </c>
      <c r="K19" t="s">
        <v>36</v>
      </c>
      <c r="L19" t="s">
        <v>122</v>
      </c>
      <c r="M19" t="s">
        <v>123</v>
      </c>
      <c r="N19" t="s">
        <v>124</v>
      </c>
    </row>
    <row r="20" spans="1:18" x14ac:dyDescent="0.55000000000000004">
      <c r="A20" t="s">
        <v>125</v>
      </c>
      <c r="B20">
        <v>25</v>
      </c>
      <c r="C20">
        <v>5</v>
      </c>
      <c r="D20" t="s">
        <v>35</v>
      </c>
      <c r="E20">
        <v>-15</v>
      </c>
      <c r="G20">
        <v>-25</v>
      </c>
      <c r="H20">
        <v>-1</v>
      </c>
      <c r="I20" t="s">
        <v>78</v>
      </c>
      <c r="J20" t="s">
        <v>126</v>
      </c>
      <c r="K20" t="s">
        <v>78</v>
      </c>
      <c r="L20" t="s">
        <v>127</v>
      </c>
      <c r="M20" t="s">
        <v>128</v>
      </c>
      <c r="N20" t="s">
        <v>129</v>
      </c>
    </row>
    <row r="21" spans="1:18" x14ac:dyDescent="0.55000000000000004">
      <c r="A21" t="s">
        <v>130</v>
      </c>
      <c r="B21">
        <v>15</v>
      </c>
      <c r="C21">
        <v>5</v>
      </c>
      <c r="D21" t="s">
        <v>35</v>
      </c>
      <c r="E21">
        <v>-5</v>
      </c>
      <c r="G21">
        <v>-15</v>
      </c>
      <c r="H21">
        <v>-1</v>
      </c>
      <c r="I21" t="s">
        <v>36</v>
      </c>
      <c r="J21" t="s">
        <v>131</v>
      </c>
      <c r="K21" t="s">
        <v>36</v>
      </c>
      <c r="L21" t="s">
        <v>132</v>
      </c>
      <c r="M21" t="s">
        <v>107</v>
      </c>
      <c r="N21" t="s">
        <v>133</v>
      </c>
      <c r="O21" t="s">
        <v>134</v>
      </c>
      <c r="P21" t="s">
        <v>135</v>
      </c>
      <c r="Q21" t="s">
        <v>136</v>
      </c>
      <c r="R21" t="s">
        <v>137</v>
      </c>
    </row>
    <row r="22" spans="1:18" x14ac:dyDescent="0.55000000000000004">
      <c r="A22" t="s">
        <v>138</v>
      </c>
      <c r="B22">
        <v>15</v>
      </c>
      <c r="C22">
        <v>5</v>
      </c>
      <c r="D22" t="s">
        <v>35</v>
      </c>
      <c r="E22">
        <v>-8</v>
      </c>
      <c r="G22">
        <v>-15</v>
      </c>
      <c r="H22">
        <v>-1</v>
      </c>
      <c r="I22" t="s">
        <v>36</v>
      </c>
      <c r="J22" t="s">
        <v>139</v>
      </c>
      <c r="K22" t="s">
        <v>36</v>
      </c>
      <c r="L22" t="s">
        <v>132</v>
      </c>
      <c r="M22" t="s">
        <v>107</v>
      </c>
      <c r="N22" t="s">
        <v>140</v>
      </c>
      <c r="O22" t="s">
        <v>141</v>
      </c>
    </row>
    <row r="23" spans="1:18" x14ac:dyDescent="0.55000000000000004">
      <c r="A23" t="s">
        <v>142</v>
      </c>
      <c r="B23">
        <v>15</v>
      </c>
      <c r="C23">
        <v>5</v>
      </c>
      <c r="D23" t="s">
        <v>35</v>
      </c>
      <c r="E23">
        <v>-8</v>
      </c>
      <c r="G23">
        <v>-15</v>
      </c>
      <c r="H23">
        <v>-1</v>
      </c>
      <c r="I23" t="s">
        <v>36</v>
      </c>
      <c r="J23" t="s">
        <v>139</v>
      </c>
      <c r="K23" t="s">
        <v>36</v>
      </c>
      <c r="L23" t="s">
        <v>132</v>
      </c>
      <c r="M23" t="s">
        <v>107</v>
      </c>
      <c r="N23" t="s">
        <v>143</v>
      </c>
    </row>
    <row r="24" spans="1:18" x14ac:dyDescent="0.55000000000000004">
      <c r="A24" t="s">
        <v>144</v>
      </c>
      <c r="B24">
        <v>15</v>
      </c>
      <c r="C24">
        <v>5</v>
      </c>
      <c r="D24" t="s">
        <v>35</v>
      </c>
      <c r="E24">
        <v>-8</v>
      </c>
      <c r="G24">
        <v>-15</v>
      </c>
      <c r="H24">
        <v>-1</v>
      </c>
      <c r="I24" t="s">
        <v>36</v>
      </c>
      <c r="J24" t="s">
        <v>145</v>
      </c>
      <c r="K24" t="s">
        <v>36</v>
      </c>
      <c r="L24" t="s">
        <v>132</v>
      </c>
      <c r="M24" t="s">
        <v>107</v>
      </c>
      <c r="N24" t="s">
        <v>146</v>
      </c>
      <c r="O24" t="s">
        <v>147</v>
      </c>
      <c r="P24" t="s">
        <v>148</v>
      </c>
      <c r="Q24" t="s">
        <v>149</v>
      </c>
      <c r="R24" t="s">
        <v>150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"/>
  <sheetViews>
    <sheetView showGridLines="0" workbookViewId="0"/>
  </sheetViews>
  <sheetFormatPr defaultRowHeight="14.4" x14ac:dyDescent="0.55000000000000004"/>
  <cols>
    <col min="1" max="1" width="20" customWidth="1"/>
    <col min="2" max="2" width="32" customWidth="1"/>
    <col min="3" max="3" width="10" customWidth="1"/>
    <col min="4" max="4" width="44" customWidth="1"/>
  </cols>
  <sheetData>
    <row r="1" spans="1:4" x14ac:dyDescent="0.55000000000000004">
      <c r="A1" s="4" t="s">
        <v>151</v>
      </c>
      <c r="B1" s="4" t="s">
        <v>20</v>
      </c>
      <c r="C1" s="4" t="s">
        <v>152</v>
      </c>
      <c r="D1" s="4" t="s">
        <v>153</v>
      </c>
    </row>
    <row r="2" spans="1:4" ht="28.75" customHeight="1" x14ac:dyDescent="0.55000000000000004">
      <c r="A2" s="2" t="s">
        <v>154</v>
      </c>
      <c r="B2" s="2" t="s">
        <v>34</v>
      </c>
      <c r="C2" s="2">
        <v>100</v>
      </c>
      <c r="D2" s="2" t="s">
        <v>155</v>
      </c>
    </row>
    <row r="3" spans="1:4" x14ac:dyDescent="0.55000000000000004">
      <c r="A3" s="2" t="s">
        <v>34</v>
      </c>
      <c r="B3" s="2" t="s">
        <v>34</v>
      </c>
      <c r="C3" s="2">
        <v>100</v>
      </c>
      <c r="D3" s="2" t="s">
        <v>156</v>
      </c>
    </row>
    <row r="4" spans="1:4" x14ac:dyDescent="0.55000000000000004">
      <c r="A4" s="2" t="s">
        <v>157</v>
      </c>
      <c r="B4" s="2" t="s">
        <v>34</v>
      </c>
      <c r="C4" s="2">
        <v>95</v>
      </c>
      <c r="D4" s="2" t="s">
        <v>158</v>
      </c>
    </row>
    <row r="5" spans="1:4" x14ac:dyDescent="0.55000000000000004">
      <c r="A5" s="2" t="s">
        <v>159</v>
      </c>
      <c r="B5" s="2" t="s">
        <v>34</v>
      </c>
      <c r="C5" s="2">
        <v>90</v>
      </c>
      <c r="D5" s="2" t="s">
        <v>160</v>
      </c>
    </row>
    <row r="6" spans="1:4" x14ac:dyDescent="0.55000000000000004">
      <c r="A6" s="2" t="s">
        <v>161</v>
      </c>
      <c r="B6" s="2" t="s">
        <v>41</v>
      </c>
      <c r="C6" s="2">
        <v>100</v>
      </c>
      <c r="D6" s="2" t="s">
        <v>162</v>
      </c>
    </row>
    <row r="7" spans="1:4" x14ac:dyDescent="0.55000000000000004">
      <c r="A7" s="2" t="s">
        <v>163</v>
      </c>
      <c r="B7" s="2" t="s">
        <v>41</v>
      </c>
      <c r="C7" s="2">
        <v>95</v>
      </c>
      <c r="D7" s="2" t="s">
        <v>164</v>
      </c>
    </row>
    <row r="8" spans="1:4" x14ac:dyDescent="0.55000000000000004">
      <c r="A8" s="2" t="s">
        <v>165</v>
      </c>
      <c r="B8" s="2" t="s">
        <v>41</v>
      </c>
      <c r="C8" s="2">
        <v>95</v>
      </c>
      <c r="D8" s="2" t="s">
        <v>166</v>
      </c>
    </row>
    <row r="9" spans="1:4" x14ac:dyDescent="0.55000000000000004">
      <c r="A9" s="2" t="s">
        <v>167</v>
      </c>
      <c r="B9" s="2" t="s">
        <v>41</v>
      </c>
      <c r="C9" s="2">
        <v>95</v>
      </c>
      <c r="D9" s="2" t="s">
        <v>164</v>
      </c>
    </row>
    <row r="10" spans="1:4" x14ac:dyDescent="0.55000000000000004">
      <c r="A10" s="2" t="s">
        <v>168</v>
      </c>
      <c r="B10" s="2" t="s">
        <v>41</v>
      </c>
      <c r="C10" s="2">
        <v>90</v>
      </c>
      <c r="D10" s="2" t="s">
        <v>169</v>
      </c>
    </row>
    <row r="11" spans="1:4" x14ac:dyDescent="0.55000000000000004">
      <c r="A11" s="2" t="s">
        <v>170</v>
      </c>
      <c r="B11" s="2" t="s">
        <v>46</v>
      </c>
      <c r="C11" s="2">
        <v>100</v>
      </c>
      <c r="D11" s="2" t="s">
        <v>171</v>
      </c>
    </row>
    <row r="12" spans="1:4" x14ac:dyDescent="0.55000000000000004">
      <c r="A12" s="2" t="s">
        <v>172</v>
      </c>
      <c r="B12" s="2" t="s">
        <v>46</v>
      </c>
      <c r="C12" s="2">
        <v>100</v>
      </c>
      <c r="D12" s="2" t="s">
        <v>173</v>
      </c>
    </row>
    <row r="13" spans="1:4" x14ac:dyDescent="0.55000000000000004">
      <c r="A13" s="2" t="s">
        <v>174</v>
      </c>
      <c r="B13" s="2" t="s">
        <v>46</v>
      </c>
      <c r="C13" s="2">
        <v>90</v>
      </c>
      <c r="D13" s="2" t="s">
        <v>175</v>
      </c>
    </row>
    <row r="14" spans="1:4" x14ac:dyDescent="0.55000000000000004">
      <c r="A14" s="2" t="s">
        <v>176</v>
      </c>
      <c r="B14" s="2" t="s">
        <v>51</v>
      </c>
      <c r="C14" s="2">
        <v>100</v>
      </c>
      <c r="D14" s="2" t="s">
        <v>177</v>
      </c>
    </row>
    <row r="15" spans="1:4" x14ac:dyDescent="0.55000000000000004">
      <c r="A15" s="2" t="s">
        <v>178</v>
      </c>
      <c r="B15" s="2" t="s">
        <v>51</v>
      </c>
      <c r="C15" s="2">
        <v>100</v>
      </c>
      <c r="D15" s="2" t="s">
        <v>179</v>
      </c>
    </row>
    <row r="16" spans="1:4" x14ac:dyDescent="0.55000000000000004">
      <c r="A16" s="2" t="s">
        <v>180</v>
      </c>
      <c r="B16" s="2" t="s">
        <v>51</v>
      </c>
      <c r="C16" s="2">
        <v>95</v>
      </c>
      <c r="D16" s="2" t="s">
        <v>180</v>
      </c>
    </row>
    <row r="17" spans="1:4" x14ac:dyDescent="0.55000000000000004">
      <c r="A17" s="2" t="s">
        <v>181</v>
      </c>
      <c r="B17" s="2" t="s">
        <v>56</v>
      </c>
      <c r="C17" s="2">
        <v>90</v>
      </c>
      <c r="D17" s="2" t="s">
        <v>182</v>
      </c>
    </row>
    <row r="18" spans="1:4" x14ac:dyDescent="0.55000000000000004">
      <c r="A18" s="2" t="s">
        <v>183</v>
      </c>
      <c r="B18" s="2" t="s">
        <v>56</v>
      </c>
      <c r="C18" s="2">
        <v>100</v>
      </c>
      <c r="D18" s="2" t="s">
        <v>184</v>
      </c>
    </row>
    <row r="19" spans="1:4" x14ac:dyDescent="0.55000000000000004">
      <c r="A19" s="2" t="s">
        <v>185</v>
      </c>
      <c r="B19" s="2" t="s">
        <v>56</v>
      </c>
      <c r="C19" s="2">
        <v>100</v>
      </c>
      <c r="D19" s="2" t="s">
        <v>186</v>
      </c>
    </row>
    <row r="20" spans="1:4" x14ac:dyDescent="0.55000000000000004">
      <c r="A20" s="2" t="s">
        <v>187</v>
      </c>
      <c r="B20" s="2" t="s">
        <v>56</v>
      </c>
      <c r="C20" s="2">
        <v>100</v>
      </c>
      <c r="D20" s="2" t="s">
        <v>188</v>
      </c>
    </row>
    <row r="21" spans="1:4" x14ac:dyDescent="0.55000000000000004">
      <c r="A21" s="2" t="s">
        <v>189</v>
      </c>
      <c r="B21" s="2" t="s">
        <v>56</v>
      </c>
      <c r="C21" s="2">
        <v>95</v>
      </c>
      <c r="D21" s="2" t="s">
        <v>190</v>
      </c>
    </row>
    <row r="22" spans="1:4" x14ac:dyDescent="0.55000000000000004">
      <c r="A22" s="2" t="s">
        <v>191</v>
      </c>
      <c r="B22" s="2" t="s">
        <v>56</v>
      </c>
      <c r="C22" s="2">
        <v>90</v>
      </c>
      <c r="D22" s="2" t="s">
        <v>192</v>
      </c>
    </row>
    <row r="23" spans="1:4" x14ac:dyDescent="0.55000000000000004">
      <c r="A23" s="2" t="s">
        <v>193</v>
      </c>
      <c r="B23" s="2" t="s">
        <v>56</v>
      </c>
      <c r="C23" s="2">
        <v>85</v>
      </c>
      <c r="D23" s="2" t="s">
        <v>194</v>
      </c>
    </row>
    <row r="24" spans="1:4" x14ac:dyDescent="0.55000000000000004">
      <c r="A24" s="2" t="s">
        <v>195</v>
      </c>
      <c r="B24" s="2" t="s">
        <v>61</v>
      </c>
      <c r="C24" s="2">
        <v>100</v>
      </c>
      <c r="D24" s="2" t="s">
        <v>196</v>
      </c>
    </row>
    <row r="25" spans="1:4" x14ac:dyDescent="0.55000000000000004">
      <c r="A25" s="2" t="s">
        <v>197</v>
      </c>
      <c r="B25" s="2" t="s">
        <v>61</v>
      </c>
      <c r="C25" s="2">
        <v>100</v>
      </c>
      <c r="D25" s="2" t="s">
        <v>197</v>
      </c>
    </row>
    <row r="26" spans="1:4" x14ac:dyDescent="0.55000000000000004">
      <c r="A26" s="2" t="s">
        <v>198</v>
      </c>
      <c r="B26" s="2" t="s">
        <v>61</v>
      </c>
      <c r="C26" s="2">
        <v>95</v>
      </c>
      <c r="D26" s="2" t="s">
        <v>199</v>
      </c>
    </row>
    <row r="27" spans="1:4" x14ac:dyDescent="0.55000000000000004">
      <c r="A27" s="2" t="s">
        <v>200</v>
      </c>
      <c r="B27" s="2" t="s">
        <v>61</v>
      </c>
      <c r="C27" s="2">
        <v>90</v>
      </c>
      <c r="D27" s="2" t="s">
        <v>201</v>
      </c>
    </row>
    <row r="28" spans="1:4" x14ac:dyDescent="0.55000000000000004">
      <c r="A28" s="2" t="s">
        <v>202</v>
      </c>
      <c r="B28" s="2" t="s">
        <v>66</v>
      </c>
      <c r="C28" s="2">
        <v>100</v>
      </c>
      <c r="D28" s="2" t="s">
        <v>203</v>
      </c>
    </row>
    <row r="29" spans="1:4" x14ac:dyDescent="0.55000000000000004">
      <c r="A29" s="2" t="s">
        <v>204</v>
      </c>
      <c r="B29" s="2" t="s">
        <v>66</v>
      </c>
      <c r="C29" s="2">
        <v>100</v>
      </c>
      <c r="D29" s="2" t="s">
        <v>204</v>
      </c>
    </row>
    <row r="30" spans="1:4" x14ac:dyDescent="0.55000000000000004">
      <c r="A30" s="2" t="s">
        <v>205</v>
      </c>
      <c r="B30" s="2" t="s">
        <v>66</v>
      </c>
      <c r="C30" s="2">
        <v>100</v>
      </c>
      <c r="D30" s="2" t="s">
        <v>205</v>
      </c>
    </row>
    <row r="31" spans="1:4" x14ac:dyDescent="0.55000000000000004">
      <c r="A31" s="2" t="s">
        <v>206</v>
      </c>
      <c r="B31" s="2" t="s">
        <v>66</v>
      </c>
      <c r="C31" s="2">
        <v>95</v>
      </c>
      <c r="D31" s="2" t="s">
        <v>207</v>
      </c>
    </row>
    <row r="32" spans="1:4" x14ac:dyDescent="0.55000000000000004">
      <c r="A32" s="2" t="s">
        <v>208</v>
      </c>
      <c r="B32" s="2" t="s">
        <v>66</v>
      </c>
      <c r="C32" s="2">
        <v>95</v>
      </c>
      <c r="D32" s="2" t="s">
        <v>208</v>
      </c>
    </row>
    <row r="33" spans="1:4" x14ac:dyDescent="0.55000000000000004">
      <c r="A33" s="2" t="s">
        <v>209</v>
      </c>
      <c r="B33" s="2" t="s">
        <v>71</v>
      </c>
      <c r="C33" s="2">
        <v>100</v>
      </c>
      <c r="D33" s="2" t="s">
        <v>210</v>
      </c>
    </row>
    <row r="34" spans="1:4" x14ac:dyDescent="0.55000000000000004">
      <c r="A34" s="2" t="s">
        <v>211</v>
      </c>
      <c r="B34" s="2" t="s">
        <v>71</v>
      </c>
      <c r="C34" s="2">
        <v>70</v>
      </c>
      <c r="D34" s="2" t="s">
        <v>212</v>
      </c>
    </row>
    <row r="35" spans="1:4" x14ac:dyDescent="0.55000000000000004">
      <c r="A35" s="2" t="s">
        <v>213</v>
      </c>
      <c r="B35" s="2" t="s">
        <v>77</v>
      </c>
      <c r="C35" s="2">
        <v>100</v>
      </c>
      <c r="D35" s="2" t="s">
        <v>213</v>
      </c>
    </row>
    <row r="36" spans="1:4" x14ac:dyDescent="0.55000000000000004">
      <c r="A36" s="2" t="s">
        <v>214</v>
      </c>
      <c r="B36" s="2" t="s">
        <v>77</v>
      </c>
      <c r="C36" s="2">
        <v>100</v>
      </c>
      <c r="D36" s="2" t="s">
        <v>214</v>
      </c>
    </row>
    <row r="37" spans="1:4" x14ac:dyDescent="0.55000000000000004">
      <c r="A37" s="2" t="s">
        <v>215</v>
      </c>
      <c r="B37" s="2" t="s">
        <v>83</v>
      </c>
      <c r="C37" s="2">
        <v>100</v>
      </c>
      <c r="D37" s="2" t="s">
        <v>216</v>
      </c>
    </row>
    <row r="38" spans="1:4" x14ac:dyDescent="0.55000000000000004">
      <c r="A38" s="2" t="s">
        <v>217</v>
      </c>
      <c r="B38" s="2" t="s">
        <v>83</v>
      </c>
      <c r="C38" s="2">
        <v>95</v>
      </c>
      <c r="D38" s="2" t="s">
        <v>218</v>
      </c>
    </row>
    <row r="39" spans="1:4" x14ac:dyDescent="0.55000000000000004">
      <c r="A39" s="2" t="s">
        <v>219</v>
      </c>
      <c r="B39" s="2" t="s">
        <v>83</v>
      </c>
      <c r="C39" s="2">
        <v>90</v>
      </c>
      <c r="D39" s="2" t="s">
        <v>220</v>
      </c>
    </row>
    <row r="40" spans="1:4" x14ac:dyDescent="0.55000000000000004">
      <c r="A40" s="2" t="s">
        <v>221</v>
      </c>
      <c r="B40" s="2" t="s">
        <v>88</v>
      </c>
      <c r="C40" s="2">
        <v>100</v>
      </c>
      <c r="D40" s="2" t="s">
        <v>222</v>
      </c>
    </row>
    <row r="41" spans="1:4" x14ac:dyDescent="0.55000000000000004">
      <c r="A41" s="2" t="s">
        <v>223</v>
      </c>
      <c r="B41" s="2" t="s">
        <v>88</v>
      </c>
      <c r="C41" s="2">
        <v>95</v>
      </c>
      <c r="D41" s="2" t="s">
        <v>223</v>
      </c>
    </row>
    <row r="42" spans="1:4" x14ac:dyDescent="0.55000000000000004">
      <c r="A42" s="2" t="s">
        <v>224</v>
      </c>
      <c r="B42" s="2" t="s">
        <v>88</v>
      </c>
      <c r="C42" s="2">
        <v>90</v>
      </c>
      <c r="D42" s="2" t="s">
        <v>224</v>
      </c>
    </row>
    <row r="43" spans="1:4" x14ac:dyDescent="0.55000000000000004">
      <c r="A43" s="2" t="s">
        <v>225</v>
      </c>
      <c r="B43" s="2" t="s">
        <v>88</v>
      </c>
      <c r="C43" s="2">
        <v>85</v>
      </c>
      <c r="D43" s="2" t="s">
        <v>225</v>
      </c>
    </row>
    <row r="44" spans="1:4" x14ac:dyDescent="0.55000000000000004">
      <c r="A44" s="2" t="s">
        <v>226</v>
      </c>
      <c r="B44" s="2" t="s">
        <v>88</v>
      </c>
      <c r="C44" s="2">
        <v>85</v>
      </c>
      <c r="D44" s="2" t="s">
        <v>226</v>
      </c>
    </row>
    <row r="45" spans="1:4" ht="28.75" customHeight="1" x14ac:dyDescent="0.55000000000000004">
      <c r="A45" s="2" t="s">
        <v>227</v>
      </c>
      <c r="B45" s="2" t="s">
        <v>93</v>
      </c>
      <c r="C45" s="2">
        <v>90</v>
      </c>
      <c r="D45" s="2" t="s">
        <v>228</v>
      </c>
    </row>
    <row r="46" spans="1:4" ht="28.75" customHeight="1" x14ac:dyDescent="0.55000000000000004">
      <c r="A46" s="2" t="s">
        <v>229</v>
      </c>
      <c r="B46" s="2" t="s">
        <v>93</v>
      </c>
      <c r="C46" s="2">
        <v>95</v>
      </c>
      <c r="D46" s="2" t="s">
        <v>230</v>
      </c>
    </row>
    <row r="47" spans="1:4" ht="28.75" customHeight="1" x14ac:dyDescent="0.55000000000000004">
      <c r="A47" s="2" t="s">
        <v>231</v>
      </c>
      <c r="B47" s="2" t="s">
        <v>93</v>
      </c>
      <c r="C47" s="2">
        <v>95</v>
      </c>
      <c r="D47" s="2" t="s">
        <v>232</v>
      </c>
    </row>
    <row r="48" spans="1:4" ht="28.75" customHeight="1" x14ac:dyDescent="0.55000000000000004">
      <c r="A48" s="2" t="s">
        <v>233</v>
      </c>
      <c r="B48" s="2" t="s">
        <v>93</v>
      </c>
      <c r="C48" s="2">
        <v>95</v>
      </c>
      <c r="D48" s="2" t="s">
        <v>233</v>
      </c>
    </row>
    <row r="49" spans="1:4" x14ac:dyDescent="0.55000000000000004">
      <c r="A49" s="2" t="s">
        <v>234</v>
      </c>
      <c r="B49" s="2" t="s">
        <v>98</v>
      </c>
      <c r="C49" s="2">
        <v>100</v>
      </c>
      <c r="D49" s="2" t="s">
        <v>235</v>
      </c>
    </row>
    <row r="50" spans="1:4" x14ac:dyDescent="0.55000000000000004">
      <c r="A50" s="2" t="s">
        <v>236</v>
      </c>
      <c r="B50" s="2" t="s">
        <v>98</v>
      </c>
      <c r="C50" s="2">
        <v>95</v>
      </c>
      <c r="D50" s="2" t="s">
        <v>237</v>
      </c>
    </row>
    <row r="51" spans="1:4" x14ac:dyDescent="0.55000000000000004">
      <c r="A51" s="2" t="s">
        <v>238</v>
      </c>
      <c r="B51" s="2" t="s">
        <v>98</v>
      </c>
      <c r="C51" s="2">
        <v>95</v>
      </c>
      <c r="D51" s="2" t="s">
        <v>238</v>
      </c>
    </row>
    <row r="52" spans="1:4" x14ac:dyDescent="0.55000000000000004">
      <c r="A52" s="2" t="s">
        <v>239</v>
      </c>
      <c r="B52" s="2" t="s">
        <v>98</v>
      </c>
      <c r="C52" s="2">
        <v>95</v>
      </c>
      <c r="D52" s="2" t="s">
        <v>240</v>
      </c>
    </row>
    <row r="53" spans="1:4" x14ac:dyDescent="0.55000000000000004">
      <c r="A53" s="2" t="s">
        <v>241</v>
      </c>
      <c r="B53" s="2" t="s">
        <v>103</v>
      </c>
      <c r="C53" s="2">
        <v>100</v>
      </c>
      <c r="D53" s="2" t="s">
        <v>242</v>
      </c>
    </row>
    <row r="54" spans="1:4" x14ac:dyDescent="0.55000000000000004">
      <c r="A54" s="2" t="s">
        <v>243</v>
      </c>
      <c r="B54" s="2" t="s">
        <v>103</v>
      </c>
      <c r="C54" s="2">
        <v>100</v>
      </c>
      <c r="D54" s="2" t="s">
        <v>242</v>
      </c>
    </row>
    <row r="55" spans="1:4" x14ac:dyDescent="0.55000000000000004">
      <c r="A55" s="2" t="s">
        <v>244</v>
      </c>
      <c r="B55" s="2" t="s">
        <v>109</v>
      </c>
      <c r="C55" s="2">
        <v>100</v>
      </c>
      <c r="D55" s="2" t="s">
        <v>245</v>
      </c>
    </row>
    <row r="56" spans="1:4" x14ac:dyDescent="0.55000000000000004">
      <c r="A56" s="2" t="s">
        <v>246</v>
      </c>
      <c r="B56" s="2" t="s">
        <v>109</v>
      </c>
      <c r="C56" s="2">
        <v>95</v>
      </c>
      <c r="D56" s="2" t="s">
        <v>245</v>
      </c>
    </row>
    <row r="57" spans="1:4" x14ac:dyDescent="0.55000000000000004">
      <c r="A57" s="2" t="s">
        <v>247</v>
      </c>
      <c r="B57" s="2" t="s">
        <v>109</v>
      </c>
      <c r="C57" s="2">
        <v>100</v>
      </c>
      <c r="D57" s="2" t="s">
        <v>248</v>
      </c>
    </row>
    <row r="58" spans="1:4" x14ac:dyDescent="0.55000000000000004">
      <c r="A58" t="s">
        <v>249</v>
      </c>
      <c r="B58" t="s">
        <v>113</v>
      </c>
      <c r="C58">
        <v>100</v>
      </c>
      <c r="D58" t="s">
        <v>249</v>
      </c>
    </row>
    <row r="59" spans="1:4" x14ac:dyDescent="0.55000000000000004">
      <c r="A59" t="s">
        <v>250</v>
      </c>
      <c r="B59" t="s">
        <v>113</v>
      </c>
      <c r="C59">
        <v>95</v>
      </c>
      <c r="D59" t="s">
        <v>250</v>
      </c>
    </row>
    <row r="60" spans="1:4" x14ac:dyDescent="0.55000000000000004">
      <c r="A60" t="s">
        <v>251</v>
      </c>
      <c r="B60" t="s">
        <v>113</v>
      </c>
      <c r="C60">
        <v>95</v>
      </c>
      <c r="D60" t="s">
        <v>251</v>
      </c>
    </row>
    <row r="61" spans="1:4" x14ac:dyDescent="0.55000000000000004">
      <c r="A61" t="s">
        <v>252</v>
      </c>
      <c r="B61" t="s">
        <v>117</v>
      </c>
      <c r="C61">
        <v>100</v>
      </c>
      <c r="D61" t="s">
        <v>252</v>
      </c>
    </row>
    <row r="62" spans="1:4" x14ac:dyDescent="0.55000000000000004">
      <c r="A62" t="s">
        <v>253</v>
      </c>
      <c r="B62" t="s">
        <v>117</v>
      </c>
      <c r="C62">
        <v>95</v>
      </c>
      <c r="D62" t="s">
        <v>253</v>
      </c>
    </row>
    <row r="63" spans="1:4" x14ac:dyDescent="0.55000000000000004">
      <c r="A63" t="s">
        <v>254</v>
      </c>
      <c r="B63" t="s">
        <v>117</v>
      </c>
      <c r="C63">
        <v>95</v>
      </c>
      <c r="D63" t="s">
        <v>255</v>
      </c>
    </row>
    <row r="64" spans="1:4" x14ac:dyDescent="0.55000000000000004">
      <c r="A64" t="s">
        <v>256</v>
      </c>
      <c r="B64" t="s">
        <v>120</v>
      </c>
      <c r="C64">
        <v>100</v>
      </c>
      <c r="D64" t="s">
        <v>256</v>
      </c>
    </row>
    <row r="65" spans="1:4" x14ac:dyDescent="0.55000000000000004">
      <c r="A65" t="s">
        <v>257</v>
      </c>
      <c r="B65" t="s">
        <v>120</v>
      </c>
      <c r="C65">
        <v>100</v>
      </c>
      <c r="D65" t="s">
        <v>257</v>
      </c>
    </row>
    <row r="66" spans="1:4" x14ac:dyDescent="0.55000000000000004">
      <c r="A66" t="s">
        <v>258</v>
      </c>
      <c r="B66" t="s">
        <v>120</v>
      </c>
      <c r="C66">
        <v>90</v>
      </c>
      <c r="D66" t="s">
        <v>258</v>
      </c>
    </row>
    <row r="67" spans="1:4" x14ac:dyDescent="0.55000000000000004">
      <c r="A67" t="s">
        <v>125</v>
      </c>
      <c r="B67" t="s">
        <v>125</v>
      </c>
      <c r="C67">
        <v>100</v>
      </c>
      <c r="D67" t="s">
        <v>125</v>
      </c>
    </row>
    <row r="68" spans="1:4" x14ac:dyDescent="0.55000000000000004">
      <c r="A68" t="s">
        <v>259</v>
      </c>
      <c r="B68" t="s">
        <v>125</v>
      </c>
      <c r="C68">
        <v>95</v>
      </c>
      <c r="D68" t="s">
        <v>259</v>
      </c>
    </row>
    <row r="69" spans="1:4" x14ac:dyDescent="0.55000000000000004">
      <c r="A69" t="s">
        <v>260</v>
      </c>
      <c r="B69" t="s">
        <v>125</v>
      </c>
      <c r="C69">
        <v>95</v>
      </c>
      <c r="D69" t="s">
        <v>260</v>
      </c>
    </row>
    <row r="70" spans="1:4" x14ac:dyDescent="0.55000000000000004">
      <c r="A70" t="s">
        <v>261</v>
      </c>
      <c r="B70" t="s">
        <v>130</v>
      </c>
      <c r="C70">
        <v>100</v>
      </c>
    </row>
    <row r="71" spans="1:4" x14ac:dyDescent="0.55000000000000004">
      <c r="A71" t="s">
        <v>262</v>
      </c>
      <c r="B71" t="s">
        <v>130</v>
      </c>
      <c r="C71">
        <v>85</v>
      </c>
    </row>
    <row r="72" spans="1:4" x14ac:dyDescent="0.55000000000000004">
      <c r="A72" t="s">
        <v>263</v>
      </c>
      <c r="B72" t="s">
        <v>130</v>
      </c>
      <c r="C72">
        <v>95</v>
      </c>
    </row>
    <row r="73" spans="1:4" x14ac:dyDescent="0.55000000000000004">
      <c r="A73" t="s">
        <v>264</v>
      </c>
      <c r="B73" t="s">
        <v>130</v>
      </c>
      <c r="C73">
        <v>100</v>
      </c>
    </row>
    <row r="74" spans="1:4" x14ac:dyDescent="0.55000000000000004">
      <c r="A74" t="s">
        <v>265</v>
      </c>
      <c r="B74" t="s">
        <v>130</v>
      </c>
      <c r="C74">
        <v>100</v>
      </c>
    </row>
    <row r="75" spans="1:4" x14ac:dyDescent="0.55000000000000004">
      <c r="A75" t="s">
        <v>266</v>
      </c>
      <c r="B75" t="s">
        <v>130</v>
      </c>
      <c r="C75">
        <v>100</v>
      </c>
    </row>
    <row r="76" spans="1:4" x14ac:dyDescent="0.55000000000000004">
      <c r="A76" t="s">
        <v>267</v>
      </c>
      <c r="B76" t="s">
        <v>130</v>
      </c>
      <c r="C76">
        <v>100</v>
      </c>
    </row>
    <row r="77" spans="1:4" x14ac:dyDescent="0.55000000000000004">
      <c r="A77" t="s">
        <v>268</v>
      </c>
      <c r="B77" t="s">
        <v>130</v>
      </c>
      <c r="C77">
        <v>90</v>
      </c>
    </row>
    <row r="78" spans="1:4" x14ac:dyDescent="0.55000000000000004">
      <c r="A78" t="s">
        <v>269</v>
      </c>
      <c r="B78" t="s">
        <v>130</v>
      </c>
      <c r="C78">
        <v>70</v>
      </c>
    </row>
    <row r="79" spans="1:4" x14ac:dyDescent="0.55000000000000004">
      <c r="A79" t="s">
        <v>270</v>
      </c>
      <c r="B79" t="s">
        <v>130</v>
      </c>
      <c r="C79">
        <v>70</v>
      </c>
    </row>
    <row r="80" spans="1:4" x14ac:dyDescent="0.55000000000000004">
      <c r="A80" t="s">
        <v>271</v>
      </c>
      <c r="B80" t="s">
        <v>138</v>
      </c>
      <c r="C80">
        <v>100</v>
      </c>
    </row>
    <row r="81" spans="1:3" x14ac:dyDescent="0.55000000000000004">
      <c r="A81" t="s">
        <v>225</v>
      </c>
      <c r="B81" t="s">
        <v>138</v>
      </c>
      <c r="C81">
        <v>85</v>
      </c>
    </row>
    <row r="82" spans="1:3" x14ac:dyDescent="0.55000000000000004">
      <c r="A82" t="s">
        <v>272</v>
      </c>
      <c r="B82" t="s">
        <v>138</v>
      </c>
      <c r="C82">
        <v>100</v>
      </c>
    </row>
    <row r="83" spans="1:3" x14ac:dyDescent="0.55000000000000004">
      <c r="A83" t="s">
        <v>273</v>
      </c>
      <c r="B83" t="s">
        <v>138</v>
      </c>
      <c r="C83">
        <v>100</v>
      </c>
    </row>
    <row r="84" spans="1:3" x14ac:dyDescent="0.55000000000000004">
      <c r="A84" t="s">
        <v>274</v>
      </c>
      <c r="B84" t="s">
        <v>138</v>
      </c>
      <c r="C84">
        <v>90</v>
      </c>
    </row>
    <row r="85" spans="1:3" x14ac:dyDescent="0.55000000000000004">
      <c r="A85" t="s">
        <v>226</v>
      </c>
      <c r="B85" t="s">
        <v>142</v>
      </c>
      <c r="C85">
        <v>75</v>
      </c>
    </row>
    <row r="86" spans="1:3" x14ac:dyDescent="0.55000000000000004">
      <c r="A86" t="s">
        <v>275</v>
      </c>
      <c r="B86" t="s">
        <v>142</v>
      </c>
      <c r="C86">
        <v>95</v>
      </c>
    </row>
    <row r="87" spans="1:3" x14ac:dyDescent="0.55000000000000004">
      <c r="A87" t="s">
        <v>276</v>
      </c>
      <c r="B87" t="s">
        <v>142</v>
      </c>
      <c r="C87">
        <v>95</v>
      </c>
    </row>
    <row r="88" spans="1:3" x14ac:dyDescent="0.55000000000000004">
      <c r="A88" t="s">
        <v>277</v>
      </c>
      <c r="B88" t="s">
        <v>142</v>
      </c>
      <c r="C88">
        <v>100</v>
      </c>
    </row>
    <row r="89" spans="1:3" x14ac:dyDescent="0.55000000000000004">
      <c r="A89" t="s">
        <v>278</v>
      </c>
      <c r="B89" t="s">
        <v>142</v>
      </c>
      <c r="C89">
        <v>95</v>
      </c>
    </row>
    <row r="90" spans="1:3" x14ac:dyDescent="0.55000000000000004">
      <c r="A90" t="s">
        <v>279</v>
      </c>
      <c r="B90" t="s">
        <v>144</v>
      </c>
      <c r="C90">
        <v>95</v>
      </c>
    </row>
    <row r="91" spans="1:3" x14ac:dyDescent="0.55000000000000004">
      <c r="A91" t="s">
        <v>280</v>
      </c>
      <c r="B91" t="s">
        <v>144</v>
      </c>
      <c r="C91">
        <v>100</v>
      </c>
    </row>
    <row r="92" spans="1:3" x14ac:dyDescent="0.55000000000000004">
      <c r="A92" t="s">
        <v>281</v>
      </c>
      <c r="B92" t="s">
        <v>144</v>
      </c>
      <c r="C92">
        <v>85</v>
      </c>
    </row>
    <row r="93" spans="1:3" x14ac:dyDescent="0.55000000000000004">
      <c r="A93" t="s">
        <v>282</v>
      </c>
      <c r="B93" t="s">
        <v>144</v>
      </c>
      <c r="C93">
        <v>90</v>
      </c>
    </row>
    <row r="94" spans="1:3" x14ac:dyDescent="0.55000000000000004">
      <c r="A94" t="s">
        <v>283</v>
      </c>
      <c r="B94" t="s">
        <v>144</v>
      </c>
      <c r="C94">
        <v>90</v>
      </c>
    </row>
    <row r="95" spans="1:3" x14ac:dyDescent="0.55000000000000004">
      <c r="A95" t="s">
        <v>284</v>
      </c>
      <c r="B95" t="s">
        <v>144</v>
      </c>
      <c r="C95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showGridLines="0" workbookViewId="0"/>
  </sheetViews>
  <sheetFormatPr defaultRowHeight="14.4" x14ac:dyDescent="0.55000000000000004"/>
  <cols>
    <col min="1" max="1" width="18" customWidth="1"/>
    <col min="2" max="2" width="10" customWidth="1"/>
    <col min="3" max="3" width="100" customWidth="1"/>
  </cols>
  <sheetData>
    <row r="1" spans="1:3" x14ac:dyDescent="0.55000000000000004">
      <c r="A1" s="4" t="s">
        <v>285</v>
      </c>
      <c r="B1" s="4" t="s">
        <v>286</v>
      </c>
      <c r="C1" s="4" t="s">
        <v>287</v>
      </c>
    </row>
    <row r="2" spans="1:3" x14ac:dyDescent="0.55000000000000004">
      <c r="A2" s="2" t="s">
        <v>288</v>
      </c>
      <c r="B2" s="2">
        <v>1</v>
      </c>
      <c r="C2" s="2" t="s">
        <v>289</v>
      </c>
    </row>
    <row r="3" spans="1:3" x14ac:dyDescent="0.55000000000000004">
      <c r="A3" s="2" t="s">
        <v>288</v>
      </c>
      <c r="B3" s="2">
        <v>2</v>
      </c>
      <c r="C3" s="2" t="s">
        <v>290</v>
      </c>
    </row>
    <row r="4" spans="1:3" x14ac:dyDescent="0.55000000000000004">
      <c r="A4" s="2" t="s">
        <v>288</v>
      </c>
      <c r="B4" s="2">
        <v>3</v>
      </c>
      <c r="C4" s="2" t="s">
        <v>291</v>
      </c>
    </row>
    <row r="5" spans="1:3" x14ac:dyDescent="0.55000000000000004">
      <c r="A5" s="2" t="s">
        <v>288</v>
      </c>
      <c r="B5" s="2">
        <v>4</v>
      </c>
      <c r="C5" s="2" t="s">
        <v>292</v>
      </c>
    </row>
    <row r="6" spans="1:3" ht="28.75" customHeight="1" x14ac:dyDescent="0.55000000000000004">
      <c r="A6" s="2" t="s">
        <v>293</v>
      </c>
      <c r="B6" s="2">
        <v>1</v>
      </c>
      <c r="C6" s="2" t="s">
        <v>294</v>
      </c>
    </row>
    <row r="7" spans="1:3" ht="28.8" x14ac:dyDescent="0.55000000000000004">
      <c r="A7" s="2" t="s">
        <v>295</v>
      </c>
      <c r="B7" s="2">
        <v>1</v>
      </c>
      <c r="C7" s="2" t="s">
        <v>296</v>
      </c>
    </row>
    <row r="8" spans="1:3" x14ac:dyDescent="0.55000000000000004">
      <c r="A8" s="9" t="s">
        <v>297</v>
      </c>
      <c r="B8" s="9"/>
      <c r="C8" s="9" t="s">
        <v>298</v>
      </c>
    </row>
    <row r="9" spans="1:3" x14ac:dyDescent="0.55000000000000004">
      <c r="A9" s="9" t="s">
        <v>297</v>
      </c>
      <c r="B9" s="9"/>
      <c r="C9" s="9" t="s">
        <v>299</v>
      </c>
    </row>
    <row r="10" spans="1:3" x14ac:dyDescent="0.55000000000000004">
      <c r="A10" s="9" t="s">
        <v>297</v>
      </c>
      <c r="B10" s="9"/>
      <c r="C10" s="9" t="s">
        <v>300</v>
      </c>
    </row>
    <row r="11" spans="1:3" x14ac:dyDescent="0.55000000000000004">
      <c r="A11" s="9" t="s">
        <v>297</v>
      </c>
      <c r="B11" s="9"/>
      <c r="C11" s="9" t="s">
        <v>301</v>
      </c>
    </row>
    <row r="12" spans="1:3" x14ac:dyDescent="0.55000000000000004">
      <c r="A12" s="10" t="s">
        <v>297</v>
      </c>
      <c r="B12" s="10"/>
      <c r="C12" s="10" t="s">
        <v>302</v>
      </c>
    </row>
    <row r="13" spans="1:3" x14ac:dyDescent="0.55000000000000004">
      <c r="A13" t="s">
        <v>303</v>
      </c>
      <c r="B13">
        <v>1</v>
      </c>
      <c r="C13" t="s">
        <v>304</v>
      </c>
    </row>
    <row r="14" spans="1:3" x14ac:dyDescent="0.55000000000000004">
      <c r="A14" t="s">
        <v>305</v>
      </c>
      <c r="B14">
        <v>1</v>
      </c>
      <c r="C14" t="s">
        <v>306</v>
      </c>
    </row>
    <row r="15" spans="1:3" x14ac:dyDescent="0.55000000000000004">
      <c r="A15" t="s">
        <v>307</v>
      </c>
      <c r="C15" t="s">
        <v>308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showGridLines="0" workbookViewId="0"/>
  </sheetViews>
  <sheetFormatPr defaultRowHeight="14.4" x14ac:dyDescent="0.55000000000000004"/>
  <cols>
    <col min="1" max="1" width="22" customWidth="1"/>
    <col min="2" max="2" width="32" customWidth="1"/>
    <col min="3" max="3" width="14" customWidth="1"/>
    <col min="4" max="5" width="10" customWidth="1"/>
    <col min="6" max="6" width="22" customWidth="1"/>
    <col min="7" max="7" width="16" customWidth="1"/>
    <col min="8" max="9" width="12" customWidth="1"/>
    <col min="10" max="11" width="15" customWidth="1"/>
    <col min="12" max="12" width="58" customWidth="1"/>
  </cols>
  <sheetData>
    <row r="1" spans="1:12" ht="28.75" customHeight="1" x14ac:dyDescent="0.55000000000000004">
      <c r="A1" s="4" t="s">
        <v>309</v>
      </c>
      <c r="B1" s="4" t="s">
        <v>310</v>
      </c>
      <c r="C1" s="4" t="s">
        <v>311</v>
      </c>
      <c r="D1" s="4" t="s">
        <v>312</v>
      </c>
      <c r="E1" s="11" t="s">
        <v>313</v>
      </c>
      <c r="F1" s="4" t="s">
        <v>314</v>
      </c>
      <c r="G1" s="11" t="s">
        <v>315</v>
      </c>
      <c r="H1" s="4" t="s">
        <v>316</v>
      </c>
      <c r="I1" s="11" t="s">
        <v>317</v>
      </c>
      <c r="J1" s="11" t="s">
        <v>318</v>
      </c>
      <c r="K1" s="11" t="s">
        <v>319</v>
      </c>
      <c r="L1" s="4" t="s">
        <v>320</v>
      </c>
    </row>
    <row r="2" spans="1:12" ht="28.75" customHeight="1" x14ac:dyDescent="0.55000000000000004">
      <c r="A2" s="2" t="s">
        <v>183</v>
      </c>
      <c r="B2" s="2" t="s">
        <v>56</v>
      </c>
      <c r="C2" s="12">
        <v>110</v>
      </c>
      <c r="D2" s="12">
        <v>-60</v>
      </c>
      <c r="E2" s="13">
        <f>ABS(D2/C2)</f>
        <v>0.54545454545454541</v>
      </c>
      <c r="F2" s="12">
        <v>118</v>
      </c>
      <c r="G2" s="12">
        <f>IF(F2&lt;&gt;"",F2,C2)</f>
        <v>118</v>
      </c>
      <c r="H2" s="12">
        <v>5</v>
      </c>
      <c r="I2" s="12">
        <f>-G2*E2</f>
        <v>-64.36363636363636</v>
      </c>
      <c r="J2" s="12">
        <f>-G2</f>
        <v>-118</v>
      </c>
      <c r="K2" s="12">
        <v>-5</v>
      </c>
      <c r="L2" s="2" t="s">
        <v>321</v>
      </c>
    </row>
    <row r="3" spans="1:12" ht="43.2" customHeight="1" x14ac:dyDescent="0.55000000000000004">
      <c r="A3" s="2" t="s">
        <v>241</v>
      </c>
      <c r="B3" s="2" t="s">
        <v>103</v>
      </c>
      <c r="C3" s="12">
        <v>3</v>
      </c>
      <c r="D3" s="12"/>
      <c r="E3" s="13"/>
      <c r="F3" s="12"/>
      <c r="G3" s="12">
        <f>IF(F3&lt;&gt;"",F3,C3)</f>
        <v>3</v>
      </c>
      <c r="H3" s="12">
        <v>4</v>
      </c>
      <c r="I3" s="12"/>
      <c r="J3" s="12">
        <f>-G3</f>
        <v>-3</v>
      </c>
      <c r="K3" s="12">
        <v>-1.2</v>
      </c>
      <c r="L3" s="2" t="s">
        <v>322</v>
      </c>
    </row>
    <row r="4" spans="1:12" x14ac:dyDescent="0.55000000000000004">
      <c r="A4" t="s">
        <v>323</v>
      </c>
      <c r="B4" t="s">
        <v>93</v>
      </c>
      <c r="C4">
        <v>25</v>
      </c>
      <c r="D4">
        <v>-12</v>
      </c>
      <c r="E4">
        <f>ABS(D4/C4)</f>
        <v>0.48</v>
      </c>
      <c r="G4">
        <f>IF(F4&lt;&gt;"",F4,C4)</f>
        <v>25</v>
      </c>
      <c r="H4">
        <v>5</v>
      </c>
      <c r="I4">
        <f>-G4*E4</f>
        <v>-12</v>
      </c>
      <c r="J4">
        <f>-G4</f>
        <v>-25</v>
      </c>
      <c r="K4">
        <v>-3</v>
      </c>
      <c r="L4" t="s">
        <v>324</v>
      </c>
    </row>
    <row r="5" spans="1:12" x14ac:dyDescent="0.55000000000000004">
      <c r="A5" t="s">
        <v>325</v>
      </c>
      <c r="B5" t="s">
        <v>113</v>
      </c>
      <c r="C5">
        <v>15</v>
      </c>
      <c r="D5">
        <v>-10</v>
      </c>
      <c r="E5">
        <f>ABS(D5/C5)</f>
        <v>0.66666666666666663</v>
      </c>
      <c r="F5">
        <v>14</v>
      </c>
      <c r="G5">
        <f>IF(F5&lt;&gt;"",F5,C5)</f>
        <v>14</v>
      </c>
      <c r="H5">
        <v>5</v>
      </c>
      <c r="I5">
        <f>-G5*E5</f>
        <v>-9.3333333333333321</v>
      </c>
      <c r="J5">
        <f>-G5</f>
        <v>-14</v>
      </c>
      <c r="K5">
        <v>-2</v>
      </c>
      <c r="L5" t="s">
        <v>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Group_Assumptions</vt:lpstr>
      <vt:lpstr>Keyword_Mapping</vt:lpstr>
      <vt:lpstr>PreCodex_Rules</vt:lpstr>
      <vt:lpstr>PreCodex_Examples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Terlouw, Tom Mike</dc:creator>
  <cp:lastModifiedBy>Terlouw, Tom Mike</cp:lastModifiedBy>
  <dcterms:created xsi:type="dcterms:W3CDTF">2026-04-03T07:56:41Z</dcterms:created>
  <dcterms:modified xsi:type="dcterms:W3CDTF">2026-04-24T09:45:29Z</dcterms:modified>
</cp:coreProperties>
</file>